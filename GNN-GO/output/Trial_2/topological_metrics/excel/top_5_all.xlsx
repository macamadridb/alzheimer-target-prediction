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carena Madrid\Desktop\alzheimer-target-prediction\GNN-GO\output\Trial_2\topological_metrics\excel\"/>
    </mc:Choice>
  </mc:AlternateContent>
  <xr:revisionPtr revIDLastSave="0" documentId="13_ncr:1_{A810AA21-39A9-400D-A4DF-26CB96E94B8A}" xr6:coauthVersionLast="47" xr6:coauthVersionMax="47" xr10:uidLastSave="{00000000-0000-0000-0000-000000000000}"/>
  <bookViews>
    <workbookView xWindow="-120" yWindow="-120" windowWidth="29040" windowHeight="15840" xr2:uid="{00000000-000D-0000-FFFF-FFFF00000000}"/>
  </bookViews>
  <sheets>
    <sheet name="All_Top_5" sheetId="5" r:id="rId1"/>
    <sheet name="connectivity" sheetId="1" r:id="rId2"/>
    <sheet name="intercluster" sheetId="2" r:id="rId3"/>
    <sheet name="intracluster" sheetId="3" r:id="rId4"/>
    <sheet name="raw" sheetId="4" r:id="rId5"/>
    <sheet name="T4_metric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5" l="1"/>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3" i="5"/>
  <c r="I4" i="5"/>
  <c r="I5" i="5"/>
  <c r="I6" i="5"/>
  <c r="I7" i="5"/>
  <c r="I8" i="5"/>
  <c r="I9" i="5"/>
  <c r="I10" i="5"/>
  <c r="I11" i="5"/>
  <c r="I12" i="5"/>
  <c r="I13" i="5"/>
  <c r="I14" i="5"/>
  <c r="I15" i="5"/>
  <c r="I16" i="5"/>
  <c r="I17" i="5"/>
  <c r="I2"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3" i="5"/>
  <c r="H2"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3" i="5"/>
  <c r="G2"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alcChain>
</file>

<file path=xl/sharedStrings.xml><?xml version="1.0" encoding="utf-8"?>
<sst xmlns="http://schemas.openxmlformats.org/spreadsheetml/2006/main" count="42054" uniqueCount="16781">
  <si>
    <t>protein_name</t>
  </si>
  <si>
    <t>Clúster</t>
  </si>
  <si>
    <t>connectivity_score</t>
  </si>
  <si>
    <t>go_term</t>
  </si>
  <si>
    <t>CPX-1218</t>
  </si>
  <si>
    <t>nBAF Complex</t>
  </si>
  <si>
    <t>CPX-4223</t>
  </si>
  <si>
    <t>CPX-1216</t>
  </si>
  <si>
    <t>CPX-1217</t>
  </si>
  <si>
    <t>CPX-1202</t>
  </si>
  <si>
    <t>CPX-7601</t>
  </si>
  <si>
    <t>PRC1 Complex</t>
  </si>
  <si>
    <t>CPX-2517</t>
  </si>
  <si>
    <t>CPX-2317</t>
  </si>
  <si>
    <t>CPX-104</t>
  </si>
  <si>
    <t>CPX-2296</t>
  </si>
  <si>
    <t>CPX-2341</t>
  </si>
  <si>
    <t>Anterograde Trans-Synaptic Signaling</t>
  </si>
  <si>
    <t>CPX-998</t>
  </si>
  <si>
    <t>CPX-1112</t>
  </si>
  <si>
    <t>CPX-1009</t>
  </si>
  <si>
    <t>SLC12A5</t>
  </si>
  <si>
    <t>CPX-1766</t>
  </si>
  <si>
    <t>Collagen-Containing Extracellular Matrix</t>
  </si>
  <si>
    <t>CPX-390</t>
  </si>
  <si>
    <t>CPX-1822</t>
  </si>
  <si>
    <t>CPX-1759</t>
  </si>
  <si>
    <t>ADAMTS3</t>
  </si>
  <si>
    <t>CPX-833</t>
  </si>
  <si>
    <t>Type III Interferon-Mediated Signaling Pathway</t>
  </si>
  <si>
    <t>IRF1</t>
  </si>
  <si>
    <t>TLR3</t>
  </si>
  <si>
    <t>CPX-6012</t>
  </si>
  <si>
    <t>CPX-6013</t>
  </si>
  <si>
    <t>NRL</t>
  </si>
  <si>
    <t>Visual Perception</t>
  </si>
  <si>
    <t>GUCY2D</t>
  </si>
  <si>
    <t>ROM1</t>
  </si>
  <si>
    <t>RD3</t>
  </si>
  <si>
    <t>RDH5</t>
  </si>
  <si>
    <t>CPX-7142</t>
  </si>
  <si>
    <t>Mitochondrial Matrix</t>
  </si>
  <si>
    <t>CPX-6233</t>
  </si>
  <si>
    <t>PNP</t>
  </si>
  <si>
    <t>MLYCD</t>
  </si>
  <si>
    <t>HSD17B4</t>
  </si>
  <si>
    <t>CPX-5675</t>
  </si>
  <si>
    <t>Regulation Of Opsonization</t>
  </si>
  <si>
    <t>CPX-6215</t>
  </si>
  <si>
    <t>CPX-6234</t>
  </si>
  <si>
    <t>CPX-4945</t>
  </si>
  <si>
    <t>CPX-6224</t>
  </si>
  <si>
    <t>SARS1</t>
  </si>
  <si>
    <t>aminoacyl-tRNA Ligase Activity</t>
  </si>
  <si>
    <t>NARS1</t>
  </si>
  <si>
    <t>NARS2</t>
  </si>
  <si>
    <t>TARS1</t>
  </si>
  <si>
    <t>DARS2</t>
  </si>
  <si>
    <t>CYP26C1</t>
  </si>
  <si>
    <t>Glucuronate Metabolic Process</t>
  </si>
  <si>
    <t>SLC35A2</t>
  </si>
  <si>
    <t>AKR1D1</t>
  </si>
  <si>
    <t>BLVRA</t>
  </si>
  <si>
    <t>ABCB4</t>
  </si>
  <si>
    <t>CABP2</t>
  </si>
  <si>
    <t>Sensory Perception Of Sound</t>
  </si>
  <si>
    <t>PJVK</t>
  </si>
  <si>
    <t>SLC26A5</t>
  </si>
  <si>
    <t>GRXCR1</t>
  </si>
  <si>
    <t>TRIOBP</t>
  </si>
  <si>
    <t>FUCA1</t>
  </si>
  <si>
    <t>Lysosomal Lumen</t>
  </si>
  <si>
    <t>IDUA</t>
  </si>
  <si>
    <t>NEU1</t>
  </si>
  <si>
    <t>MAN2B1</t>
  </si>
  <si>
    <t>NAGLU</t>
  </si>
  <si>
    <t>Intercluster_Connect_Score</t>
  </si>
  <si>
    <t>CPX-1209</t>
  </si>
  <si>
    <t>CPX-1219</t>
  </si>
  <si>
    <t>CPX-1226</t>
  </si>
  <si>
    <t>SUMO1</t>
  </si>
  <si>
    <t>CPX-2292</t>
  </si>
  <si>
    <t>CPX-2295</t>
  </si>
  <si>
    <t>CPX-2297</t>
  </si>
  <si>
    <t>CPX-2453</t>
  </si>
  <si>
    <t>CPX-2454</t>
  </si>
  <si>
    <t>CPX-2455</t>
  </si>
  <si>
    <t>CPX-1770</t>
  </si>
  <si>
    <t>CPX-1772</t>
  </si>
  <si>
    <t>BGN</t>
  </si>
  <si>
    <t>TLR7</t>
  </si>
  <si>
    <t>IL7</t>
  </si>
  <si>
    <t>IRF8</t>
  </si>
  <si>
    <t>RPE65</t>
  </si>
  <si>
    <t>CNGB1</t>
  </si>
  <si>
    <t>CNGA1</t>
  </si>
  <si>
    <t>GNAT1</t>
  </si>
  <si>
    <t>FSCN2</t>
  </si>
  <si>
    <t>OTC</t>
  </si>
  <si>
    <t>CPX-6175</t>
  </si>
  <si>
    <t>GLUD1</t>
  </si>
  <si>
    <t>ALDH3A2</t>
  </si>
  <si>
    <t>CPX-6223</t>
  </si>
  <si>
    <t>ADAMTS13</t>
  </si>
  <si>
    <t>SERPING1</t>
  </si>
  <si>
    <t>CPX-5602</t>
  </si>
  <si>
    <t>EARS2</t>
  </si>
  <si>
    <t>TSFM</t>
  </si>
  <si>
    <t>GTPBP3</t>
  </si>
  <si>
    <t>CYB5A</t>
  </si>
  <si>
    <t>EPHX1</t>
  </si>
  <si>
    <t>HSD3B2</t>
  </si>
  <si>
    <t>GJB2</t>
  </si>
  <si>
    <t>TPRN</t>
  </si>
  <si>
    <t>OTOF</t>
  </si>
  <si>
    <t>ESPN</t>
  </si>
  <si>
    <t>IDS</t>
  </si>
  <si>
    <t>ARSB</t>
  </si>
  <si>
    <t>B4GALNT1</t>
  </si>
  <si>
    <t>SGSH</t>
  </si>
  <si>
    <t>Intracluster_Connect_Score</t>
  </si>
  <si>
    <t>CPX-1194</t>
  </si>
  <si>
    <t>CPX-1225</t>
  </si>
  <si>
    <t>CPX-1207</t>
  </si>
  <si>
    <t>CPX-1203</t>
  </si>
  <si>
    <t>CPX-7527</t>
  </si>
  <si>
    <t>CPX-7530</t>
  </si>
  <si>
    <t>CPX-7533</t>
  </si>
  <si>
    <t>CPX-7524</t>
  </si>
  <si>
    <t>CPX-7519</t>
  </si>
  <si>
    <t>CPX-8641</t>
  </si>
  <si>
    <t>CPX-8639</t>
  </si>
  <si>
    <t>CPX-8642</t>
  </si>
  <si>
    <t>CPX-8640</t>
  </si>
  <si>
    <t>CPX-8674</t>
  </si>
  <si>
    <t>CPX-1727</t>
  </si>
  <si>
    <t>CPX-1728</t>
  </si>
  <si>
    <t>CPX-1729</t>
  </si>
  <si>
    <t>CPX-1736</t>
  </si>
  <si>
    <t>CPX-1723</t>
  </si>
  <si>
    <t>CPX-6050</t>
  </si>
  <si>
    <t>CPX-383</t>
  </si>
  <si>
    <t>CPX-382</t>
  </si>
  <si>
    <t>CRX</t>
  </si>
  <si>
    <t>PRPH2</t>
  </si>
  <si>
    <t>ABCA4</t>
  </si>
  <si>
    <t>ECHS1</t>
  </si>
  <si>
    <t>HMGCL</t>
  </si>
  <si>
    <t>CPX-6239</t>
  </si>
  <si>
    <t>CPX-6165</t>
  </si>
  <si>
    <t>CPX-6179</t>
  </si>
  <si>
    <t>CPX-6240</t>
  </si>
  <si>
    <t>LARS2</t>
  </si>
  <si>
    <t>RARS2</t>
  </si>
  <si>
    <t>YARS2</t>
  </si>
  <si>
    <t>AARS2</t>
  </si>
  <si>
    <t>TMC1</t>
  </si>
  <si>
    <t>CDH23</t>
  </si>
  <si>
    <t>PCDH15</t>
  </si>
  <si>
    <t>GNS</t>
  </si>
  <si>
    <t>CPX-502</t>
  </si>
  <si>
    <t>CPX-687</t>
  </si>
  <si>
    <t>CPX-686</t>
  </si>
  <si>
    <t>Node_id</t>
  </si>
  <si>
    <t>Target_name</t>
  </si>
  <si>
    <t>Complex_participants</t>
  </si>
  <si>
    <t>Uniprot_id</t>
  </si>
  <si>
    <t>Target_type</t>
  </si>
  <si>
    <t>Target_group</t>
  </si>
  <si>
    <t>Source_db</t>
  </si>
  <si>
    <t>Target_group_score</t>
  </si>
  <si>
    <t>Target_group_score_normalized</t>
  </si>
  <si>
    <t>Conectivity_Score</t>
  </si>
  <si>
    <t>Disease</t>
  </si>
  <si>
    <t>CPX-289</t>
  </si>
  <si>
    <t>glutamate nmda receptor; grin1/grin2a</t>
  </si>
  <si>
    <t>GRIN2D,GRIN1</t>
  </si>
  <si>
    <t>O15399, Q05586</t>
  </si>
  <si>
    <t>PROTEIN COMPLEX</t>
  </si>
  <si>
    <t>T1, T2, T3, T4</t>
  </si>
  <si>
    <t>ChEMBL, STRING, TTD</t>
  </si>
  <si>
    <t>Alzheimer's Disease</t>
  </si>
  <si>
    <t>CPX-659</t>
  </si>
  <si>
    <t>dna replication factor cdt1 (double parked homolog) (dup)</t>
  </si>
  <si>
    <t>CDT1,GMNN</t>
  </si>
  <si>
    <t>Q9H211, O75496</t>
  </si>
  <si>
    <t>ChEMBL, STRING</t>
  </si>
  <si>
    <t>CPX-661</t>
  </si>
  <si>
    <t>geminin</t>
  </si>
  <si>
    <t>GMNN,MCIDAS</t>
  </si>
  <si>
    <t>O75496, D6RGH6</t>
  </si>
  <si>
    <t>CPX-702</t>
  </si>
  <si>
    <t>nuclear receptor coactivator 2 (ncoa-2) (class e basic helix-loop-helix protein 75) (bhlhe75) (transcriptional intermediary factor 2) (htif2)</t>
  </si>
  <si>
    <t>NCOA2,PPARG</t>
  </si>
  <si>
    <t>Q15596, P37231</t>
  </si>
  <si>
    <t>CPX-711</t>
  </si>
  <si>
    <t>nuclear receptor coactivator 1 (ncoa-1) (ec 2.3.1.48) (class e basic helix-loop-helix protein 74) (bhlhe74) (protein hin-2) (rip160) (renal carcinoma antigen ny-ren-52) (steroid receptor coactivator 1) (src-1)</t>
  </si>
  <si>
    <t>NCOA1,PPARG</t>
  </si>
  <si>
    <t>Q15788, P37231</t>
  </si>
  <si>
    <t>CPX-793</t>
  </si>
  <si>
    <t>aprataxin (ec 3.6.1.71) (ec 3.6.1.72) (forkhead-associated domain histidine triad-like protein) (fha-hit)</t>
  </si>
  <si>
    <t>LIG3,XRCC1,TDP1,APLF,POLB,APTX,PNKP</t>
  </si>
  <si>
    <t>P49916, P18887, Q9NUW8, Q8IW19, P06746, Q7Z2E3, Q96T60</t>
  </si>
  <si>
    <t>CPX-6094</t>
  </si>
  <si>
    <t>GMNN,HOXD10</t>
  </si>
  <si>
    <t>O75496, P28358</t>
  </si>
  <si>
    <t>ACHE</t>
  </si>
  <si>
    <t>acetylcholinesterase</t>
  </si>
  <si>
    <t>P22303</t>
  </si>
  <si>
    <t>SINGLE PROTEIN</t>
  </si>
  <si>
    <t>T1, T2, T3</t>
  </si>
  <si>
    <t>ChEMBL, TTD</t>
  </si>
  <si>
    <t>CBX1</t>
  </si>
  <si>
    <t>chromobox protein homolog 1</t>
  </si>
  <si>
    <t>P83916</t>
  </si>
  <si>
    <t>ChEMBL</t>
  </si>
  <si>
    <t>CPX-285</t>
  </si>
  <si>
    <t>glutamate [nmda] receptor subunit epsilon 2</t>
  </si>
  <si>
    <t>GRIN2B,GRIN1</t>
  </si>
  <si>
    <t>Q13224, Q05586</t>
  </si>
  <si>
    <t>CPX-286</t>
  </si>
  <si>
    <t>GRIN1,GRIN2C</t>
  </si>
  <si>
    <t>Q05586, Q14957</t>
  </si>
  <si>
    <t>CPX-294</t>
  </si>
  <si>
    <t>GRIN1,GRIN2A,GRIN2B</t>
  </si>
  <si>
    <t>Q05586, Q12879, Q13224</t>
  </si>
  <si>
    <t>CPX-660</t>
  </si>
  <si>
    <t>GMNN,HOXC9</t>
  </si>
  <si>
    <t>O75496, P31274</t>
  </si>
  <si>
    <t>CPX-1062</t>
  </si>
  <si>
    <t>amyloid beta a4 protein (app)</t>
  </si>
  <si>
    <t>P05067-PRO_0000000092,P05067-PRO_0000000093</t>
  </si>
  <si>
    <t>P05067, P05067</t>
  </si>
  <si>
    <t>CPX-1069</t>
  </si>
  <si>
    <t>P05067-PRO_0000000093</t>
  </si>
  <si>
    <t>P05067</t>
  </si>
  <si>
    <t>CPX-1070</t>
  </si>
  <si>
    <t>P05067-PRO_0000000092</t>
  </si>
  <si>
    <t>CPX-1120</t>
  </si>
  <si>
    <t>CPX-1134</t>
  </si>
  <si>
    <t>CPX-1180</t>
  </si>
  <si>
    <t>CPX-2202</t>
  </si>
  <si>
    <t>GRIN1,GRIN2A</t>
  </si>
  <si>
    <t>Q05586, Q12879</t>
  </si>
  <si>
    <t>DRD2</t>
  </si>
  <si>
    <t>dopamine d2 receptor</t>
  </si>
  <si>
    <t>P14416</t>
  </si>
  <si>
    <t>EHMT2</t>
  </si>
  <si>
    <t>histone-lysine n-methyltransferase, h3 lysine-9 specific 3</t>
  </si>
  <si>
    <t>Q96KQ7</t>
  </si>
  <si>
    <t>HRH3</t>
  </si>
  <si>
    <t>histamine h3 receptor</t>
  </si>
  <si>
    <t>Q9Y5N1</t>
  </si>
  <si>
    <t>KDM4E</t>
  </si>
  <si>
    <t>lysine-specific demethylase 4d-like</t>
  </si>
  <si>
    <t>B2RXH2</t>
  </si>
  <si>
    <t>LMNA</t>
  </si>
  <si>
    <t>prelamin-a/c</t>
  </si>
  <si>
    <t>P02545</t>
  </si>
  <si>
    <t>SLC6A4</t>
  </si>
  <si>
    <t>serotonin transporter</t>
  </si>
  <si>
    <t>P31645</t>
  </si>
  <si>
    <t>SLCO1B1</t>
  </si>
  <si>
    <t>solute carrier organic anion transporter family member 1b1</t>
  </si>
  <si>
    <t>Q9Y6L6</t>
  </si>
  <si>
    <t>SLCO1B3</t>
  </si>
  <si>
    <t>solute carrier organic anion transporter family member 1b3</t>
  </si>
  <si>
    <t>Q9NPD5</t>
  </si>
  <si>
    <t>USP1</t>
  </si>
  <si>
    <t>ubiquitin carboxyl-terminal hydrolase 1</t>
  </si>
  <si>
    <t>O94782</t>
  </si>
  <si>
    <t>BCHE</t>
  </si>
  <si>
    <t>butyrylcholinesterase</t>
  </si>
  <si>
    <t>P06276</t>
  </si>
  <si>
    <t>T1, T2</t>
  </si>
  <si>
    <t>CPX-255</t>
  </si>
  <si>
    <t>acetylcholine receptor protein epsilon chain</t>
  </si>
  <si>
    <t>CHRND,Q04844-PRO_0000000329,P02708-PRO_0000000305,P11230-PRO_0000000315</t>
  </si>
  <si>
    <t>Q07001, Q04844, P02708, P11230</t>
  </si>
  <si>
    <t>DYRK1A</t>
  </si>
  <si>
    <t>dual-specificity tyrosine-phosphorylation regulated kinase 1a</t>
  </si>
  <si>
    <t>Q13627</t>
  </si>
  <si>
    <t>DYRK2</t>
  </si>
  <si>
    <t>dual-specificity tyrosine-phosphorylation regulated kinase 2</t>
  </si>
  <si>
    <t>Q92630</t>
  </si>
  <si>
    <t>IDH1</t>
  </si>
  <si>
    <t>isocitrate dehydrogenase [nadp] cytoplasmic</t>
  </si>
  <si>
    <t>O75874</t>
  </si>
  <si>
    <t>NPSR1</t>
  </si>
  <si>
    <t>neuropeptide s receptor</t>
  </si>
  <si>
    <t>Q6W5P4</t>
  </si>
  <si>
    <t>PMP22</t>
  </si>
  <si>
    <t>peripheral myelin protein 22</t>
  </si>
  <si>
    <t>Q01453</t>
  </si>
  <si>
    <t>PTH1R</t>
  </si>
  <si>
    <t>parathyroid hormone receptor</t>
  </si>
  <si>
    <t>Q03431</t>
  </si>
  <si>
    <t>TRPV1</t>
  </si>
  <si>
    <t>vanilloid receptor</t>
  </si>
  <si>
    <t>Q8NER1</t>
  </si>
  <si>
    <t>CPX-1</t>
  </si>
  <si>
    <t>mothers against decapentaplegic homolog 2</t>
  </si>
  <si>
    <t>SMAD4,SMAD2,SMAD3</t>
  </si>
  <si>
    <t>Q13485, Q15796, P84022</t>
  </si>
  <si>
    <t>T2, T3, T4</t>
  </si>
  <si>
    <t>CPX-98</t>
  </si>
  <si>
    <t>cathepsin b (ctsb)</t>
  </si>
  <si>
    <t>CTSB,CSTA</t>
  </si>
  <si>
    <t>P07858, P01040</t>
  </si>
  <si>
    <t>STRING, TTD</t>
  </si>
  <si>
    <t>CPX-674</t>
  </si>
  <si>
    <t>calmodulin-3</t>
  </si>
  <si>
    <t>calm_human,PPP3CA,PPP3R1,AKAP5</t>
  </si>
  <si>
    <t>P62158, Q08209, P63098, P24588</t>
  </si>
  <si>
    <t>CPX-880</t>
  </si>
  <si>
    <t>brd4/hdac1</t>
  </si>
  <si>
    <t>GATAD2A,GATAD2B,CHD4,CHD3,MTA1,MTA2,MTA3,HDAC1,HDAC2,RBBP4,RBBP7,MBD2</t>
  </si>
  <si>
    <t>Q86YP4, Q8WXI9, Q14839, Q12873, Q13330, O94776, Q9BTC8, Q13547, Q92769, Q09028, Q16576, Q9UBB5</t>
  </si>
  <si>
    <t>CPX-900</t>
  </si>
  <si>
    <t>ataxin-7 (spinocerebellar ataxia type 7 protein)</t>
  </si>
  <si>
    <t>SF3B3,SF3B5,SUPT3H,TRRAP,KAT2A,TAF6L,TAF5L,SUPT7L,TADA3,TADA1,TAF9,TAF10,TAF12,ATXN7L3,USP22,ENY2,ATXN7,SUPT20H,SGF29,TADA2B</t>
  </si>
  <si>
    <t>Q15393, Q9BWJ5, O75486, Q9Y4A5, Q92830, Q9Y6J9, O75529, O94864, O75528, Q96BN2, Q16594, Q12962, Q16514, Q14CW9, Q9UPT9, Q9NPA8, O15265, Q8NEM7, Q96ES7, Q86TJ2</t>
  </si>
  <si>
    <t>CPX-903</t>
  </si>
  <si>
    <t>SUPT3H,KAT2A,TADA3,TAF10,TAF12,TAF5L,TAF9,TRRAP,TAF7,TAF6,TAF5,TAF4,TAF2,ATXN7L3,ATXN7,USP22,ENY2</t>
  </si>
  <si>
    <t>O75486, Q92830, O75528, Q12962, Q16514, O75529, Q16594, Q9Y4A5, Q15545, P49848, Q15542, O00268, Q6P1X5, Q14CW9, O15265, Q9UPT9, Q9NPA8</t>
  </si>
  <si>
    <t>CPX-922</t>
  </si>
  <si>
    <t>GATAD2A,GATAD2B,CHD4,CHD3,MTA1,MTA2,MTA3,HDAC1,HDAC2,RBBP4,RBBP7,MBD3</t>
  </si>
  <si>
    <t>Q86YP4, Q8WXI9, Q14839, Q12873, Q13330, O94776, Q9BTC8, Q13547, Q92769, Q09028, Q16576, O95983</t>
  </si>
  <si>
    <t>CPX-997</t>
  </si>
  <si>
    <t>histone acetyltransferase gcn5</t>
  </si>
  <si>
    <t>KAT2A,TADA3,SGF29,YEATS2,ZZZ3,KAT14,MBIP,WDR5,DR1,TADA2A</t>
  </si>
  <si>
    <t>Q92830, O75528, Q96ES7, Q9ULM3, Q8IYH5, Q9H8E8, Q9NS73, P61964, Q01658, O75478</t>
  </si>
  <si>
    <t>CPX-1003</t>
  </si>
  <si>
    <t>PPP3CA,PPP3R1,calm_human</t>
  </si>
  <si>
    <t>Q08209, P63098, P62158</t>
  </si>
  <si>
    <t>CPX-1017</t>
  </si>
  <si>
    <t>cytochrome b-245 heavy chain (ec 1.-.-.-) (cgd91-phox) (cytochrome b(558) subunit beta) (cytochrome b558 subunit beta) (heme-binding membrane glycoprotein gp91phox) (nadph oxidase 2) (neutrophil cytochrome b 91 kda polypeptide) (superoxide-generating nadph oxidase heavy chain subunit) (gp91-1) (gp91-phox) (p22 phagocyte b-cytochrome)</t>
  </si>
  <si>
    <t>CYBA,NCF1,NCF4,NCF2,CYBB,RAC1</t>
  </si>
  <si>
    <t>P13498, P14598, Q15080, P19878, P04839, P63000</t>
  </si>
  <si>
    <t>CPX-1048</t>
  </si>
  <si>
    <t>PPP3CA,PPP3R2,calm_human</t>
  </si>
  <si>
    <t>Q08209, Q96LZ3, P62158</t>
  </si>
  <si>
    <t>CPX-1114</t>
  </si>
  <si>
    <t>calm_human,PPP3CA,PPP3R2,AKAP5</t>
  </si>
  <si>
    <t>P62158, Q08209, Q96LZ3, P24588</t>
  </si>
  <si>
    <t>CPX-3073</t>
  </si>
  <si>
    <t>herg</t>
  </si>
  <si>
    <t>KCNH2,KCNE2</t>
  </si>
  <si>
    <t>Q12809, Q9Y6J6</t>
  </si>
  <si>
    <t>CPX-3252</t>
  </si>
  <si>
    <t>mothers against decapentaplegic homolog 3</t>
  </si>
  <si>
    <t>SMAD4,SMAD3</t>
  </si>
  <si>
    <t>Q13485, P84022</t>
  </si>
  <si>
    <t>CPX-3301</t>
  </si>
  <si>
    <t>bloom syndrome protein</t>
  </si>
  <si>
    <t>RMI2,TOP3A,BLM,RMI1</t>
  </si>
  <si>
    <t>Q96E14, Q13472, P54132, Q9H9A7</t>
  </si>
  <si>
    <t>CPX-3321</t>
  </si>
  <si>
    <t>ARID4B,BRMS1,BRMS1L,ARID4A,HDAC1,HDAC2,ING1,ING2,RBBP4,RBBP7,SAP30,SAP30L,SIN3A,SUDS3,SAP130</t>
  </si>
  <si>
    <t>Q4LE39, Q9HCU9, Q5PSV4, P29374, Q13547, Q92769, Q9UK53, Q9H160, Q09028, Q16576, O75446, Q9HAJ7, Q96ST3, Q9H7L9, Q9H0E3</t>
  </si>
  <si>
    <t>CPX-3322</t>
  </si>
  <si>
    <t>ARID4B,BRMS1,BRMS1L,ARID4A,HDAC1,HDAC2,ING1,ING2,RBBP4,RBBP7,SAP30,SAP30L,SIN3B,SUDS3,SAP130</t>
  </si>
  <si>
    <t>Q4LE39, Q9HCU9, Q5PSV4, P29374, Q13547, Q92769, Q9UK53, Q9H160, Q09028, Q16576, O75446, Q9HAJ7, O75182, Q9H7L9, Q9H0E3</t>
  </si>
  <si>
    <t>CPX-3323</t>
  </si>
  <si>
    <t>ARID4B,BRMS1,BRMS1L,ARID4A,HDAC1,HDAC2,ING1,ING2,RBBP4,RBBP7,SAP30,SAP30L,SIN3A,SINHCAF,OGT,TET1,SUDS3,SAP130</t>
  </si>
  <si>
    <t>Q4LE39, Q9HCU9, Q5PSV4, P29374, Q13547, Q92769, Q9UK53, Q9H160, Q09028, Q16576, O75446, Q9HAJ7, Q96ST3, Q9NP50, O15294, Q8NFU7, Q9H7L9, Q9H0E3</t>
  </si>
  <si>
    <t>CPX-4082</t>
  </si>
  <si>
    <t>caspase-1</t>
  </si>
  <si>
    <t>PYCARD,CASP1,NLRP1</t>
  </si>
  <si>
    <t>Q9ULZ3, P29466, Q9C000</t>
  </si>
  <si>
    <t>CPX-4143</t>
  </si>
  <si>
    <t>PYCARD,CASP1,MEFV</t>
  </si>
  <si>
    <t>Q9ULZ3, P29466, O15553</t>
  </si>
  <si>
    <t>CPX-4144</t>
  </si>
  <si>
    <t>PYCARD,CASP1,NLRC4,NAIP</t>
  </si>
  <si>
    <t>Q9ULZ3, P29466, Q9NPP4, Q13075</t>
  </si>
  <si>
    <t>CPX-5156</t>
  </si>
  <si>
    <t>estrogen receptor alpha</t>
  </si>
  <si>
    <t>ESR1,NCOA2</t>
  </si>
  <si>
    <t>P03372, Q15596</t>
  </si>
  <si>
    <t>CPX-5832</t>
  </si>
  <si>
    <t>nuclear factor nf-kappa-b p105 subunit</t>
  </si>
  <si>
    <t>REL,P19838-PRO_0000030311</t>
  </si>
  <si>
    <t>Q04864, P19838</t>
  </si>
  <si>
    <t>CPX-5833</t>
  </si>
  <si>
    <t>RELB,P19838-PRO_0000030311</t>
  </si>
  <si>
    <t>Q01201, P19838</t>
  </si>
  <si>
    <t>CPX-5837</t>
  </si>
  <si>
    <t>nuclear factor nf-kappa-b p100 subunit (dna-binding factor kbf2) (h2tf1) (lymphocyte translocation chromosome 10 protein) (nuclear factor of kappa light polypeptide gene enhancer in b-cells 2) (oncogene lyt-10) (lyt10) [cleaved into: nuclear factor nf-kappa-b p52 subunit]</t>
  </si>
  <si>
    <t>P19838-PRO_0000030311,Q00653-PRO_0000030322</t>
  </si>
  <si>
    <t>P19838, Q00653</t>
  </si>
  <si>
    <t>CPX-6044</t>
  </si>
  <si>
    <t>signal transducer and activator of transcription 3</t>
  </si>
  <si>
    <t>STAT5B,STAT3</t>
  </si>
  <si>
    <t>P51692, P40763</t>
  </si>
  <si>
    <t>CPX-6046</t>
  </si>
  <si>
    <t>STAT4,STAT3</t>
  </si>
  <si>
    <t>Q14765, P40763</t>
  </si>
  <si>
    <t>CPX-6062</t>
  </si>
  <si>
    <t>homeobox protein nkx-2.1 (homeobox protein nk-2 homolog a) (thyroid nuclear factor 1) (thyroid transcription factor 1) (ttf-1) (thyroid-specific enhancer-binding protein) (t/ebp)</t>
  </si>
  <si>
    <t>SMAD3,NKX2-1</t>
  </si>
  <si>
    <t>P84022, P43699</t>
  </si>
  <si>
    <t>ABCB11</t>
  </si>
  <si>
    <t>bile salt export pump</t>
  </si>
  <si>
    <t>O95342</t>
  </si>
  <si>
    <t>T2, T3</t>
  </si>
  <si>
    <t>ABCC2</t>
  </si>
  <si>
    <t>canalicular multispecific organic anion transporter 1</t>
  </si>
  <si>
    <t>Q92887</t>
  </si>
  <si>
    <t>ABCC3</t>
  </si>
  <si>
    <t>canalicular multispecific organic anion transporter 2</t>
  </si>
  <si>
    <t>O15438</t>
  </si>
  <si>
    <t>ABCC4</t>
  </si>
  <si>
    <t>multidrug resistance-associated protein 4</t>
  </si>
  <si>
    <t>O15439</t>
  </si>
  <si>
    <t>ADORA1</t>
  </si>
  <si>
    <t>adenosine a1 receptor</t>
  </si>
  <si>
    <t>P30542</t>
  </si>
  <si>
    <t>ADORA2A</t>
  </si>
  <si>
    <t>adenosine a2a receptor</t>
  </si>
  <si>
    <t>P29274</t>
  </si>
  <si>
    <t>ADORA3</t>
  </si>
  <si>
    <t>adenosine a3 receptor</t>
  </si>
  <si>
    <t>P0DMS8</t>
  </si>
  <si>
    <t>ADRA1A</t>
  </si>
  <si>
    <t>alpha-1a adrenergic receptor</t>
  </si>
  <si>
    <t>P35348</t>
  </si>
  <si>
    <t>ADRA1D</t>
  </si>
  <si>
    <t>alpha-1d adrenergic receptor</t>
  </si>
  <si>
    <t>P25100</t>
  </si>
  <si>
    <t>ADRA2A</t>
  </si>
  <si>
    <t>alpha-2a adrenergic receptor</t>
  </si>
  <si>
    <t>P08913</t>
  </si>
  <si>
    <t>ADRA2B</t>
  </si>
  <si>
    <t>alpha-2b adrenergic receptor</t>
  </si>
  <si>
    <t>P18089</t>
  </si>
  <si>
    <t>ADRA2C</t>
  </si>
  <si>
    <t>adrenergic receptor alpha-2c (adra2c)</t>
  </si>
  <si>
    <t>P18825</t>
  </si>
  <si>
    <t>ADRB1</t>
  </si>
  <si>
    <t>beta-1 adrenergic receptor</t>
  </si>
  <si>
    <t>P08588</t>
  </si>
  <si>
    <t>ADRB2</t>
  </si>
  <si>
    <t>beta-2 adrenergic receptor</t>
  </si>
  <si>
    <t>P07550</t>
  </si>
  <si>
    <t>ADRB3</t>
  </si>
  <si>
    <t>beta-3 adrenergic receptor</t>
  </si>
  <si>
    <t>P13945</t>
  </si>
  <si>
    <t>AGTR1</t>
  </si>
  <si>
    <t>angiotensin ii receptor type-1 (agtr1)</t>
  </si>
  <si>
    <t>P30556</t>
  </si>
  <si>
    <t>AGTR2</t>
  </si>
  <si>
    <t>angiotensin ii type 2 (at-2) receptor</t>
  </si>
  <si>
    <t>P50052</t>
  </si>
  <si>
    <t>ALDH1A1</t>
  </si>
  <si>
    <t>aldehyde dehydrogenase 1a1</t>
  </si>
  <si>
    <t>P00352</t>
  </si>
  <si>
    <t>ALDH5A1</t>
  </si>
  <si>
    <t>succinate semialdehyde dehydrogenase</t>
  </si>
  <si>
    <t>P51649</t>
  </si>
  <si>
    <t>ALOX15</t>
  </si>
  <si>
    <t>arachidonate 15-lipoxygenase</t>
  </si>
  <si>
    <t>P16050</t>
  </si>
  <si>
    <t>ARSA</t>
  </si>
  <si>
    <t>cerebroside-sulfatase</t>
  </si>
  <si>
    <t>P15289</t>
  </si>
  <si>
    <t>ATAD5</t>
  </si>
  <si>
    <t>atpase family aaa domain-containing protein 5</t>
  </si>
  <si>
    <t>Q96QE3</t>
  </si>
  <si>
    <t>ATXN2</t>
  </si>
  <si>
    <t>ataxin-2</t>
  </si>
  <si>
    <t>Q99700</t>
  </si>
  <si>
    <t>AVPR1A</t>
  </si>
  <si>
    <t>vasopressin v1a receptor</t>
  </si>
  <si>
    <t>P37288</t>
  </si>
  <si>
    <t>BDKRB2</t>
  </si>
  <si>
    <t>bradykinin b2 receptor</t>
  </si>
  <si>
    <t>P30411</t>
  </si>
  <si>
    <t>BRD4</t>
  </si>
  <si>
    <t>O60885</t>
  </si>
  <si>
    <t>CA2</t>
  </si>
  <si>
    <t>carbonic anhydrase ii</t>
  </si>
  <si>
    <t>P00918</t>
  </si>
  <si>
    <t>CCKAR</t>
  </si>
  <si>
    <t>cholecystokinin a receptor</t>
  </si>
  <si>
    <t>P32238</t>
  </si>
  <si>
    <t>CCR2</t>
  </si>
  <si>
    <t>c-c chemokine receptor type 2</t>
  </si>
  <si>
    <t>P41597</t>
  </si>
  <si>
    <t>CCR4</t>
  </si>
  <si>
    <t>c-c chemokine receptor type 4</t>
  </si>
  <si>
    <t>P51679</t>
  </si>
  <si>
    <t>CCR5</t>
  </si>
  <si>
    <t>c-c chemokine receptor type 5</t>
  </si>
  <si>
    <t>P51681</t>
  </si>
  <si>
    <t>CES1</t>
  </si>
  <si>
    <t>acyl coenzyme a:cholesterol acyltransferase</t>
  </si>
  <si>
    <t>P23141</t>
  </si>
  <si>
    <t>CES2</t>
  </si>
  <si>
    <t>carboxylesterase 2</t>
  </si>
  <si>
    <t>O00748</t>
  </si>
  <si>
    <t>CHRM1</t>
  </si>
  <si>
    <t>muscarinic acetylcholine receptor m1</t>
  </si>
  <si>
    <t>P11229</t>
  </si>
  <si>
    <t>CHRM2</t>
  </si>
  <si>
    <t>muscarinic acetylcholine receptor m2</t>
  </si>
  <si>
    <t>P08172</t>
  </si>
  <si>
    <t>CHRM3</t>
  </si>
  <si>
    <t>muscarinic acetylcholine receptor m3</t>
  </si>
  <si>
    <t>P20309</t>
  </si>
  <si>
    <t>CHRM4</t>
  </si>
  <si>
    <t>muscarinic acetylcholine receptor m4</t>
  </si>
  <si>
    <t>P08173</t>
  </si>
  <si>
    <t>CHRM5</t>
  </si>
  <si>
    <t>muscarinic acetylcholine receptor m5</t>
  </si>
  <si>
    <t>P08912</t>
  </si>
  <si>
    <t>CISD1</t>
  </si>
  <si>
    <t>cdgsh iron-sulfur domain-containing protein 1</t>
  </si>
  <si>
    <t>Q9NZ45</t>
  </si>
  <si>
    <t>CNR1</t>
  </si>
  <si>
    <t>cannabinoid cb1 receptor</t>
  </si>
  <si>
    <t>P21554</t>
  </si>
  <si>
    <t>CPX-12</t>
  </si>
  <si>
    <t>SMAD3</t>
  </si>
  <si>
    <t>P84022</t>
  </si>
  <si>
    <t>CPX-236</t>
  </si>
  <si>
    <t>neuronal acetylcholine receptor alpha-7 (chrna7)</t>
  </si>
  <si>
    <t>P36544-PRO_0000000366</t>
  </si>
  <si>
    <t>P36544</t>
  </si>
  <si>
    <t>CPX-240</t>
  </si>
  <si>
    <t>integrin alpha-5/neuronal acetylcholine receptor subunit alpha-3/neuronal acetylcholine receptor subunit beta-2/neuronal acetylcholine receptor subunit beta-4</t>
  </si>
  <si>
    <t>P17787-PRO_0000000379,P36544-PRO_0000000366</t>
  </si>
  <si>
    <t>P17787, P36544</t>
  </si>
  <si>
    <t>CPX-271</t>
  </si>
  <si>
    <t>serotonin 3a (5-ht3a) receptor</t>
  </si>
  <si>
    <t>HTR3A,HTR3B</t>
  </si>
  <si>
    <t>P46098, O95264</t>
  </si>
  <si>
    <t>CPX-272</t>
  </si>
  <si>
    <t>HTR3D,HTR3A</t>
  </si>
  <si>
    <t>Q70Z44, P46098</t>
  </si>
  <si>
    <t>CPX-273</t>
  </si>
  <si>
    <t>HTR3E,HTR3A</t>
  </si>
  <si>
    <t>A5X5Y0, P46098</t>
  </si>
  <si>
    <t>CPX-276</t>
  </si>
  <si>
    <t>HTR3C,HTR3A</t>
  </si>
  <si>
    <t>Q8WXA8, P46098</t>
  </si>
  <si>
    <t>CPX-480</t>
  </si>
  <si>
    <t>proto-oncogene c-jun</t>
  </si>
  <si>
    <t>JUN,NFATC2,FOS</t>
  </si>
  <si>
    <t>P05412, Q13469, P01100</t>
  </si>
  <si>
    <t>CPX-486</t>
  </si>
  <si>
    <t>JUN,FOS</t>
  </si>
  <si>
    <t>P05412, P01100</t>
  </si>
  <si>
    <t>CPX-490</t>
  </si>
  <si>
    <t>JUN</t>
  </si>
  <si>
    <t>P05412</t>
  </si>
  <si>
    <t>CPX-654</t>
  </si>
  <si>
    <t>nuclear receptor subfamily 4 group a member 2/retinoic acid receptor rxr-alpha</t>
  </si>
  <si>
    <t>RXRA,THRB</t>
  </si>
  <si>
    <t>P19793, P10828</t>
  </si>
  <si>
    <t>CPX-952</t>
  </si>
  <si>
    <t>P29466-PRO_0000004522,P29466-PRO_0000004524</t>
  </si>
  <si>
    <t>P29466, P29466</t>
  </si>
  <si>
    <t>CPX-2173</t>
  </si>
  <si>
    <t>calcitonin receptor</t>
  </si>
  <si>
    <t>CALCR,RAMP1</t>
  </si>
  <si>
    <t>P30988, O60894</t>
  </si>
  <si>
    <t>CPX-2175</t>
  </si>
  <si>
    <t>HTR3A</t>
  </si>
  <si>
    <t>P46098</t>
  </si>
  <si>
    <t>CPX-2674</t>
  </si>
  <si>
    <t>calpain-2 (capn2)</t>
  </si>
  <si>
    <t>CAPN2,CAPNS1</t>
  </si>
  <si>
    <t>P17655, P04632</t>
  </si>
  <si>
    <t>TTD</t>
  </si>
  <si>
    <t>CPX-2808</t>
  </si>
  <si>
    <t>coagulation factor iii</t>
  </si>
  <si>
    <t>P08709-PRO_0000027731,P08709-PRO_0000027730,P13726-PRO_0000033638</t>
  </si>
  <si>
    <t>P08709, P08709, P13726</t>
  </si>
  <si>
    <t>CPX-2867</t>
  </si>
  <si>
    <t>histone deacetylase 2</t>
  </si>
  <si>
    <t>DNTTIP1,HDAC2,MIDEAS</t>
  </si>
  <si>
    <t>Q9H147, Q92769, Q6PJG2</t>
  </si>
  <si>
    <t>CPX-2874</t>
  </si>
  <si>
    <t>HDAC1,DNTTIP1,MIDEAS</t>
  </si>
  <si>
    <t>Q13547, Q9H147, Q6PJG2</t>
  </si>
  <si>
    <t>CPX-3072</t>
  </si>
  <si>
    <t>KCNH2,KCNE1</t>
  </si>
  <si>
    <t>Q12809, P15382</t>
  </si>
  <si>
    <t>CPX-3186</t>
  </si>
  <si>
    <t>CALCR,RAMP2</t>
  </si>
  <si>
    <t>P30988, O60895</t>
  </si>
  <si>
    <t>CPX-3187</t>
  </si>
  <si>
    <t>RAMP3,CALCR</t>
  </si>
  <si>
    <t>O60896, P30988</t>
  </si>
  <si>
    <t>CPX-3288</t>
  </si>
  <si>
    <t>heat shock protein 90 alpha (hsp90a)</t>
  </si>
  <si>
    <t>CDC37,HSP90AA1</t>
  </si>
  <si>
    <t>Q16543, P07900</t>
  </si>
  <si>
    <t>CPX-4141</t>
  </si>
  <si>
    <t>PYCARD,CASP1,NLRP3</t>
  </si>
  <si>
    <t>Q9ULZ3, P29466, Q96P20</t>
  </si>
  <si>
    <t>CPX-4142</t>
  </si>
  <si>
    <t>PYCARD,CASP1,AIM2</t>
  </si>
  <si>
    <t>Q9ULZ3, P29466, O14862</t>
  </si>
  <si>
    <t>CPX-5828</t>
  </si>
  <si>
    <t>RELA,P19838-PRO_0000030311</t>
  </si>
  <si>
    <t>Q04206, P19838</t>
  </si>
  <si>
    <t>CPX-5838</t>
  </si>
  <si>
    <t>P19838-PRO_0000030311</t>
  </si>
  <si>
    <t>P19838</t>
  </si>
  <si>
    <t>CPX-6041</t>
  </si>
  <si>
    <t>signal transducer and activator of transcription 1-alpha/beta</t>
  </si>
  <si>
    <t>STAT3,STAT1</t>
  </si>
  <si>
    <t>P40763, P42224</t>
  </si>
  <si>
    <t>CPX-6043</t>
  </si>
  <si>
    <t>STAT5A,STAT3</t>
  </si>
  <si>
    <t>P42229, P40763</t>
  </si>
  <si>
    <t>CPX-6049</t>
  </si>
  <si>
    <t>STAT3</t>
  </si>
  <si>
    <t>P40763</t>
  </si>
  <si>
    <t>CPX-6420</t>
  </si>
  <si>
    <t>JUN,ATF2</t>
  </si>
  <si>
    <t>P05412, P15336</t>
  </si>
  <si>
    <t>CPX-6474</t>
  </si>
  <si>
    <t>ATF3,JUN</t>
  </si>
  <si>
    <t>P18847, P05412</t>
  </si>
  <si>
    <t>CPX-6562</t>
  </si>
  <si>
    <t>ATF4,JUN</t>
  </si>
  <si>
    <t>P18848, P05412</t>
  </si>
  <si>
    <t>CPX-6570</t>
  </si>
  <si>
    <t>nuclear factor erythroid 2-related factor 2</t>
  </si>
  <si>
    <t>ATF4,NFE2L2</t>
  </si>
  <si>
    <t>P18848, Q16236</t>
  </si>
  <si>
    <t>CPX-6786</t>
  </si>
  <si>
    <t>ATF7,JUN</t>
  </si>
  <si>
    <t>P17544, P05412</t>
  </si>
  <si>
    <t>CPX-7005</t>
  </si>
  <si>
    <t>BATF,JUN</t>
  </si>
  <si>
    <t>Q16520, P05412</t>
  </si>
  <si>
    <t>CPX-7063</t>
  </si>
  <si>
    <t>BATF2,JUN</t>
  </si>
  <si>
    <t>Q8N1L9, P05412</t>
  </si>
  <si>
    <t>CPX-7100</t>
  </si>
  <si>
    <t>BATF3,JUN</t>
  </si>
  <si>
    <t>Q9NR55, P05412</t>
  </si>
  <si>
    <t>CPX-7841</t>
  </si>
  <si>
    <t>glycine receptor subunit alpha-1</t>
  </si>
  <si>
    <t>GLRA1,GLRB</t>
  </si>
  <si>
    <t>P23415, P48167</t>
  </si>
  <si>
    <t>CPX-8185</t>
  </si>
  <si>
    <t>l-type amino acid transporter 1</t>
  </si>
  <si>
    <t>SLC3A2,SLC7A5</t>
  </si>
  <si>
    <t>P08195, Q01650</t>
  </si>
  <si>
    <t>CPX-8543</t>
  </si>
  <si>
    <t>udp-glucuronosyltransferase 1-9</t>
  </si>
  <si>
    <t>UGT1A9</t>
  </si>
  <si>
    <t>O60656-1</t>
  </si>
  <si>
    <t>CPX-8552</t>
  </si>
  <si>
    <t>udp-glucuronosyltransferase 1-1</t>
  </si>
  <si>
    <t>UGT1A1,UGT1A9</t>
  </si>
  <si>
    <t>P22309-1, O60656-1</t>
  </si>
  <si>
    <t>CPX-8557</t>
  </si>
  <si>
    <t>UGT2B7,UGT1A1</t>
  </si>
  <si>
    <t>P16662, P22309-1</t>
  </si>
  <si>
    <t>CPX-8560</t>
  </si>
  <si>
    <t>P22309-2, O60656-1</t>
  </si>
  <si>
    <t>CPX-8562</t>
  </si>
  <si>
    <t>UGT1A9,UGT2B7</t>
  </si>
  <si>
    <t>O60656-1, P16662</t>
  </si>
  <si>
    <t>CPX-8563</t>
  </si>
  <si>
    <t>P16662, P22309-2</t>
  </si>
  <si>
    <t>CPX-8575</t>
  </si>
  <si>
    <t>gaba receptor beta-3 subunit</t>
  </si>
  <si>
    <t>GABRA5,GABRB3,GABRG3</t>
  </si>
  <si>
    <t>P31644, P28472, Q99928</t>
  </si>
  <si>
    <t>CPX-8579</t>
  </si>
  <si>
    <t>GABRA3,GABRB3,GABRG3</t>
  </si>
  <si>
    <t>P34903, P28472, Q99928</t>
  </si>
  <si>
    <t>CTRC</t>
  </si>
  <si>
    <t>chymotrypsin c</t>
  </si>
  <si>
    <t>Q99895</t>
  </si>
  <si>
    <t>CTSG</t>
  </si>
  <si>
    <t>cathepsin g</t>
  </si>
  <si>
    <t>P08311</t>
  </si>
  <si>
    <t>CTSL</t>
  </si>
  <si>
    <t>cathepsin l</t>
  </si>
  <si>
    <t>P07711</t>
  </si>
  <si>
    <t>CXCL8</t>
  </si>
  <si>
    <t>interleukin-8</t>
  </si>
  <si>
    <t>P10145</t>
  </si>
  <si>
    <t>CXCR1</t>
  </si>
  <si>
    <t>interleukin-8 receptor a</t>
  </si>
  <si>
    <t>P25024</t>
  </si>
  <si>
    <t>CXCR2</t>
  </si>
  <si>
    <t>interleukin-8 receptor b</t>
  </si>
  <si>
    <t>P25025</t>
  </si>
  <si>
    <t>CYP1A2</t>
  </si>
  <si>
    <t>cytochrome p450 1a2</t>
  </si>
  <si>
    <t>P05177</t>
  </si>
  <si>
    <t>CYP2A6</t>
  </si>
  <si>
    <t>cytochrome p450 2a6</t>
  </si>
  <si>
    <t>P11509</t>
  </si>
  <si>
    <t>CYP2B6</t>
  </si>
  <si>
    <t>cytochrome p450 2b6</t>
  </si>
  <si>
    <t>P20813</t>
  </si>
  <si>
    <t>CYP2C8</t>
  </si>
  <si>
    <t>cytochrome p450 2c8</t>
  </si>
  <si>
    <t>P10632</t>
  </si>
  <si>
    <t>CYP2C9</t>
  </si>
  <si>
    <t>cytochrome p450 2c9</t>
  </si>
  <si>
    <t>P11712</t>
  </si>
  <si>
    <t>CYP2C19</t>
  </si>
  <si>
    <t>cytochrome p450 2c19</t>
  </si>
  <si>
    <t>P33261</t>
  </si>
  <si>
    <t>CYP2D6</t>
  </si>
  <si>
    <t>cytochrome p450 2d6</t>
  </si>
  <si>
    <t>P10635</t>
  </si>
  <si>
    <t>CYP2E1</t>
  </si>
  <si>
    <t>cytochrome p450 2e1</t>
  </si>
  <si>
    <t>P05181</t>
  </si>
  <si>
    <t>CYP3A4</t>
  </si>
  <si>
    <t>cytochrome p450 3a4</t>
  </si>
  <si>
    <t>P08684</t>
  </si>
  <si>
    <t>CYSLTR1</t>
  </si>
  <si>
    <t>cysteinyl leukotriene receptor 1</t>
  </si>
  <si>
    <t>Q9Y271</t>
  </si>
  <si>
    <t>DRD1</t>
  </si>
  <si>
    <t>dopamine d1 receptor</t>
  </si>
  <si>
    <t>P21728</t>
  </si>
  <si>
    <t>DRD3</t>
  </si>
  <si>
    <t>dopamine d3 receptor</t>
  </si>
  <si>
    <t>P35462</t>
  </si>
  <si>
    <t>DRD4</t>
  </si>
  <si>
    <t>dopamine d4 receptor</t>
  </si>
  <si>
    <t>P21917</t>
  </si>
  <si>
    <t>EDNRA</t>
  </si>
  <si>
    <t>endothelin receptor et-a</t>
  </si>
  <si>
    <t>P25101</t>
  </si>
  <si>
    <t>EGFR</t>
  </si>
  <si>
    <t>epidermal growth factor receptor erbb1</t>
  </si>
  <si>
    <t>P00533</t>
  </si>
  <si>
    <t>ELANE</t>
  </si>
  <si>
    <t>leukocyte elastase</t>
  </si>
  <si>
    <t>P08246</t>
  </si>
  <si>
    <t>ERBB2</t>
  </si>
  <si>
    <t>receptor protein-tyrosine kinase erbb-2</t>
  </si>
  <si>
    <t>P04626</t>
  </si>
  <si>
    <t>ESR2</t>
  </si>
  <si>
    <t>estrogen receptor beta</t>
  </si>
  <si>
    <t>Q92731</t>
  </si>
  <si>
    <t>FEN1</t>
  </si>
  <si>
    <t>flap endonuclease 1</t>
  </si>
  <si>
    <t>P39748</t>
  </si>
  <si>
    <t>FLT1</t>
  </si>
  <si>
    <t>vascular endothelial growth factor receptor 1</t>
  </si>
  <si>
    <t>P17948</t>
  </si>
  <si>
    <t>FPR2</t>
  </si>
  <si>
    <t>fmlp-related receptor i (fpr2)</t>
  </si>
  <si>
    <t>P25090</t>
  </si>
  <si>
    <t>FYN</t>
  </si>
  <si>
    <t>tyrosine-protein kinase fyn</t>
  </si>
  <si>
    <t>P06241</t>
  </si>
  <si>
    <t>GNAS</t>
  </si>
  <si>
    <t>guanine nucleotide-binding protein g(s), subunit alpha</t>
  </si>
  <si>
    <t>P84996</t>
  </si>
  <si>
    <t>GSK3A</t>
  </si>
  <si>
    <t>glycogen synthase kinase-3 alpha</t>
  </si>
  <si>
    <t>P49840</t>
  </si>
  <si>
    <t>GSK3B</t>
  </si>
  <si>
    <t>glycogen synthase kinase-3 beta</t>
  </si>
  <si>
    <t>P49841</t>
  </si>
  <si>
    <t>HDAC3</t>
  </si>
  <si>
    <t>histone deacetylase 3</t>
  </si>
  <si>
    <t>O15379</t>
  </si>
  <si>
    <t>HDAC4</t>
  </si>
  <si>
    <t>histone deacetylase 4</t>
  </si>
  <si>
    <t>P56524</t>
  </si>
  <si>
    <t>HDAC5</t>
  </si>
  <si>
    <t>histone deacetylase 5</t>
  </si>
  <si>
    <t>Q9UQL6</t>
  </si>
  <si>
    <t>HDAC6</t>
  </si>
  <si>
    <t>histone deacetylase 6</t>
  </si>
  <si>
    <t>Q9UBN7</t>
  </si>
  <si>
    <t>HDAC7</t>
  </si>
  <si>
    <t>histone deacetylase 7</t>
  </si>
  <si>
    <t>Q8WUI4</t>
  </si>
  <si>
    <t>HDAC8</t>
  </si>
  <si>
    <t>histone deacetylase 8</t>
  </si>
  <si>
    <t>Q9BY41</t>
  </si>
  <si>
    <t>HDAC9</t>
  </si>
  <si>
    <t>histone deacetylase 9</t>
  </si>
  <si>
    <t>Q9UKV0</t>
  </si>
  <si>
    <t>HMGCR</t>
  </si>
  <si>
    <t>hmg-coa reductase</t>
  </si>
  <si>
    <t>P04035</t>
  </si>
  <si>
    <t>HRH1</t>
  </si>
  <si>
    <t>histamine h1 receptor</t>
  </si>
  <si>
    <t>P35367</t>
  </si>
  <si>
    <t>HRH2</t>
  </si>
  <si>
    <t>histamine h2 receptor</t>
  </si>
  <si>
    <t>P25021</t>
  </si>
  <si>
    <t>HTR2A</t>
  </si>
  <si>
    <t>5-ht 2a receptor (htr2a)</t>
  </si>
  <si>
    <t>P28223</t>
  </si>
  <si>
    <t>HTR2B</t>
  </si>
  <si>
    <t>serotonin 2b (5-ht2b) receptor</t>
  </si>
  <si>
    <t>P41595</t>
  </si>
  <si>
    <t>HTR2C</t>
  </si>
  <si>
    <t>5-ht 2c receptor (htr2c)</t>
  </si>
  <si>
    <t>P28335</t>
  </si>
  <si>
    <t>HTR6</t>
  </si>
  <si>
    <t>5-ht 6 receptor (htr6)</t>
  </si>
  <si>
    <t>P50406</t>
  </si>
  <si>
    <t>KDM4A</t>
  </si>
  <si>
    <t>lysine-specific demethylase 4a</t>
  </si>
  <si>
    <t>O75164</t>
  </si>
  <si>
    <t>LCK</t>
  </si>
  <si>
    <t>tyrosine-protein kinase lck</t>
  </si>
  <si>
    <t>P06239</t>
  </si>
  <si>
    <t>MAOA</t>
  </si>
  <si>
    <t>monoamine oxidase a</t>
  </si>
  <si>
    <t>P21397</t>
  </si>
  <si>
    <t>MAOB</t>
  </si>
  <si>
    <t>monoamine oxidase b</t>
  </si>
  <si>
    <t>P27338</t>
  </si>
  <si>
    <t>MAPK1</t>
  </si>
  <si>
    <t>map kinase erk2</t>
  </si>
  <si>
    <t>P28482</t>
  </si>
  <si>
    <t>MAPK3</t>
  </si>
  <si>
    <t>map kinase erk1</t>
  </si>
  <si>
    <t>P27361</t>
  </si>
  <si>
    <t>MAPK14</t>
  </si>
  <si>
    <t>map kinase p38 alpha</t>
  </si>
  <si>
    <t>Q16539</t>
  </si>
  <si>
    <t>MAPT</t>
  </si>
  <si>
    <t>microtubule-associated protein tau</t>
  </si>
  <si>
    <t>P10636</t>
  </si>
  <si>
    <t>MBNL1</t>
  </si>
  <si>
    <t>muscleblind-like protein 1</t>
  </si>
  <si>
    <t>Q9NR56</t>
  </si>
  <si>
    <t>MC3R</t>
  </si>
  <si>
    <t>melanocortin receptor 3</t>
  </si>
  <si>
    <t>P41968</t>
  </si>
  <si>
    <t>MC4R</t>
  </si>
  <si>
    <t>melanocortin receptor 4</t>
  </si>
  <si>
    <t>P32245</t>
  </si>
  <si>
    <t>MC5R</t>
  </si>
  <si>
    <t>melanocortin receptor 5</t>
  </si>
  <si>
    <t>P33032</t>
  </si>
  <si>
    <t>MMP1</t>
  </si>
  <si>
    <t>matrix metalloproteinase-1</t>
  </si>
  <si>
    <t>P03956</t>
  </si>
  <si>
    <t>MMP9</t>
  </si>
  <si>
    <t>matrix metalloproteinase 9</t>
  </si>
  <si>
    <t>P14780</t>
  </si>
  <si>
    <t>MTOR</t>
  </si>
  <si>
    <t>serine/threonine-protein kinase mtor</t>
  </si>
  <si>
    <t>P42345</t>
  </si>
  <si>
    <t>NEIL1</t>
  </si>
  <si>
    <t>endonuclease 8-like 1</t>
  </si>
  <si>
    <t>Q96FI4</t>
  </si>
  <si>
    <t>NGF</t>
  </si>
  <si>
    <t>nerve growth factor (ngf)</t>
  </si>
  <si>
    <t>P01138</t>
  </si>
  <si>
    <t>NGFR</t>
  </si>
  <si>
    <t>low-affinity nerve growth factor receptor (ngfr)</t>
  </si>
  <si>
    <t>P08138</t>
  </si>
  <si>
    <t>NISCH</t>
  </si>
  <si>
    <t>nischarin</t>
  </si>
  <si>
    <t>Q9Y2I1</t>
  </si>
  <si>
    <t>NPC1</t>
  </si>
  <si>
    <t>niemann-pick c1 protein</t>
  </si>
  <si>
    <t>O15118</t>
  </si>
  <si>
    <t>NPY1R</t>
  </si>
  <si>
    <t>neuropeptide y receptor type 1</t>
  </si>
  <si>
    <t>P25929</t>
  </si>
  <si>
    <t>NPY2R</t>
  </si>
  <si>
    <t>neuropeptide y receptor type 2</t>
  </si>
  <si>
    <t>P49146</t>
  </si>
  <si>
    <t>NR1H4</t>
  </si>
  <si>
    <t>bile acid receptor fxr</t>
  </si>
  <si>
    <t>Q96RI1</t>
  </si>
  <si>
    <t>NR3C1</t>
  </si>
  <si>
    <t>glucocorticoid receptor</t>
  </si>
  <si>
    <t>P04150</t>
  </si>
  <si>
    <t>NTHL1</t>
  </si>
  <si>
    <t>endonuclease iii-like protein 1</t>
  </si>
  <si>
    <t>P78549</t>
  </si>
  <si>
    <t>OGG1</t>
  </si>
  <si>
    <t>n-glycosylase/dna lyase</t>
  </si>
  <si>
    <t>O15527</t>
  </si>
  <si>
    <t>OPRD1</t>
  </si>
  <si>
    <t>delta opioid receptor</t>
  </si>
  <si>
    <t>P41143</t>
  </si>
  <si>
    <t>OPRM1</t>
  </si>
  <si>
    <t>mu opioid receptor</t>
  </si>
  <si>
    <t>P35372</t>
  </si>
  <si>
    <t>OR51E2</t>
  </si>
  <si>
    <t>olfactory receptor 51e2</t>
  </si>
  <si>
    <t>Q9H255</t>
  </si>
  <si>
    <t>PDE5A</t>
  </si>
  <si>
    <t>phosphodiesterase 5a</t>
  </si>
  <si>
    <t>O76074</t>
  </si>
  <si>
    <t>PPARA</t>
  </si>
  <si>
    <t>peroxisome proliferator-activated receptor alpha</t>
  </si>
  <si>
    <t>Q07869</t>
  </si>
  <si>
    <t>PPARD</t>
  </si>
  <si>
    <t>peroxisome proliferator-activated receptor delta</t>
  </si>
  <si>
    <t>Q03181</t>
  </si>
  <si>
    <t>PRKCA</t>
  </si>
  <si>
    <t>protein kinase c alpha</t>
  </si>
  <si>
    <t>P17252</t>
  </si>
  <si>
    <t>PTAFR</t>
  </si>
  <si>
    <t>platelet activating factor receptor</t>
  </si>
  <si>
    <t>P25105</t>
  </si>
  <si>
    <t>PTGS1</t>
  </si>
  <si>
    <t>cyclooxygenase-1</t>
  </si>
  <si>
    <t>P23219</t>
  </si>
  <si>
    <t>PTGS2</t>
  </si>
  <si>
    <t>cyclooxygenase-2</t>
  </si>
  <si>
    <t>P35354</t>
  </si>
  <si>
    <t>PTPRC</t>
  </si>
  <si>
    <t>leukocyte common antigen</t>
  </si>
  <si>
    <t>P08575</t>
  </si>
  <si>
    <t>RAB9A</t>
  </si>
  <si>
    <t>ras-related protein rab-9a</t>
  </si>
  <si>
    <t>P51151</t>
  </si>
  <si>
    <t>RECQL</t>
  </si>
  <si>
    <t>atp-dependent dna helicase q1</t>
  </si>
  <si>
    <t>P46063</t>
  </si>
  <si>
    <t>RGS4</t>
  </si>
  <si>
    <t>regulator of g-protein signaling 4</t>
  </si>
  <si>
    <t>P49798</t>
  </si>
  <si>
    <t>RORC</t>
  </si>
  <si>
    <t>nuclear receptor ror-gamma</t>
  </si>
  <si>
    <t>P51449</t>
  </si>
  <si>
    <t>SIGMAR1</t>
  </si>
  <si>
    <t>opioid receptor sigma 1 (oprs1)</t>
  </si>
  <si>
    <t>Q99720</t>
  </si>
  <si>
    <t>SIRT5</t>
  </si>
  <si>
    <t>nad-dependent protein deacylase sirtuin-5, mitochondrial</t>
  </si>
  <si>
    <t>Q9NXA8</t>
  </si>
  <si>
    <t>SLC6A2</t>
  </si>
  <si>
    <t>norepinephrine transporter</t>
  </si>
  <si>
    <t>P23975</t>
  </si>
  <si>
    <t>SLC6A3</t>
  </si>
  <si>
    <t>dopamine transporter</t>
  </si>
  <si>
    <t>Q01959</t>
  </si>
  <si>
    <t>SLC22A1</t>
  </si>
  <si>
    <t>solute carrier family 22 member 1</t>
  </si>
  <si>
    <t>O15245</t>
  </si>
  <si>
    <t>SLC22A5</t>
  </si>
  <si>
    <t>solute carrier family 22 member 5</t>
  </si>
  <si>
    <t>O76082</t>
  </si>
  <si>
    <t>SLC22A8</t>
  </si>
  <si>
    <t>solute carrier family 22 member 8</t>
  </si>
  <si>
    <t>Q8TCC7</t>
  </si>
  <si>
    <t>SLC36A1</t>
  </si>
  <si>
    <t>proton-coupled amino acid transporter 1</t>
  </si>
  <si>
    <t>Q7Z2H8</t>
  </si>
  <si>
    <t>SLCO2B1</t>
  </si>
  <si>
    <t>solute carrier organic anion transporter family member 2b1</t>
  </si>
  <si>
    <t>O94956</t>
  </si>
  <si>
    <t>SMN1</t>
  </si>
  <si>
    <t>survival motor neuron protein</t>
  </si>
  <si>
    <t>A0A0G2JRX5</t>
  </si>
  <si>
    <t>SMN2</t>
  </si>
  <si>
    <t>A0A076L8Z0</t>
  </si>
  <si>
    <t>TACR1</t>
  </si>
  <si>
    <t>neurokinin 1 receptor</t>
  </si>
  <si>
    <t>P25103</t>
  </si>
  <si>
    <t>TACR2</t>
  </si>
  <si>
    <t>neurokinin 2 receptor</t>
  </si>
  <si>
    <t>P21452</t>
  </si>
  <si>
    <t>TARDBP</t>
  </si>
  <si>
    <t>tar dna binding protein 43 (tardbp)</t>
  </si>
  <si>
    <t>Q13148</t>
  </si>
  <si>
    <t>TBXAS1</t>
  </si>
  <si>
    <t>thromboxane-a synthase</t>
  </si>
  <si>
    <t>P24557</t>
  </si>
  <si>
    <t>THPO</t>
  </si>
  <si>
    <t>thrombopoietin</t>
  </si>
  <si>
    <t>P40225</t>
  </si>
  <si>
    <t>TSHR</t>
  </si>
  <si>
    <t>thyroid stimulating hormone receptor</t>
  </si>
  <si>
    <t>P16473</t>
  </si>
  <si>
    <t>TTR</t>
  </si>
  <si>
    <t>transthyretin</t>
  </si>
  <si>
    <t>P02766</t>
  </si>
  <si>
    <t>UGT1A3</t>
  </si>
  <si>
    <t>udp-glucuronosyltransferase 1-3</t>
  </si>
  <si>
    <t>P35503</t>
  </si>
  <si>
    <t>UGT1A6</t>
  </si>
  <si>
    <t>udp-glucuronosyltransferase 1-6</t>
  </si>
  <si>
    <t>P19224</t>
  </si>
  <si>
    <t>UGT1A8</t>
  </si>
  <si>
    <t>udp-glucuronosyltransferase 1-8</t>
  </si>
  <si>
    <t>Q9HAW9</t>
  </si>
  <si>
    <t>UGT1A10</t>
  </si>
  <si>
    <t>udp-glucuronosyltransferase 1-10</t>
  </si>
  <si>
    <t>Q9HAW8</t>
  </si>
  <si>
    <t>UGT2A1</t>
  </si>
  <si>
    <t>udp-glucuronosyltransferase 2a1</t>
  </si>
  <si>
    <t>P0DTE4</t>
  </si>
  <si>
    <t>UGT2B4</t>
  </si>
  <si>
    <t>udp-glucuronosyltransferase 2b4</t>
  </si>
  <si>
    <t>P06133</t>
  </si>
  <si>
    <t>UGT2B10</t>
  </si>
  <si>
    <t>udp-glucuronosyltransferase 2b10</t>
  </si>
  <si>
    <t>P36537</t>
  </si>
  <si>
    <t>UGT2B15</t>
  </si>
  <si>
    <t>udp-glucuronosyltransferase 2b15</t>
  </si>
  <si>
    <t>P54855</t>
  </si>
  <si>
    <t>VIPR1</t>
  </si>
  <si>
    <t>vasoactive intestinal polypeptide receptor 1</t>
  </si>
  <si>
    <t>P32241</t>
  </si>
  <si>
    <t>CPX-91</t>
  </si>
  <si>
    <t>myc proto-oncogene protein</t>
  </si>
  <si>
    <t>MAX,MYC</t>
  </si>
  <si>
    <t>P61244, P01106</t>
  </si>
  <si>
    <t>T2, T4</t>
  </si>
  <si>
    <t>CPX-117</t>
  </si>
  <si>
    <t>filamin a (flna)</t>
  </si>
  <si>
    <t>FLNA,GP1BA,GP1BB,GP9,GP5</t>
  </si>
  <si>
    <t>P21333, P07359, P13224, P14770, P40197</t>
  </si>
  <si>
    <t>CPX-265</t>
  </si>
  <si>
    <t>h/aca ribonucleoprotein complex subunit 2 (nucleolar protein family a member 2) (snornp protein nhp2)</t>
  </si>
  <si>
    <t>NOP10,NHP2,TERT,GAR1,DKC1,WRAP53</t>
  </si>
  <si>
    <t>Q9NPE3, Q9NX24, O14746, Q9NY12, O60832, Q9BUR4</t>
  </si>
  <si>
    <t>CPX-308</t>
  </si>
  <si>
    <t>crl4(crbn) e3 ubiquitin ligase</t>
  </si>
  <si>
    <t>DDB1,DDB2</t>
  </si>
  <si>
    <t>Q16531, Q92466</t>
  </si>
  <si>
    <t>CPX-469</t>
  </si>
  <si>
    <t>lethal(3)malignant brain tumor-like protein 1</t>
  </si>
  <si>
    <t>CBX3,L3MBTL1,RB1</t>
  </si>
  <si>
    <t>Q13185, Q9Y468, P06400</t>
  </si>
  <si>
    <t>CPX-477</t>
  </si>
  <si>
    <t>DDB2,RBX1,CUL4A,DDB1</t>
  </si>
  <si>
    <t>Q92466, P62877, Q13619, Q16531</t>
  </si>
  <si>
    <t>CPX-494</t>
  </si>
  <si>
    <t>plasminogen activator inhibitor (pai)</t>
  </si>
  <si>
    <t>SERPINE1,PLAT</t>
  </si>
  <si>
    <t>P05121, P00750</t>
  </si>
  <si>
    <t>CPX-513</t>
  </si>
  <si>
    <t>NCOA2,RXRA</t>
  </si>
  <si>
    <t>Q15596, P19793</t>
  </si>
  <si>
    <t>CPX-514</t>
  </si>
  <si>
    <t>myc box-dependent-interacting protein 1 (amphiphysin ii) (amphiphysin-like protein) (box-dependent myc-interacting protein 1) (bridging integrator 1)</t>
  </si>
  <si>
    <t>BIN1,MYC</t>
  </si>
  <si>
    <t>O00499, P01106</t>
  </si>
  <si>
    <t>CPX-517</t>
  </si>
  <si>
    <t>NCOA1,NR1I2</t>
  </si>
  <si>
    <t>Q15788, O75469</t>
  </si>
  <si>
    <t>CPX-525</t>
  </si>
  <si>
    <t>RARA,NCOA1</t>
  </si>
  <si>
    <t>P10276, Q15788</t>
  </si>
  <si>
    <t>CPX-560</t>
  </si>
  <si>
    <t>cytochrome b (complex iii subunit 3) (complex iii subunit iii) (cytochrome b-c1 complex subunit 3) (ubiquinol-cytochrome-c reductase complex cytochrome b subunit)</t>
  </si>
  <si>
    <t>UQCR10,UQCRC1,UQCRQ,UQCR11,UQCRH,UQCRB,MT-CYB,CYC1,UQCRC2,P47985-PRO_0000307241,P47985-PRO_0000030664</t>
  </si>
  <si>
    <t>Q9UDW1, P31930, O14949, O14957, P07919, P14927, P00156, P08574, P22695, P47985, P47985</t>
  </si>
  <si>
    <t>CPX-577</t>
  </si>
  <si>
    <t>nadh dehydrogenase [ubiquinone] 1 alpha subcomplex subunit 1 (complex i-mwfe) (ci-mwfe) (nadh-ubiquinone oxidoreductase mwfe subunit)</t>
  </si>
  <si>
    <t>NDUFV3,NDUFA13,NDUFS5,MT-ND6,NDUFA8,NDUFA1,NDUFB4,NDUFS1,NDUFS2,NDUFA5,NDUFS3,MT-ND4L,NDUFC2,NDUFA3,NDUFS6,NDUFB8,NDUFB11,NDUFV1,MT-ND2,NDUFS7,NDUFV2,NDUFB9,NDUFS4,NDUFB3,MT-ND1,NDUFB7,NDUFB2,NDUFA9,MT-ND3,NDUFB5,MT-ND4,NDUFAB1,NDUFA6,NDUFA2,NDUFB10,NDUFC1,NDUFA10,NDUFB1,NDUFA7,MT-ND5,NDUFB6,NDUFS8,NDUFA12,NDUFA11</t>
  </si>
  <si>
    <t>P56181, Q9P0J0, O43920, P03923, P51970, O15239, O95168, P28331, O75306, Q16718, O75489, P03901, O95298, O95167, O75380, O95169, Q9NX14, P49821, P03891, O75251, P19404, Q9Y6M9, O43181, O43676, P03886, P17568, O95178, Q16795, P03897, O43674, P03905, O14561, P56556, O43678, O96000, O43677, O95299, O75438, O95182, P03915, O95139, O00217, Q9UI09, Q86Y39</t>
  </si>
  <si>
    <t>CPX-623</t>
  </si>
  <si>
    <t>interleukin-6 (il-6) (b-cell stimulatory factor 2) (bsf-2) (ctl differentiation factor) (cdf) (hybridoma growth factor) (interferon beta-2) (ifn-beta-2)</t>
  </si>
  <si>
    <t>IL6,IL6ST,JAK1,JAK2,TYK2,P08887-PRO_0000010895</t>
  </si>
  <si>
    <t>P05231, P40189, P23458, O60674, P29597, P08887</t>
  </si>
  <si>
    <t>CPX-648</t>
  </si>
  <si>
    <t>DDB2,RBX1,CUL4B,DDB1</t>
  </si>
  <si>
    <t>Q92466, P62877, Q13620, Q16531</t>
  </si>
  <si>
    <t>CPX-663</t>
  </si>
  <si>
    <t>cellular tumor antigen p53</t>
  </si>
  <si>
    <t>MDM4,TP53</t>
  </si>
  <si>
    <t>O15151, P04637</t>
  </si>
  <si>
    <t>CPX-666</t>
  </si>
  <si>
    <t>RARA,NCOA2</t>
  </si>
  <si>
    <t>P10276, Q15596</t>
  </si>
  <si>
    <t>CPX-677</t>
  </si>
  <si>
    <t>complement c5</t>
  </si>
  <si>
    <t>C6,P01031-PRO_0000005985,P01031-PRO_0000005989</t>
  </si>
  <si>
    <t>P13671, P01031, P01031</t>
  </si>
  <si>
    <t>CPX-709</t>
  </si>
  <si>
    <t>histone acetyltransferase kat5</t>
  </si>
  <si>
    <t>EPC1,ING3,KAT5</t>
  </si>
  <si>
    <t>Q9H2F5, Q9NXR8, Q92993</t>
  </si>
  <si>
    <t>CPX-809</t>
  </si>
  <si>
    <t>histone acetyltransferase kat8</t>
  </si>
  <si>
    <t>HCFC1,KANSL1,KANSL2,KANSL3,KAT8,MCRS1,PHF20,OGT,WDR5</t>
  </si>
  <si>
    <t>P51610, Q7Z3B3, Q9H9L4, Q9P2N6, Q9H7Z6, Q96EZ8, Q9BVI0, O15294, P61964</t>
  </si>
  <si>
    <t>CPX-815</t>
  </si>
  <si>
    <t>KAT8,MSL1,MSL2,MSL3</t>
  </si>
  <si>
    <t>Q9H7Z6, Q68DK7, Q9HCI7, Q8N5Y2</t>
  </si>
  <si>
    <t>CPX-816</t>
  </si>
  <si>
    <t>NCOA2,RARA,RXRA</t>
  </si>
  <si>
    <t>Q15596, P10276, P19793</t>
  </si>
  <si>
    <t>CPX-845</t>
  </si>
  <si>
    <t>breast cancer type 1 susceptibility protein</t>
  </si>
  <si>
    <t>BRCA2,PALB2,BRCA1</t>
  </si>
  <si>
    <t>P51587, Q86YC2, P38398</t>
  </si>
  <si>
    <t>CPX-902</t>
  </si>
  <si>
    <t>KCNQ1,calm_human</t>
  </si>
  <si>
    <t>P51787, P62158</t>
  </si>
  <si>
    <t>CPX-955</t>
  </si>
  <si>
    <t>BABAM2,BRCA1,BRCA2,RAD51,BRCC3,BARD1</t>
  </si>
  <si>
    <t>Q9NXR7, P38398, P51587, Q06609, P46736, Q99728</t>
  </si>
  <si>
    <t>CPX-978</t>
  </si>
  <si>
    <t>actin, cytoplasmic 1 (ec 3.6.4.-) (beta-actin) [cleaved into: actin, cytoplasmic 1, n-terminally processed]</t>
  </si>
  <si>
    <t>MBTD1,TRRAP,EP400,YEATS4,VPS72,RUVBL2,RUVBL1,MORF4L2,MORF4L1,KAT5,ING3,EPC2,EPC1,MEAF6,DMAP1,BRD8,ACTL6A,MRGBP,ACTB</t>
  </si>
  <si>
    <t>Q05BQ5, Q9Y4A5, Q96L91, O95619, Q15906, Q9Y230, Q9Y265, Q15014, Q9UBU8, Q92993, Q9NXR8, Q52LR7, Q9H2F5, Q9HAF1, Q9NPF5, Q9H0E9, O96019, Q9NV56, P60709</t>
  </si>
  <si>
    <t>CPX-979</t>
  </si>
  <si>
    <t>condensin complex subunit 1 (chromosome condensation-related smc-associated protein 1) (chromosome-associated protein d2) (hcap-d2) (non-smc condensin i complex subunit d2) (xcap-d2 homolog)</t>
  </si>
  <si>
    <t>SMC2,SMC4,NCAPD2,NCAPG,NCAPH</t>
  </si>
  <si>
    <t>O95347, Q9NTJ3, Q15021, Q9BPX3, Q15003</t>
  </si>
  <si>
    <t>CPX-985</t>
  </si>
  <si>
    <t>condensin-2 complex subunit d3 (non-smc condensin ii complex subunit d3) (hcap-d3)</t>
  </si>
  <si>
    <t>SMC2,SMC4,NCAPD3,NCAPG2,NCAPH2</t>
  </si>
  <si>
    <t>O95347, Q9NTJ3, P42695, Q86XI2, Q6IBW4</t>
  </si>
  <si>
    <t>CPX-989</t>
  </si>
  <si>
    <t>histone acetyltransferase pcaf</t>
  </si>
  <si>
    <t>KAT2B,TADA3,SUPT3H,TAF5L,TAF6L,TAF9,TAF10,TRRAP,TAF12,TADA2A</t>
  </si>
  <si>
    <t>Q92831, O75528, O75486, O75529, Q9Y6J9, Q16594, Q12962, Q9Y4A5, Q16514, O75478</t>
  </si>
  <si>
    <t>CPX-1004</t>
  </si>
  <si>
    <t>KAT2B,TADA3,SGF29,YEATS2,ZZZ3,KAT14,MBIP,WDR5,DR1,TADA2A</t>
  </si>
  <si>
    <t>Q92831, O75528, Q96ES7, Q9ULM3, Q8IYH5, Q9H8E8, Q9NS73, P61964, Q01658, O75478</t>
  </si>
  <si>
    <t>CPX-1196</t>
  </si>
  <si>
    <t>ARID2,SMARCA4,SMARCB1,SMARCC1,SMARCC2,SMARCD1,SMARCD2,SMARCE1,PBRM1,BRD7,ACTL6B,ACTB,PHF10</t>
  </si>
  <si>
    <t>Q68CP9, P51532, Q12824, Q92922, Q8TAQ2, Q96GM5, Q92925, Q969G3, Q86U86, Q9NPI1, O94805, P60709, Q8WUB8</t>
  </si>
  <si>
    <t>CPX-1199</t>
  </si>
  <si>
    <t>ARID2,SMARCA4,SMARCB1,SMARCC1,SMARCC2,SMARCD1,SMARCD2,SMARCE1,PBRM1,BRD7,ACTL6A,ACTB,PHF10</t>
  </si>
  <si>
    <t>Q68CP9, P51532, Q12824, Q92922, Q8TAQ2, Q96GM5, Q92925, Q969G3, Q86U86, Q9NPI1, O96019, P60709, Q8WUB8</t>
  </si>
  <si>
    <t>CPX-2087</t>
  </si>
  <si>
    <t>dna polymerase alpha subunit</t>
  </si>
  <si>
    <t>PRIM2,POLA2,POLA1,PRIM1</t>
  </si>
  <si>
    <t>P49643, Q14181, P09884, P49642</t>
  </si>
  <si>
    <t>CPX-2170</t>
  </si>
  <si>
    <t>P17787-PRO_0000000379,Q15822-PRO_0000000340</t>
  </si>
  <si>
    <t>P17787, Q15822</t>
  </si>
  <si>
    <t>CPX-2174</t>
  </si>
  <si>
    <t>GABRA2,GABRG2,GABRB3</t>
  </si>
  <si>
    <t>P47869, P18507, P28472</t>
  </si>
  <si>
    <t>CPX-2190</t>
  </si>
  <si>
    <t>Q15822-PRO_0000000340,P30926-PRO_0000000389</t>
  </si>
  <si>
    <t>Q15822, P30926</t>
  </si>
  <si>
    <t>CPX-2198</t>
  </si>
  <si>
    <t>histone-lysine n-methyltransferase ezh2</t>
  </si>
  <si>
    <t>EZH2,EED,LCOR,PHF19,RBBP4,SUZ12</t>
  </si>
  <si>
    <t>Q15910, O75530, Q96JN0, Q5T6S3, Q09028, Q15022</t>
  </si>
  <si>
    <t>CPX-2204</t>
  </si>
  <si>
    <t>EED,EZH2,RBBP4,PHF1,SUZ12,LCOR</t>
  </si>
  <si>
    <t>O75530, Q15910, Q09028, O43189, Q15022, Q96JN0</t>
  </si>
  <si>
    <t>CPX-2208</t>
  </si>
  <si>
    <t>phenylalanine--trna ligase alpha subunit (ec 6.1.1.20) (cml33) (phenylalanyl-trna synthetase alpha subunit) (phers)</t>
  </si>
  <si>
    <t>FARSA,FARSB</t>
  </si>
  <si>
    <t>Q9Y285, Q9NSD9</t>
  </si>
  <si>
    <t>CPX-2209</t>
  </si>
  <si>
    <t>EED,EZH2,AEBP2,JARID2,RBBP4,SUZ12</t>
  </si>
  <si>
    <t>O75530, Q15910, Q6ZN18, Q92833, Q09028, Q15022</t>
  </si>
  <si>
    <t>CPX-2213</t>
  </si>
  <si>
    <t>JARID2,AEBP2,EED,EZH2,RBBP7,SUZ12</t>
  </si>
  <si>
    <t>Q92833, Q6ZN18, O75530, Q15910, Q16576, Q15022</t>
  </si>
  <si>
    <t>CPX-2219</t>
  </si>
  <si>
    <t>ELOB,CUL2,ELOC,FEM1C,RBX1</t>
  </si>
  <si>
    <t>Q15370, Q13617, Q15369, Q96JP0, P62877</t>
  </si>
  <si>
    <t>CPX-2250</t>
  </si>
  <si>
    <t>ELOC,VHL,ELOB,CUL2,RBX1</t>
  </si>
  <si>
    <t>Q15369, P40337, Q15370, Q13617, P62877</t>
  </si>
  <si>
    <t>CPX-2311</t>
  </si>
  <si>
    <t>EZH2,EED,RBBP7,LCOR,PHF1,SUZ12</t>
  </si>
  <si>
    <t>Q15910, O75530, Q16576, Q96JN0, O43189, Q15022</t>
  </si>
  <si>
    <t>CPX-2312</t>
  </si>
  <si>
    <t>EED,EZH2,LCOR,RBBP4,SUZ12,MTF2</t>
  </si>
  <si>
    <t>O75530, Q15910, Q96JN0, Q09028, Q15022, Q9Y483</t>
  </si>
  <si>
    <t>CPX-2314</t>
  </si>
  <si>
    <t>EZH2,EED,LCOR,MTF2,SUZ12,RBBP7</t>
  </si>
  <si>
    <t>Q15910, O75530, Q96JN0, Q9Y483, Q15022, Q16576</t>
  </si>
  <si>
    <t>CPX-2316</t>
  </si>
  <si>
    <t>EED,EZH2,LCOR,PHF19,RBBP7,SUZ12</t>
  </si>
  <si>
    <t>O75530, Q15910, Q96JN0, Q5T6S3, Q16576, Q15022</t>
  </si>
  <si>
    <t>CPX-2324</t>
  </si>
  <si>
    <t>EZH2,EED,EPOP,PHF1,RBBP4,SUZ12</t>
  </si>
  <si>
    <t>Q15910, O75530, A6NHQ4, O43189, Q09028, Q15022</t>
  </si>
  <si>
    <t>CPX-2325</t>
  </si>
  <si>
    <t>EZH2,EED,PHF1,EPOP,SUZ12,RBBP7</t>
  </si>
  <si>
    <t>Q15910, O75530, O43189, A6NHQ4, Q15022, Q16576</t>
  </si>
  <si>
    <t>CPX-2326</t>
  </si>
  <si>
    <t>RBBP4,EZH2,EED,EPOP,SUZ12,MTF2</t>
  </si>
  <si>
    <t>Q09028, Q15910, O75530, A6NHQ4, Q15022, Q9Y483</t>
  </si>
  <si>
    <t>CPX-2327</t>
  </si>
  <si>
    <t>EED,EZH2,EPOP,MTF2,RBBP7,SUZ12</t>
  </si>
  <si>
    <t>O75530, Q15910, A6NHQ4, Q9Y483, Q16576, Q15022</t>
  </si>
  <si>
    <t>CPX-2328</t>
  </si>
  <si>
    <t>EZH2,EED,RBBP4,PHF19,SUZ12,EPOP</t>
  </si>
  <si>
    <t>Q15910, O75530, Q09028, Q5T6S3, Q15022, A6NHQ4</t>
  </si>
  <si>
    <t>CPX-2329</t>
  </si>
  <si>
    <t>EZH2,EED,EPOP,RBBP7,SUZ12,PHF19</t>
  </si>
  <si>
    <t>Q15910, O75530, A6NHQ4, Q16576, Q15022, Q5T6S3</t>
  </si>
  <si>
    <t>CPX-2338</t>
  </si>
  <si>
    <t>grb10-interacting gyf protein 2 (perq amino acid-rich with gyf domain-containing protein 2) (trinucleotide repeat-containing gene 15 protein)</t>
  </si>
  <si>
    <t>GIGYF2,EIF4E2,DDX6</t>
  </si>
  <si>
    <t>Q6Y7W6, O60573, P26196</t>
  </si>
  <si>
    <t>CPX-2391</t>
  </si>
  <si>
    <t>116 kda u5 small nuclear ribonucleoprotein component (elongation factor tu gtp-binding domain-containing protein 2) (snu114 homolog) (hsnu114) (u5 snrnp-specific protein, 116 kda) (u5-116 kda)</t>
  </si>
  <si>
    <t>SNRPD1,SNRPB,SNRPA,SNRPD2,SNRPE,SNRPD3,SNRPG,SNRPF,DDX23,PRPF8,SNRNP200,EFTUD2,SNRNP40,PRPF6,SNRNP27,LSM2,LSM3,LSM4,LSM5,LSM6,LSM7,LSM8,PRPF31,RBM42,PRPF4,SNU13,SART1,USP39,TXNL4A</t>
  </si>
  <si>
    <t>P62314, P14678, P09012, P62316, P62304, P62318, P62308, P62306, Q9BUQ8, Q6P2Q9, O75643, Q15029, Q96DI7, O94906, Q8WVK2, Q9Y333, P62310, Q9Y4Z0, Q9Y4Y9, P62312, Q9UK45, O95777, Q8WWY3, Q9BTD8, O43172, P55769, O43290, Q53GS9, P83876</t>
  </si>
  <si>
    <t>CPX-2395</t>
  </si>
  <si>
    <t>cdk7/cyclin h/mnat1</t>
  </si>
  <si>
    <t>GTF2H5,CCNH,GTF2H3,ERCC3,MNAT1,CDK7,GTF2H2,GTF2H1,GTF2H4,ERCC2</t>
  </si>
  <si>
    <t>Q6ZYL4, P51946, Q13889, P19447, P51948, P50613, Q13888, P32780, Q92759, P18074</t>
  </si>
  <si>
    <t>CPX-2404</t>
  </si>
  <si>
    <t>DCAF11,CUL4B,DDB1,RBX1</t>
  </si>
  <si>
    <t>Q8TEB1, Q13620, Q16531, P62877</t>
  </si>
  <si>
    <t>CPX-2406</t>
  </si>
  <si>
    <t>CUL4B,DCAF12,DDB1,RBX1</t>
  </si>
  <si>
    <t>Q13620, Q5T6F0, Q16531, P62877</t>
  </si>
  <si>
    <t>CPX-2407</t>
  </si>
  <si>
    <t>DDB1,RBX1,DCAF13,CUL4B</t>
  </si>
  <si>
    <t>Q16531, P62877, Q9NV06, Q13620</t>
  </si>
  <si>
    <t>CPX-2411</t>
  </si>
  <si>
    <t>PHIP,CUL4A,DDB1,RBX1</t>
  </si>
  <si>
    <t>Q8WWQ0, Q13619, Q16531, P62877</t>
  </si>
  <si>
    <t>CPX-2412</t>
  </si>
  <si>
    <t>CUL4B,PHIP,DDB1,RBX1</t>
  </si>
  <si>
    <t>Q13620, Q8WWQ0, Q16531, P62877</t>
  </si>
  <si>
    <t>CPX-2414</t>
  </si>
  <si>
    <t>DDB1,RBX1,DCAF16,CUL4B</t>
  </si>
  <si>
    <t>Q16531, P62877, Q9NXF7, Q13620</t>
  </si>
  <si>
    <t>CPX-2415</t>
  </si>
  <si>
    <t>DCAF17,CUL4A,DDB1,RBX1</t>
  </si>
  <si>
    <t>Q5H9S7, Q13619, Q16531, P62877</t>
  </si>
  <si>
    <t>CPX-2416</t>
  </si>
  <si>
    <t>DCAF17,CUL4B,DDB1,RBX1</t>
  </si>
  <si>
    <t>Q5H9S7, Q13620, Q16531, P62877</t>
  </si>
  <si>
    <t>CPX-2476</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</si>
  <si>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</si>
  <si>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SYNCRIP,EPRS1,RPL13A,GAPDH</t>
  </si>
  <si>
    <t>O60506, P07814, P40429, P04406</t>
  </si>
  <si>
    <t>CPX-2511</t>
  </si>
  <si>
    <t>nucleolar protein 56 (nucleolar protein 5a)</t>
  </si>
  <si>
    <t>NOP56,UTP3,FBL,NOP58,RRP7A,RRP9,DCAF13,UTP4,UTP15,HEATR1,WDR43,WDR75,NOL11,,MPHOSPH10,IMP3,IMP4,,WDR36,WDR3,PWP2,TBL3,UTP6,UTP18,,SNU13,WDR46,UTP11,NOP14,NOC4L,NAT10,BMS1,RCL1,EMG1,UTP20,UTP14A,NOL6,KRR1,DNTTIP2,NGDN,AATF</t>
  </si>
  <si>
    <t>O00567, Q9NQZ2, P22087, Q9Y2X3, Q9Y3A4, O43818, Q9NV06, Q969X6, Q8TED0, Q9H583, Q15061, Q8IWA0, Q9H8H0, O00566, Q9NV31, Q96G21, Q8NI36, Q9UNX4, Q15269, Q12788, Q9NYH9, Q9Y5J1, P55769, O15213, Q9Y3A2, P78316, Q9BVI4, Q9H0A0, Q14692, Q9Y2P8, Q92979, O75691, Q9BVJ6, Q9H6R4, Q13601, Q5QJE6, Q8NEJ9, Q9NY61, Q9NRX1, Q9Y324, Q8NDD1</t>
  </si>
  <si>
    <t>CPX-2512</t>
  </si>
  <si>
    <t>CUL1,FBXL4,SKP1,RBX1</t>
  </si>
  <si>
    <t>Q13616, Q9UKA2, P63208, P62877</t>
  </si>
  <si>
    <t>CPX-2579</t>
  </si>
  <si>
    <t>actin-related protein 2</t>
  </si>
  <si>
    <t>ACTR3,ACTR2,ARPC1B,ARPC2,ARPC3,ARPC4,ARPC5</t>
  </si>
  <si>
    <t>P61158, P61160, O15143, O15144, O15145, P59998, O15511</t>
  </si>
  <si>
    <t>CPX-2580</t>
  </si>
  <si>
    <t>ARPC1B,ACTR3B,ACTR2,ARPC5L,ARPC2,ARPC3,ARPC4</t>
  </si>
  <si>
    <t>O15143, Q9P1U1, P61160, Q9BPX5, O15144, O15145, P59998</t>
  </si>
  <si>
    <t>CPX-2583</t>
  </si>
  <si>
    <t>ACTR2,ARPC1B,ACTR3B,ARPC2,ARPC3,ARPC4,ARPC5</t>
  </si>
  <si>
    <t>P61160, O15143, Q9P1U1, O15144, O15145, P59998, O15511</t>
  </si>
  <si>
    <t>CPX-2653</t>
  </si>
  <si>
    <t>smad nuclear-interacting protein 1 (fha domain-containing protein snip1)</t>
  </si>
  <si>
    <t>THRAP3,SNW1,BCLAF1,SNIP1,PNN</t>
  </si>
  <si>
    <t>Q9Y2W1, Q13573, Q9NYF8, Q8TAD8, Q9H307</t>
  </si>
  <si>
    <t>CPX-2663</t>
  </si>
  <si>
    <t>ACTR3,ARPC1B,ARPC2,ARPC3,ACTR2,ARPC5L,ARPC4</t>
  </si>
  <si>
    <t>P61158, O15143, O15144, O15145, P61160, Q9BPX5, P59998</t>
  </si>
  <si>
    <t>CPX-2731</t>
  </si>
  <si>
    <t>electron transfer flavoprotein subunit alpha, mitochondrial (alpha-etf)</t>
  </si>
  <si>
    <t>ETFA,ETFB</t>
  </si>
  <si>
    <t>P13804, P38117</t>
  </si>
  <si>
    <t>CPX-2735</t>
  </si>
  <si>
    <t>exosome rna helicase mtr4</t>
  </si>
  <si>
    <t>ZCCHC8,MTREX,RBM7</t>
  </si>
  <si>
    <t>Q6NZY4, P42285, Q9Y580</t>
  </si>
  <si>
    <t>CPX-2750</t>
  </si>
  <si>
    <t>ZFC3H1,MTREX,ZC3H3,RBM26,PABPN1</t>
  </si>
  <si>
    <t>O60293, P42285, Q8IXZ2, Q5T8P6, Q86U42</t>
  </si>
  <si>
    <t>CPX-2752</t>
  </si>
  <si>
    <t>MTREX,ZFC3H1,RBM27,PABPN1,ZC3H3</t>
  </si>
  <si>
    <t>P42285, O60293, Q9P2N5, Q86U42, Q8IXZ2</t>
  </si>
  <si>
    <t>CPX-2757</t>
  </si>
  <si>
    <t>DDB1,ERCC8,CUL4A,RBX1</t>
  </si>
  <si>
    <t>Q16531, Q13216, Q13619, P62877</t>
  </si>
  <si>
    <t>CPX-2758</t>
  </si>
  <si>
    <t>CUL4B,DDB1,ERCC8,RBX1</t>
  </si>
  <si>
    <t>Q13620, Q16531, Q13216, P62877</t>
  </si>
  <si>
    <t>CPX-2762</t>
  </si>
  <si>
    <t>cereblon/ikaros</t>
  </si>
  <si>
    <t>CUL4B,CRBN,DDB1,RBX1</t>
  </si>
  <si>
    <t>Q13620, Q96SW2, Q16531, P62877</t>
  </si>
  <si>
    <t>CPX-2765</t>
  </si>
  <si>
    <t>DDB1,CUL4B,RBX1,DDA1,DCAF15</t>
  </si>
  <si>
    <t>Q16531, Q13620, P62877, Q9BW61, Q66K64</t>
  </si>
  <si>
    <t>CPX-2770</t>
  </si>
  <si>
    <t>DCAF1,CUL4B,DDB1,RBX1</t>
  </si>
  <si>
    <t>Q9Y4B6, Q13620, Q16531, P62877</t>
  </si>
  <si>
    <t>CPX-2777</t>
  </si>
  <si>
    <t>DTL,CUL4B,RBX1,DDB1</t>
  </si>
  <si>
    <t>Q9NZJ0, Q13620, P62877, Q16531</t>
  </si>
  <si>
    <t>CPX-2778</t>
  </si>
  <si>
    <t>CUL4B,DDB1,RBX1,AMBRA1</t>
  </si>
  <si>
    <t>Q13620, Q16531, P62877, Q9C0C7</t>
  </si>
  <si>
    <t>CPX-2783</t>
  </si>
  <si>
    <t>DCAF5,CUL4B,DDB1,RBX1</t>
  </si>
  <si>
    <t>Q96JK2, Q13620, Q16531, P62877</t>
  </si>
  <si>
    <t>CPX-2786</t>
  </si>
  <si>
    <t>DCAF7,CUL4B,DDB1,RBX1</t>
  </si>
  <si>
    <t>P61962, Q13620, Q16531, P62877</t>
  </si>
  <si>
    <t>CPX-2804</t>
  </si>
  <si>
    <t>CUL4B,DCAF6,DDB1,RBX1</t>
  </si>
  <si>
    <t>Q13620, Q58WW2, Q16531, P62877</t>
  </si>
  <si>
    <t>CPX-2809</t>
  </si>
  <si>
    <t>RBX1,DDB1,WDTC1,CUL4B</t>
  </si>
  <si>
    <t>P62877, Q16531, Q8N5D0, Q13620</t>
  </si>
  <si>
    <t>CPX-2816</t>
  </si>
  <si>
    <t>DCAF8,CUL4B,DDB1,RBX1</t>
  </si>
  <si>
    <t>Q5TAQ9, Q13620, Q16531, P62877</t>
  </si>
  <si>
    <t>CPX-2818</t>
  </si>
  <si>
    <t>CUL4A,DCAF8,DDB1,RBX1</t>
  </si>
  <si>
    <t>Q13619, Q5TAQ9, Q16531, P62877</t>
  </si>
  <si>
    <t>CPX-2819</t>
  </si>
  <si>
    <t>DCAF10,RBX1,CUL4B,DDB1</t>
  </si>
  <si>
    <t>Q5QP82, P62877, Q13620, Q16531</t>
  </si>
  <si>
    <t>CPX-2859</t>
  </si>
  <si>
    <t>CUL4B,DCAF4,DDB1,RBX1</t>
  </si>
  <si>
    <t>Q13620, Q8WV16, Q16531, P62877</t>
  </si>
  <si>
    <t>CPX-2870</t>
  </si>
  <si>
    <t>enhancer of mrna-decapping protein 3 (lsm16 homolog) (yjef n-terminal domain-containing protein 2) (yjef_n2) (hyjef_n2) (yjef domain-containing protein 1)</t>
  </si>
  <si>
    <t>DDX6,EDC4,EDC3,DCP2,DCP1A,XRN1</t>
  </si>
  <si>
    <t>P26196, Q6P2E9, Q96F86, Q8IU60, Q9NPI6, Q8IZH2</t>
  </si>
  <si>
    <t>CPX-2940</t>
  </si>
  <si>
    <t>dna replication licensing factor mcm2 (ec 3.6.4.12) (minichromosome maintenance protein 2 homolog) (nuclear protein bm28)</t>
  </si>
  <si>
    <t>MCM2,MCM6,MCM3,MCM5,MCM7,MCM4</t>
  </si>
  <si>
    <t>P49736, Q14566, P25205, P33992, P33993, P33991</t>
  </si>
  <si>
    <t>CPX-3195</t>
  </si>
  <si>
    <t>voltage-dependent l-type calcium channel subunit beta-2 (cab2) (calcium channel voltage-dependent subunit beta 2) (lambert-eaton myasthenic syndrome antigen b) (mysb)</t>
  </si>
  <si>
    <t>CACNB2,CACNA1C,P54289-PRO_0000005001,P54289-PRO_0000005002</t>
  </si>
  <si>
    <t>Q08289, Q13936, P54289, P54289</t>
  </si>
  <si>
    <t>CPX-3208</t>
  </si>
  <si>
    <t>SMAD2,SMAD4</t>
  </si>
  <si>
    <t>Q15796, Q13485</t>
  </si>
  <si>
    <t>CPX-3232</t>
  </si>
  <si>
    <t>cdk8/cyclin c</t>
  </si>
  <si>
    <t>CDK8,CCNC,MED13,MED12</t>
  </si>
  <si>
    <t>P49336, P24863, Q9UHV7, Q93074</t>
  </si>
  <si>
    <t>CPX-3263</t>
  </si>
  <si>
    <t>CDK19,MED13,MED12,CCNC</t>
  </si>
  <si>
    <t>Q9BWU1, Q9UHV7, Q93074, P24863</t>
  </si>
  <si>
    <t>CPX-3291</t>
  </si>
  <si>
    <t>CUL1,FBXL3,RBX1,SKP1</t>
  </si>
  <si>
    <t>Q13616, Q9UKT7, P62877, P63208</t>
  </si>
  <si>
    <t>CPX-5223</t>
  </si>
  <si>
    <t>40s ribosomal protein sa</t>
  </si>
  <si>
    <t>FAU,RPS10,RPS11,RPS12,RPS13,RPS14,RPS15,RPS15A,RPS16,RPS17,RPS18,RPS19,RPS2,RPS20,RPS21,RPS23,RPS24,RPS25,RPS26,RPS27A,RPS28,RPS29,RPS3,RPS3A,RPS5,RPS6,RPS7,RPS8,RPS9,RPSA,RACK1</t>
  </si>
  <si>
    <t>P62861, P46783, P62280, P25398, P62277, P62263, P62841, P62244, P62249, P08708, P62269, P39019, P15880, P60866, P63220, P62266, P62847, P62851, P62854, P62979, P62857, P62273, P23396, P61247, P46782, P62753, P62081, P62241, P46781, P08865, P63244</t>
  </si>
  <si>
    <t>CPX-5342</t>
  </si>
  <si>
    <t>NCOA1,RXRA</t>
  </si>
  <si>
    <t>Q15788, P19793</t>
  </si>
  <si>
    <t>CPX-5824</t>
  </si>
  <si>
    <t>beta-catenin-like protein 1 (nuclear-associated protein) (nap) (testis development protein nyd-sp19)</t>
  </si>
  <si>
    <t>CDC5L,PRPF19,CTNNBL1,HSPA8,BCAS2,CWC15,PLRG1</t>
  </si>
  <si>
    <t>Q99459, Q9UMS4, Q8WYA6, P11142, O75934, Q9P013, O43660</t>
  </si>
  <si>
    <t>CPX-5829</t>
  </si>
  <si>
    <t>RELA,Q00653-PRO_0000030322</t>
  </si>
  <si>
    <t>Q04206, Q00653</t>
  </si>
  <si>
    <t>CPX-5834</t>
  </si>
  <si>
    <t>nuclear factor nf-kappa-b p65 subunit</t>
  </si>
  <si>
    <t>REL,RELA</t>
  </si>
  <si>
    <t>Q04864, Q04206</t>
  </si>
  <si>
    <t>CPX-5850</t>
  </si>
  <si>
    <t>histone-lysine n-methyltransferase mll</t>
  </si>
  <si>
    <t>DPY30,KMT2A,ASH2L,RBBP5,WDR5,MEN1,HCFC1,HCFC2</t>
  </si>
  <si>
    <t>Q9C005, Q03164, Q9UBL3, Q15291, P61964, O00255, P51610, Q9Y5Z7</t>
  </si>
  <si>
    <t>CPX-5989</t>
  </si>
  <si>
    <t>cohesin subunit sa-1 (scc3 homolog 1) (stromal antigen 1)</t>
  </si>
  <si>
    <t>SMC1A,STAG1,SMC3,RAD21</t>
  </si>
  <si>
    <t>Q14683, Q8WVM7, Q9UQE7, O60216</t>
  </si>
  <si>
    <t>CPX-5991</t>
  </si>
  <si>
    <t>cohesin subunit sa-2 (scc3 homolog 2) (stromal antigen 2)</t>
  </si>
  <si>
    <t>SMC1A,STAG2,SMC3,RAD21</t>
  </si>
  <si>
    <t>Q14683, Q8N3U4, Q9UQE7, O60216</t>
  </si>
  <si>
    <t>CPX-5993</t>
  </si>
  <si>
    <t>20s proteasome</t>
  </si>
  <si>
    <t>PSMA7,PSMC2,PSMC1,PSMC5,PSMC4,PSMC6,PSMC3,PSMA6,PSMA2,PSMA4,PSMA5,PSMA1,PSMA3,PSMB6,PSMB7,PSMB3,PSMB2,PSMB5,PSMB1,PSMB4,PSMD1,PSMD3,PSMD12,PSMD11,PSMD6,PSMD7,PSMD13,PSMD4,PSMD14,PSMD8,PSMD2,SEM1,ADRM1</t>
  </si>
  <si>
    <t>O14818, P35998, P62191, P62195, P43686, P62333, P17980, P60900, P25787, P25789, P28066, P25786, P25788, P28072, Q99436, P49720, P49721, P28074, P20618, P28070, Q99460, O43242, O00232, O00231, Q15008, P51665, Q9UNM6, P55036, O00487, P48556, Q13200, P60896, Q16186</t>
  </si>
  <si>
    <t>CPX-6016</t>
  </si>
  <si>
    <t>interferon regulatory factor 9 (irf-9) (ifn-alpha-responsive transcription factor subunit) (isgf3 p48 subunit) (interferon-stimulated gene factor 3 gamma) (isgf-3 gamma) (transcriptional regulator isgf3 subunit gamma)</t>
  </si>
  <si>
    <t>STAT1,STAT2,IRF9</t>
  </si>
  <si>
    <t>P42224, P52630, Q00978</t>
  </si>
  <si>
    <t>CPX-6042</t>
  </si>
  <si>
    <t>STAT4,STAT1</t>
  </si>
  <si>
    <t>Q14765, P42224</t>
  </si>
  <si>
    <t>CPX-6045</t>
  </si>
  <si>
    <t>signal transducer and activator of transcription 5a</t>
  </si>
  <si>
    <t>STAT5B,STAT5A</t>
  </si>
  <si>
    <t>P51692, P42229</t>
  </si>
  <si>
    <t>CPX-6093</t>
  </si>
  <si>
    <t>TP53,MDM2,MDM4</t>
  </si>
  <si>
    <t>P04637, Q00987, O15151</t>
  </si>
  <si>
    <t>CPX-6123</t>
  </si>
  <si>
    <t>cytochrome c oxidase subunit 1</t>
  </si>
  <si>
    <t>COX6A1,COX6B1,COX6C,COX7A2,COX7B,COX7C,COX8A,NDUFA4,MT-CO1,MT-CO2,MT-CO3,COX4I1,COX5A,COX5B</t>
  </si>
  <si>
    <t>P12074, P14854, P09669, P14406, P24311, P15954, P10176, O00483, P00395, P00403, P00414, P13073, P20674, P10606</t>
  </si>
  <si>
    <t>CPX-6154</t>
  </si>
  <si>
    <t>mitochondrial pyruvate carrier 1 (brain protein 44-like protein)</t>
  </si>
  <si>
    <t>MPC1,MPC2</t>
  </si>
  <si>
    <t>Q9Y5U8, O95563</t>
  </si>
  <si>
    <t>CPX-6155</t>
  </si>
  <si>
    <t>endoplasmic reticulum-associated amyloid beta-peptide-binding protein</t>
  </si>
  <si>
    <t>HSD17B10,TRMT10C,PRORP</t>
  </si>
  <si>
    <t>Q99714, Q7L0Y3, O15091</t>
  </si>
  <si>
    <t>CPX-6159</t>
  </si>
  <si>
    <t>C8B,C7,C8G,C8A,C6,C9,P01031-PRO_0000005985,P01031-PRO_0000005989</t>
  </si>
  <si>
    <t>P07358, P10643, P07360, P07357, P13671, P02748, P01031, P01031</t>
  </si>
  <si>
    <t>CPX-6161</t>
  </si>
  <si>
    <t>HSD17B10,TRMT10C</t>
  </si>
  <si>
    <t>Q99714, Q7L0Y3</t>
  </si>
  <si>
    <t>CPX-6176</t>
  </si>
  <si>
    <t>succinate--coa ligase [adp-forming] subunit beta, mitochondrial</t>
  </si>
  <si>
    <t>SUCLG1,SUCLA2</t>
  </si>
  <si>
    <t>P53597, Q9P2R7</t>
  </si>
  <si>
    <t>CPX-6802</t>
  </si>
  <si>
    <t>SF3B3,SF3B5,SUPT3H,TRRAP,KAT2B,TAF6L,TAF5L,SUPT7L,TADA3,TADA1,TAF9,TAF10,TAF12,ATXN7L3,USP22,ENY2,ATXN7,SUPT20H,SGF29,TADA2B</t>
  </si>
  <si>
    <t>Q15393, Q9BWJ5, O75486, Q9Y4A5, Q92831, Q9Y6J9, O75529, O94864, O75528, Q96BN2, Q16594, Q12962, Q16514, Q14CW9, Q9UPT9, Q9NPA8, O15265, Q8NEM7, Q96ES7, Q86TJ2</t>
  </si>
  <si>
    <t>CPX-7146</t>
  </si>
  <si>
    <t>tumor susceptibility gene 101 protein</t>
  </si>
  <si>
    <t>VPS37A,MVB12B,TSG101,VPS28</t>
  </si>
  <si>
    <t>Q8NEZ2, Q9H7P6-1, Q99816, Q9UK41</t>
  </si>
  <si>
    <t>CPX-7148</t>
  </si>
  <si>
    <t>VPS37D,MVB12A,TSG101,VPS28</t>
  </si>
  <si>
    <t>Q86XT2, Q96EY5, Q99816, Q9UK41</t>
  </si>
  <si>
    <t>CPX-7162</t>
  </si>
  <si>
    <t>VPS37A,MVB12A,TSG101,VPS28</t>
  </si>
  <si>
    <t>Q8NEZ2, Q96EY5, Q99816, Q9UK41</t>
  </si>
  <si>
    <t>CPX-7167</t>
  </si>
  <si>
    <t>VPS37D,MVB12B,TSG101,VPS28</t>
  </si>
  <si>
    <t>Q86XT2, Q9H7P6-1, Q99816, Q9UK41</t>
  </si>
  <si>
    <t>CPX-7181</t>
  </si>
  <si>
    <t>VPS37A,UBAP1,TSG101,VPS28</t>
  </si>
  <si>
    <t>Q8NEZ2, Q9NZ09, Q99816, Q9UK41</t>
  </si>
  <si>
    <t>CPX-7201</t>
  </si>
  <si>
    <t>VPS37B,UBAP1,TSG101,VPS28</t>
  </si>
  <si>
    <t>Q9H9H4, Q9NZ09, Q99816, Q9UK41</t>
  </si>
  <si>
    <t>CPX-7202</t>
  </si>
  <si>
    <t>VPS37C,UBAP1,TSG101,VPS28</t>
  </si>
  <si>
    <t>A5D8V6, Q9NZ09, Q99816, Q9UK41</t>
  </si>
  <si>
    <t>CPX-7203</t>
  </si>
  <si>
    <t>VPS37D,UBAP1,TSG101,VPS28</t>
  </si>
  <si>
    <t>Q86XT2, Q9NZ09, Q99816, Q9UK41</t>
  </si>
  <si>
    <t>CPX-7341</t>
  </si>
  <si>
    <t>DDX6,EDC4,EDC3,DCP2,DCP1B,XRN1</t>
  </si>
  <si>
    <t>P26196, Q6P2E9, Q96F86, Q8IU60, Q8IZD4, Q8IZH2</t>
  </si>
  <si>
    <t>CPX-7761</t>
  </si>
  <si>
    <t>CUL1,FBXW4,RBX1,SKP1</t>
  </si>
  <si>
    <t>Q13616, P57775, P62877, P63208</t>
  </si>
  <si>
    <t>CPX-7784</t>
  </si>
  <si>
    <t>CUL1,FBXW8,RBX1,SKP1,CUL7</t>
  </si>
  <si>
    <t>Q13616, Q8N3Y1, P62877, P63208, Q14999</t>
  </si>
  <si>
    <t>CPX-7821</t>
  </si>
  <si>
    <t>CUL1,FBXW11,RBX1,SKP1</t>
  </si>
  <si>
    <t>Q13616, Q9UKB1, P62877, P63208</t>
  </si>
  <si>
    <t>CPX-7846</t>
  </si>
  <si>
    <t>CUL1,CCNF,RBX1,SKP1</t>
  </si>
  <si>
    <t>Q13616, P41002, P62877, P63208</t>
  </si>
  <si>
    <t>CPX-7906</t>
  </si>
  <si>
    <t>CUL1,FBXO7,RBX1,SKP1</t>
  </si>
  <si>
    <t>Q13616, Q9Y3I1, P62877, P63208</t>
  </si>
  <si>
    <t>CPX-7923</t>
  </si>
  <si>
    <t>RBX1,SKP1,CUL1,FBXO10</t>
  </si>
  <si>
    <t>P62877, P63208, Q13616, Q9UK96</t>
  </si>
  <si>
    <t>CPX-7924</t>
  </si>
  <si>
    <t>FBXO11,RBX1,SKP1,CUL1</t>
  </si>
  <si>
    <t>Q86XK2, P62877, P63208, Q13616</t>
  </si>
  <si>
    <t>CPX-7928</t>
  </si>
  <si>
    <t>RBX1,SKP1,FBH1,CUL1</t>
  </si>
  <si>
    <t>P62877, P63208, Q8NFZ0, Q13616</t>
  </si>
  <si>
    <t>CPX-7965</t>
  </si>
  <si>
    <t>RBX1,SKP1,FBXO25,CUL1</t>
  </si>
  <si>
    <t>P62877, P63208, Q8TCJ0, Q13616</t>
  </si>
  <si>
    <t>CPX-7967</t>
  </si>
  <si>
    <t>RBX1,SKP1,FBXO28,CUL1</t>
  </si>
  <si>
    <t>P62877, P63208, Q9NVF7, Q13616</t>
  </si>
  <si>
    <t>CPX-7971</t>
  </si>
  <si>
    <t>RBX1,SKP1,FBXO31,CUL1</t>
  </si>
  <si>
    <t>P62877, P63208, Q5XUX0, Q13616</t>
  </si>
  <si>
    <t>CPX-7977</t>
  </si>
  <si>
    <t>RBX1,FBXO38,SKP1,CUL1</t>
  </si>
  <si>
    <t>P62877, Q6PIJ6, P63208, Q13616</t>
  </si>
  <si>
    <t>CPX-8002</t>
  </si>
  <si>
    <t>FBXO43,RBX1,SKP1,CUL1</t>
  </si>
  <si>
    <t>Q4G163, P62877, P63208, Q13616</t>
  </si>
  <si>
    <t>CPX-8007</t>
  </si>
  <si>
    <t>KLHL1,CUL3,RBX1</t>
  </si>
  <si>
    <t>Q9NR64, Q13618, P62877</t>
  </si>
  <si>
    <t>CPX-8025</t>
  </si>
  <si>
    <t>KLHL2,CUL3,RBX1</t>
  </si>
  <si>
    <t>O95198, Q13618, P62877</t>
  </si>
  <si>
    <t>CPX-8041</t>
  </si>
  <si>
    <t>KLHL3,CUL3,RBX1</t>
  </si>
  <si>
    <t>Q9UH77, Q13618, P62877</t>
  </si>
  <si>
    <t>CPX-8061</t>
  </si>
  <si>
    <t>KLHL4,CUL3,RBX1</t>
  </si>
  <si>
    <t>Q9C0H6, Q13618, P62877</t>
  </si>
  <si>
    <t>CPX-8063</t>
  </si>
  <si>
    <t>KLHL5,CUL3,RBX1</t>
  </si>
  <si>
    <t>Q96PQ7, Q13618, P62877</t>
  </si>
  <si>
    <t>CPX-8064</t>
  </si>
  <si>
    <t>KLHL6,CUL3,RBX1</t>
  </si>
  <si>
    <t>Q8WZ60, Q13618, P62877</t>
  </si>
  <si>
    <t>CPX-8081</t>
  </si>
  <si>
    <t>midasin</t>
  </si>
  <si>
    <t>NOL9,WDR18,LAS1L,MDN1,PELP1,TEX10,SENP3</t>
  </si>
  <si>
    <t>Q5SY16, Q9BV38, Q9Y4W2, Q9NU22, Q8IZL8, Q9NXF1, Q9H4L4</t>
  </si>
  <si>
    <t>CPX-8083</t>
  </si>
  <si>
    <t>KLHL9,CUL3,RBX1</t>
  </si>
  <si>
    <t>Q9P2J3, Q13618, P62877</t>
  </si>
  <si>
    <t>CPX-8084</t>
  </si>
  <si>
    <t>KLHL7,CUL3,RBX1</t>
  </si>
  <si>
    <t>Q8IXQ5, Q13618, P62877</t>
  </si>
  <si>
    <t>CPX-8085</t>
  </si>
  <si>
    <t>KLHL8,CUL3,RBX1</t>
  </si>
  <si>
    <t>Q9P2G9, Q13618, P62877</t>
  </si>
  <si>
    <t>CPX-8087</t>
  </si>
  <si>
    <t>KLHL10,CUL3,RBX1</t>
  </si>
  <si>
    <t>Q6JEL2, Q13618, P62877</t>
  </si>
  <si>
    <t>CPX-8088</t>
  </si>
  <si>
    <t>KLHL11,CUL3,RBX1</t>
  </si>
  <si>
    <t>Q9NVR0, Q13618, P62877</t>
  </si>
  <si>
    <t>CPX-8089</t>
  </si>
  <si>
    <t>KLHL12,CUL3,RBX1</t>
  </si>
  <si>
    <t>Q53G59, Q13618, P62877</t>
  </si>
  <si>
    <t>CPX-8090</t>
  </si>
  <si>
    <t>KLHL13,CUL3,RBX1</t>
  </si>
  <si>
    <t>Q9P2N7, Q13618, P62877</t>
  </si>
  <si>
    <t>CPX-8091</t>
  </si>
  <si>
    <t>KLHL14,CUL3,RBX1</t>
  </si>
  <si>
    <t>Q9P2G3, Q13618, P62877</t>
  </si>
  <si>
    <t>CPX-8097</t>
  </si>
  <si>
    <t>KLHL15,CUL3,RBX1</t>
  </si>
  <si>
    <t>Q96M94, Q13618, P62877</t>
  </si>
  <si>
    <t>CPX-8102</t>
  </si>
  <si>
    <t>GAN,CUL3,RBX1</t>
  </si>
  <si>
    <t>Q9H2C0, Q13618, P62877</t>
  </si>
  <si>
    <t>CPX-8103</t>
  </si>
  <si>
    <t>KLHL17,CUL3,RBX1</t>
  </si>
  <si>
    <t>Q6TDP4, Q13618, P62877</t>
  </si>
  <si>
    <t>CPX-8106</t>
  </si>
  <si>
    <t>KLHL18,CUL3,RBX1</t>
  </si>
  <si>
    <t>O94889, Q13618, P62877</t>
  </si>
  <si>
    <t>CPX-8107</t>
  </si>
  <si>
    <t>KEAP1,CUL3,RBX1</t>
  </si>
  <si>
    <t>Q14145, Q13618, P62877</t>
  </si>
  <si>
    <t>CPX-8109</t>
  </si>
  <si>
    <t>KLHL20,CUL3,RBX1</t>
  </si>
  <si>
    <t>Q9Y2M5, Q13618, P62877</t>
  </si>
  <si>
    <t>CPX-8110</t>
  </si>
  <si>
    <t>KLHL21,CUL3,RBX1</t>
  </si>
  <si>
    <t>Q9UJP4, Q13618, P62877</t>
  </si>
  <si>
    <t>CPX-8122</t>
  </si>
  <si>
    <t>KLHL22,CUL3,RBX1</t>
  </si>
  <si>
    <t>Q53GT1, Q13618, P62877</t>
  </si>
  <si>
    <t>CPX-8123</t>
  </si>
  <si>
    <t>KLHL23,CUL3,RBX1</t>
  </si>
  <si>
    <t>Q8NBE8, Q13618, P62877</t>
  </si>
  <si>
    <t>CPX-8125</t>
  </si>
  <si>
    <t>KLHL24,CUL3,RBX1</t>
  </si>
  <si>
    <t>Q6TFL4, Q13618, P62877</t>
  </si>
  <si>
    <t>CPX-8126</t>
  </si>
  <si>
    <t>KLHL25,CUL3,RBX1</t>
  </si>
  <si>
    <t>Q9H0H3, Q13618, P62877</t>
  </si>
  <si>
    <t>CPX-8130</t>
  </si>
  <si>
    <t>KLHL26,CUL3,RBX1</t>
  </si>
  <si>
    <t>Q53HC5, Q13618, P62877</t>
  </si>
  <si>
    <t>CPX-8131</t>
  </si>
  <si>
    <t>IPP,CUL3,RBX1</t>
  </si>
  <si>
    <t>Q9Y573, Q13618, P62877</t>
  </si>
  <si>
    <t>CPX-8135</t>
  </si>
  <si>
    <t>KLHL28,CUL3,RBX1</t>
  </si>
  <si>
    <t>Q9NXS3, Q13618, P62877</t>
  </si>
  <si>
    <t>CPX-8147</t>
  </si>
  <si>
    <t>KLHL29,CUL3,RBX1</t>
  </si>
  <si>
    <t>Q96CT2, Q13618, P62877</t>
  </si>
  <si>
    <t>CPX-8150</t>
  </si>
  <si>
    <t>KLHL30,CUL3,RBX1</t>
  </si>
  <si>
    <t>Q0D2K2, Q13618, P62877</t>
  </si>
  <si>
    <t>CPX-8151</t>
  </si>
  <si>
    <t>KLHL31,CUL3,RBX1</t>
  </si>
  <si>
    <t>Q9H511, Q13618, P62877</t>
  </si>
  <si>
    <t>CPX-8201</t>
  </si>
  <si>
    <t>KLHL32,CUL3,RBX1</t>
  </si>
  <si>
    <t>Q96NJ5, Q13618, P62877</t>
  </si>
  <si>
    <t>CPX-8202</t>
  </si>
  <si>
    <t>KLHL34,CUL3,RBX1</t>
  </si>
  <si>
    <t>Q8N239, Q13618, P62877</t>
  </si>
  <si>
    <t>CPX-8221</t>
  </si>
  <si>
    <t>KLHL35,CUL3,RBX1</t>
  </si>
  <si>
    <t>Q6PF15, Q13618, P62877</t>
  </si>
  <si>
    <t>CPX-8222</t>
  </si>
  <si>
    <t>KLHL36,CUL3,RBX1</t>
  </si>
  <si>
    <t>Q8N4N3, Q13618, P62877</t>
  </si>
  <si>
    <t>CPX-8241</t>
  </si>
  <si>
    <t>ENC1,CUL3,RBX1</t>
  </si>
  <si>
    <t>O14682, Q13618, P62877</t>
  </si>
  <si>
    <t>CPX-8242</t>
  </si>
  <si>
    <t>KLHL38,CUL3,RBX1</t>
  </si>
  <si>
    <t>Q2WGJ6, Q13618, P62877</t>
  </si>
  <si>
    <t>CPX-8261</t>
  </si>
  <si>
    <t>KLHL40,CUL3,RBX1</t>
  </si>
  <si>
    <t>Q2TBA0, Q13618, P62877</t>
  </si>
  <si>
    <t>CPX-8262</t>
  </si>
  <si>
    <t>KLHL41,CUL3,RBX1</t>
  </si>
  <si>
    <t>O60662, Q13618, P62877</t>
  </si>
  <si>
    <t>CPX-8263</t>
  </si>
  <si>
    <t>KLHL42,CUL3,RBX1</t>
  </si>
  <si>
    <t>Q9P2K6, Q13618, P62877</t>
  </si>
  <si>
    <t>CPX-8302</t>
  </si>
  <si>
    <t>ferrochelatase, mitochondrial</t>
  </si>
  <si>
    <t>ABCB10,ABCB7,FECH</t>
  </si>
  <si>
    <t>Q9NRK6, O75027, P22830</t>
  </si>
  <si>
    <t>CPX-8577</t>
  </si>
  <si>
    <t>gaba-a receptor; alpha-1/beta-2/gamma-2</t>
  </si>
  <si>
    <t>GABRB2,GABRG2,GABRA2</t>
  </si>
  <si>
    <t>P47870, P18507, P47869</t>
  </si>
  <si>
    <t>CPX-8636</t>
  </si>
  <si>
    <t>GABRA1,GABRB1,GABRG2</t>
  </si>
  <si>
    <t>P14867, P18505, P18507</t>
  </si>
  <si>
    <t>CPX-8643</t>
  </si>
  <si>
    <t>sodium channel protein type ii alpha subunit</t>
  </si>
  <si>
    <t>SCN1B,SCN2B,SCN2A</t>
  </si>
  <si>
    <t>Q07699, O60939, Q99250</t>
  </si>
  <si>
    <t>CPX-8644</t>
  </si>
  <si>
    <t>SCN3B,SCN2B,SCN2A</t>
  </si>
  <si>
    <t>Q9NY72, O60939, Q99250</t>
  </si>
  <si>
    <t>CPX-8645</t>
  </si>
  <si>
    <t>SCN1B,SCN4B,SCN2A</t>
  </si>
  <si>
    <t>Q07699, Q8IWT1, Q99250</t>
  </si>
  <si>
    <t>CPX-8646</t>
  </si>
  <si>
    <t>SCN3B,SCN4B,SCN2A</t>
  </si>
  <si>
    <t>Q9NY72, Q8IWT1, Q99250</t>
  </si>
  <si>
    <t>CPX-8669</t>
  </si>
  <si>
    <t>sodium channel protein type v alpha subunit</t>
  </si>
  <si>
    <t>SCN5A,SCN1B,SCN2B</t>
  </si>
  <si>
    <t>Q14524, Q07699, O60939</t>
  </si>
  <si>
    <t>CPX-8670</t>
  </si>
  <si>
    <t>SCN5A,SCN1B,SCN4B</t>
  </si>
  <si>
    <t>Q14524, Q07699, Q8IWT1</t>
  </si>
  <si>
    <t>CPX-8671</t>
  </si>
  <si>
    <t>SCN5A,SCN3B,SCN2B</t>
  </si>
  <si>
    <t>Q14524, Q9NY72, O60939</t>
  </si>
  <si>
    <t>CPX-8672</t>
  </si>
  <si>
    <t>SCN5A,SCN3B,SCN4B</t>
  </si>
  <si>
    <t>Q14524, Q9NY72, Q8IWT1</t>
  </si>
  <si>
    <t>CPX-8702</t>
  </si>
  <si>
    <t>GABRA2,GABRG2,GABRB1</t>
  </si>
  <si>
    <t>P47869, P18507, P18505</t>
  </si>
  <si>
    <t>CPX-8721</t>
  </si>
  <si>
    <t>GABRB1,GABRA3,GABRG2</t>
  </si>
  <si>
    <t>P18505, P34903, P18507</t>
  </si>
  <si>
    <t>CPX-8723</t>
  </si>
  <si>
    <t>gaba-a receptor alpha-4/beta-3/delta</t>
  </si>
  <si>
    <t>GABRB1,GABRA4,GABRG2</t>
  </si>
  <si>
    <t>P18505, P48169, P18507</t>
  </si>
  <si>
    <t>CPX-8724</t>
  </si>
  <si>
    <t>gaba(a) receptor alpha-5 (gabra5)</t>
  </si>
  <si>
    <t>GABRG2,GABRA5,GABRB1</t>
  </si>
  <si>
    <t>P18507, P31644, P18505</t>
  </si>
  <si>
    <t>CPX-8727</t>
  </si>
  <si>
    <t>GABRG2,GABRA6,GABRB1</t>
  </si>
  <si>
    <t>P18507, Q16445, P18505</t>
  </si>
  <si>
    <t>CPX-8828</t>
  </si>
  <si>
    <t>tnf-alpha</t>
  </si>
  <si>
    <t>P01375-PRO_0000034424,P19438-PRO_0000034543</t>
  </si>
  <si>
    <t>P01375, P19438</t>
  </si>
  <si>
    <t>CPX-8932</t>
  </si>
  <si>
    <t>P01375-PRO_0000034423,P19438-PRO_0000034543</t>
  </si>
  <si>
    <t>AADAC</t>
  </si>
  <si>
    <t>arylacetamide deacetylase</t>
  </si>
  <si>
    <t>P22760</t>
  </si>
  <si>
    <t>T2</t>
  </si>
  <si>
    <t>AAK1</t>
  </si>
  <si>
    <t>adaptor-associated kinase</t>
  </si>
  <si>
    <t>Q2M2I8</t>
  </si>
  <si>
    <t>ABCB1</t>
  </si>
  <si>
    <t>p-glycoprotein 1</t>
  </si>
  <si>
    <t>P08183</t>
  </si>
  <si>
    <t>ABCC1</t>
  </si>
  <si>
    <t>multidrug resistance-associated protein 1</t>
  </si>
  <si>
    <t>P33527</t>
  </si>
  <si>
    <t>ABCC5</t>
  </si>
  <si>
    <t>multidrug resistance-associated protein 5</t>
  </si>
  <si>
    <t>O15440</t>
  </si>
  <si>
    <t>ABCC6</t>
  </si>
  <si>
    <t>multidrug resistance-associated protein 6</t>
  </si>
  <si>
    <t>O95255</t>
  </si>
  <si>
    <t>ABCC10</t>
  </si>
  <si>
    <t>multidrug resistance-associated protein 7</t>
  </si>
  <si>
    <t>Q5T3U5</t>
  </si>
  <si>
    <t>ABCC11</t>
  </si>
  <si>
    <t>atp-binding cassette sub-family c member 11</t>
  </si>
  <si>
    <t>Q96J66</t>
  </si>
  <si>
    <t>ABCG2</t>
  </si>
  <si>
    <t>atp-binding cassette sub-family g member 2</t>
  </si>
  <si>
    <t>Q9UNQ0</t>
  </si>
  <si>
    <t>ABL1</t>
  </si>
  <si>
    <t>tyrosine-protein kinase abl</t>
  </si>
  <si>
    <t>P00519</t>
  </si>
  <si>
    <t>ABL2</t>
  </si>
  <si>
    <t>tyrosine-protein kinase abl2</t>
  </si>
  <si>
    <t>P42684</t>
  </si>
  <si>
    <t>ACAD10</t>
  </si>
  <si>
    <t>acyl-coa dehydrogenase family member 10</t>
  </si>
  <si>
    <t>Q6JQN1</t>
  </si>
  <si>
    <t>ACAD11</t>
  </si>
  <si>
    <t>acyl-coa dehydrogenase family member 11</t>
  </si>
  <si>
    <t>Q709F0</t>
  </si>
  <si>
    <t>ACADVL</t>
  </si>
  <si>
    <t>very long-chain specific acyl-coa dehydrogenase, mitochondrial</t>
  </si>
  <si>
    <t>P49748</t>
  </si>
  <si>
    <t>ACE</t>
  </si>
  <si>
    <t>angiotensin-converting enzyme</t>
  </si>
  <si>
    <t>P12821</t>
  </si>
  <si>
    <t>ACMSD</t>
  </si>
  <si>
    <t>2-amino-3-carboxymuconate-6-semialdehyde decarboxylase</t>
  </si>
  <si>
    <t>Q8TDX5</t>
  </si>
  <si>
    <t>ACOX1</t>
  </si>
  <si>
    <t>peroxisomal acyl-coenzyme a oxidase 1</t>
  </si>
  <si>
    <t>Q15067</t>
  </si>
  <si>
    <t>ACOX3</t>
  </si>
  <si>
    <t>peroxisomal acyl-coenzyme a oxidase 3</t>
  </si>
  <si>
    <t>O15254</t>
  </si>
  <si>
    <t>ACR</t>
  </si>
  <si>
    <t>acrosin</t>
  </si>
  <si>
    <t>P10323</t>
  </si>
  <si>
    <t>ACSL5</t>
  </si>
  <si>
    <t>long-chain-fatty-acid--coa ligase 5</t>
  </si>
  <si>
    <t>Q9ULC5</t>
  </si>
  <si>
    <t>ACVR1</t>
  </si>
  <si>
    <t>activin receptor type-1</t>
  </si>
  <si>
    <t>Q04771</t>
  </si>
  <si>
    <t>ACVR1B</t>
  </si>
  <si>
    <t>activin receptor type-1b</t>
  </si>
  <si>
    <t>P36896</t>
  </si>
  <si>
    <t>ACVR2A</t>
  </si>
  <si>
    <t>activin receptor type-2a</t>
  </si>
  <si>
    <t>P27037</t>
  </si>
  <si>
    <t>ACVR2B</t>
  </si>
  <si>
    <t>activin receptor type-2b</t>
  </si>
  <si>
    <t>Q13705</t>
  </si>
  <si>
    <t>ACVRL1</t>
  </si>
  <si>
    <t>serine/threonine-protein kinase receptor r3</t>
  </si>
  <si>
    <t>P37023</t>
  </si>
  <si>
    <t>ADCK1</t>
  </si>
  <si>
    <t>uncharacterized aarf domain-containing protein kinase 1</t>
  </si>
  <si>
    <t>Q86TW2</t>
  </si>
  <si>
    <t>ADCK5</t>
  </si>
  <si>
    <t>uncharacterized aarf domain-containing protein kinase 5</t>
  </si>
  <si>
    <t>Q3MIX3</t>
  </si>
  <si>
    <t>ADCY1</t>
  </si>
  <si>
    <t>brain adenylate cyclase 1</t>
  </si>
  <si>
    <t>Q08828</t>
  </si>
  <si>
    <t>ADK</t>
  </si>
  <si>
    <t>adenosine kinase</t>
  </si>
  <si>
    <t>P55263</t>
  </si>
  <si>
    <t>ADORA2B</t>
  </si>
  <si>
    <t>adenosine a2b receptor</t>
  </si>
  <si>
    <t>P29275</t>
  </si>
  <si>
    <t>ADRA1B</t>
  </si>
  <si>
    <t>alpha-1b adrenergic receptor</t>
  </si>
  <si>
    <t>P35368</t>
  </si>
  <si>
    <t>AGER</t>
  </si>
  <si>
    <t>advanced glycosylation end product receptor (ager)</t>
  </si>
  <si>
    <t>Q15109</t>
  </si>
  <si>
    <t>AHR</t>
  </si>
  <si>
    <t>aryl hydrocarbon receptor</t>
  </si>
  <si>
    <t>P35869</t>
  </si>
  <si>
    <t>AK2</t>
  </si>
  <si>
    <t>adenylate kinase 2</t>
  </si>
  <si>
    <t>P54819</t>
  </si>
  <si>
    <t>AKR1B1</t>
  </si>
  <si>
    <t>aldose reductase</t>
  </si>
  <si>
    <t>P15121</t>
  </si>
  <si>
    <t>AKR1B10</t>
  </si>
  <si>
    <t>aldo-keto reductase family 1 member b10</t>
  </si>
  <si>
    <t>O60218</t>
  </si>
  <si>
    <t>AKR1C1</t>
  </si>
  <si>
    <t>aldo-keto reductase family 1 member c1</t>
  </si>
  <si>
    <t>Q04828</t>
  </si>
  <si>
    <t>AKR1C2</t>
  </si>
  <si>
    <t>aldo-keto reductase family 1 member c2</t>
  </si>
  <si>
    <t>P52895</t>
  </si>
  <si>
    <t>AKR1C3</t>
  </si>
  <si>
    <t>aldo-keto-reductase family 1 member c3</t>
  </si>
  <si>
    <t>P42330</t>
  </si>
  <si>
    <t>AKR1C4</t>
  </si>
  <si>
    <t>aldo-keto reductase family 1 member c4</t>
  </si>
  <si>
    <t>P17516</t>
  </si>
  <si>
    <t>AKT1</t>
  </si>
  <si>
    <t>serine/threonine-protein kinase akt</t>
  </si>
  <si>
    <t>P31749</t>
  </si>
  <si>
    <t>AKT2</t>
  </si>
  <si>
    <t>serine/threonine-protein kinase akt2</t>
  </si>
  <si>
    <t>P31751</t>
  </si>
  <si>
    <t>AKT3</t>
  </si>
  <si>
    <t>serine/threonine-protein kinase akt3</t>
  </si>
  <si>
    <t>Q9Y243</t>
  </si>
  <si>
    <t>ALB</t>
  </si>
  <si>
    <t>serum albumin</t>
  </si>
  <si>
    <t>P02768</t>
  </si>
  <si>
    <t>ALDH1A2</t>
  </si>
  <si>
    <t>retinal dehydrogenase 2</t>
  </si>
  <si>
    <t>O94788</t>
  </si>
  <si>
    <t>ALDH1A3</t>
  </si>
  <si>
    <t>aldehyde dehydrogenase 1a3</t>
  </si>
  <si>
    <t>P47895</t>
  </si>
  <si>
    <t>ALDH1B1</t>
  </si>
  <si>
    <t>aldehyde dehydrogenase x</t>
  </si>
  <si>
    <t>P30837</t>
  </si>
  <si>
    <t>ALDH2</t>
  </si>
  <si>
    <t>aldehyde dehydrogenase</t>
  </si>
  <si>
    <t>P05091</t>
  </si>
  <si>
    <t>ALDH3A1</t>
  </si>
  <si>
    <t>aldehyde dehydrogenase dimeric nadp-preferring</t>
  </si>
  <si>
    <t>P30838</t>
  </si>
  <si>
    <t>ALK</t>
  </si>
  <si>
    <t>alk tyrosine kinase receptor</t>
  </si>
  <si>
    <t>Q9UM73</t>
  </si>
  <si>
    <t>ALOX5</t>
  </si>
  <si>
    <t>arachidonate 5-lipoxygenase</t>
  </si>
  <si>
    <t>P09917</t>
  </si>
  <si>
    <t>ALOX12</t>
  </si>
  <si>
    <t>arachidonate 12-lipoxygenase</t>
  </si>
  <si>
    <t>P18054</t>
  </si>
  <si>
    <t>ALOX15B</t>
  </si>
  <si>
    <t>arachidonate 15-lipoxygenase, type ii</t>
  </si>
  <si>
    <t>O15296</t>
  </si>
  <si>
    <t>ALPG</t>
  </si>
  <si>
    <t>alkaline phosphatase placental-like</t>
  </si>
  <si>
    <t>P10696</t>
  </si>
  <si>
    <t>ALPI</t>
  </si>
  <si>
    <t>intestinal alkaline phosphatase</t>
  </si>
  <si>
    <t>P09923</t>
  </si>
  <si>
    <t>ALPL</t>
  </si>
  <si>
    <t>alkaline phosphatase, tissue-nonspecific isozyme</t>
  </si>
  <si>
    <t>P05186</t>
  </si>
  <si>
    <t>AMY1A</t>
  </si>
  <si>
    <t>salivary alpha-amylase</t>
  </si>
  <si>
    <t>P0DUB6</t>
  </si>
  <si>
    <t>ANGPT1</t>
  </si>
  <si>
    <t>angiopoietin-1 (angpt1)</t>
  </si>
  <si>
    <t>Q15389</t>
  </si>
  <si>
    <t>ANGPT2</t>
  </si>
  <si>
    <t>angiopoietin-2 (angpt2)</t>
  </si>
  <si>
    <t>O15123</t>
  </si>
  <si>
    <t>ANKK1</t>
  </si>
  <si>
    <t>ankyrin repeat and protein kinase domain-containing protein 1</t>
  </si>
  <si>
    <t>Q8NFD2</t>
  </si>
  <si>
    <t>ANPEP</t>
  </si>
  <si>
    <t>aminopeptidase n</t>
  </si>
  <si>
    <t>P15144</t>
  </si>
  <si>
    <t>ANTXR2</t>
  </si>
  <si>
    <t>anthrax toxin receptor 2</t>
  </si>
  <si>
    <t>P58335</t>
  </si>
  <si>
    <t>AOX1</t>
  </si>
  <si>
    <t>aldehyde oxidase</t>
  </si>
  <si>
    <t>Q06278</t>
  </si>
  <si>
    <t>APEX1</t>
  </si>
  <si>
    <t>dna-(apurinic or apyrimidinic site) lyase</t>
  </si>
  <si>
    <t>P27695</t>
  </si>
  <si>
    <t>APOBEC3F</t>
  </si>
  <si>
    <t>dna dc-&gt;du-editing enzyme apobec-3f</t>
  </si>
  <si>
    <t>Q8IUX4</t>
  </si>
  <si>
    <t>APOBEC3G</t>
  </si>
  <si>
    <t>dna dc-&gt;du-editing enzyme apobec-3g</t>
  </si>
  <si>
    <t>Q9HC16</t>
  </si>
  <si>
    <t>APRT</t>
  </si>
  <si>
    <t>adenine phosphoribosyltransferase</t>
  </si>
  <si>
    <t>P07741</t>
  </si>
  <si>
    <t>AQP2</t>
  </si>
  <si>
    <t>aquaporin-2</t>
  </si>
  <si>
    <t>P41181</t>
  </si>
  <si>
    <t>AR</t>
  </si>
  <si>
    <t>androgen receptor</t>
  </si>
  <si>
    <t>P10275</t>
  </si>
  <si>
    <t>ARAF</t>
  </si>
  <si>
    <t>serine/threonine-protein kinase a-raf</t>
  </si>
  <si>
    <t>P10398</t>
  </si>
  <si>
    <t>ATM</t>
  </si>
  <si>
    <t>serine-protein kinase atm</t>
  </si>
  <si>
    <t>Q13315</t>
  </si>
  <si>
    <t>ATP12A</t>
  </si>
  <si>
    <t>potassium-transporting atpase alpha chain 2</t>
  </si>
  <si>
    <t>P54707</t>
  </si>
  <si>
    <t>ATR</t>
  </si>
  <si>
    <t>serine-protein kinase atr</t>
  </si>
  <si>
    <t>Q13535</t>
  </si>
  <si>
    <t>AURKA</t>
  </si>
  <si>
    <t>serine/threonine-protein kinase aurora-a</t>
  </si>
  <si>
    <t>O14965</t>
  </si>
  <si>
    <t>AURKB</t>
  </si>
  <si>
    <t>serine/threonine-protein kinase aurora-b</t>
  </si>
  <si>
    <t>Q96GD4</t>
  </si>
  <si>
    <t>AURKC</t>
  </si>
  <si>
    <t>serine/threonine-protein kinase aurora-c</t>
  </si>
  <si>
    <t>Q9UQB9</t>
  </si>
  <si>
    <t>AVPR2</t>
  </si>
  <si>
    <t>vasopressin v2 receptor</t>
  </si>
  <si>
    <t>P30518</t>
  </si>
  <si>
    <t>AXL</t>
  </si>
  <si>
    <t>tyrosine-protein kinase receptor ufo</t>
  </si>
  <si>
    <t>P30530</t>
  </si>
  <si>
    <t>BACE1</t>
  </si>
  <si>
    <t>beta-secretase 1</t>
  </si>
  <si>
    <t>P56817</t>
  </si>
  <si>
    <t>BACE2</t>
  </si>
  <si>
    <t>beta secretase 2</t>
  </si>
  <si>
    <t>Q9Y5Z0</t>
  </si>
  <si>
    <t>BAZ2B</t>
  </si>
  <si>
    <t>bromodomain adjacent to zinc finger domain protein 2b</t>
  </si>
  <si>
    <t>Q9UIF8</t>
  </si>
  <si>
    <t>BCR</t>
  </si>
  <si>
    <t>breakpoint cluster region protein</t>
  </si>
  <si>
    <t>P11274</t>
  </si>
  <si>
    <t>BLK</t>
  </si>
  <si>
    <t>tyrosine-protein kinase blk</t>
  </si>
  <si>
    <t>P51451</t>
  </si>
  <si>
    <t>BMP2K</t>
  </si>
  <si>
    <t>bmp-2-inducible protein kinase</t>
  </si>
  <si>
    <t>Q9NSY1</t>
  </si>
  <si>
    <t>BMPR1A</t>
  </si>
  <si>
    <t>bone morphogenetic protein receptor type-1a</t>
  </si>
  <si>
    <t>P36894</t>
  </si>
  <si>
    <t>BMPR1B</t>
  </si>
  <si>
    <t>bone morphogenetic protein receptor type-1b</t>
  </si>
  <si>
    <t>O00238</t>
  </si>
  <si>
    <t>BMPR2</t>
  </si>
  <si>
    <t>bone morphogenetic protein receptor type-2</t>
  </si>
  <si>
    <t>Q13873</t>
  </si>
  <si>
    <t>BMX</t>
  </si>
  <si>
    <t>tyrosine-protein kinase bmx</t>
  </si>
  <si>
    <t>P51813</t>
  </si>
  <si>
    <t>BRAF</t>
  </si>
  <si>
    <t>serine/threonine-protein kinase b-raf</t>
  </si>
  <si>
    <t>P15056</t>
  </si>
  <si>
    <t>BRD2</t>
  </si>
  <si>
    <t>bromodomain-containing protein 2</t>
  </si>
  <si>
    <t>P25440</t>
  </si>
  <si>
    <t>BRD3</t>
  </si>
  <si>
    <t>bromodomain-containing protein 3</t>
  </si>
  <si>
    <t>Q15059</t>
  </si>
  <si>
    <t>BRDT</t>
  </si>
  <si>
    <t>bromodomain testis-specific protein</t>
  </si>
  <si>
    <t>Q58F21</t>
  </si>
  <si>
    <t>BRS3</t>
  </si>
  <si>
    <t>bombesin receptor subtype-3</t>
  </si>
  <si>
    <t>P32247</t>
  </si>
  <si>
    <t>BRSK1</t>
  </si>
  <si>
    <t>br serine/threonine-protein kinase 1</t>
  </si>
  <si>
    <t>Q8TDC3</t>
  </si>
  <si>
    <t>BRSK2</t>
  </si>
  <si>
    <t>br serine/threonine-protein kinase 2</t>
  </si>
  <si>
    <t>Q8IWQ3</t>
  </si>
  <si>
    <t>BTK</t>
  </si>
  <si>
    <t>tyrosine-protein kinase btk</t>
  </si>
  <si>
    <t>Q06187</t>
  </si>
  <si>
    <t>BUB1</t>
  </si>
  <si>
    <t>mitotic checkpoint serine/threonine-protein kinase bub1</t>
  </si>
  <si>
    <t>O43683</t>
  </si>
  <si>
    <t>BUB1B</t>
  </si>
  <si>
    <t>mitotic checkpoint serine/threonine-protein kinase bub1 beta</t>
  </si>
  <si>
    <t>O60566</t>
  </si>
  <si>
    <t>CA1</t>
  </si>
  <si>
    <t>carbonic anhydrase i</t>
  </si>
  <si>
    <t>P00915</t>
  </si>
  <si>
    <t>CA3</t>
  </si>
  <si>
    <t>carbonic anhydrase iii</t>
  </si>
  <si>
    <t>P07451</t>
  </si>
  <si>
    <t>CA4</t>
  </si>
  <si>
    <t>carbonic anhydrase iv</t>
  </si>
  <si>
    <t>P22748</t>
  </si>
  <si>
    <t>CA5A</t>
  </si>
  <si>
    <t>carbonic anhydrase va</t>
  </si>
  <si>
    <t>P35218</t>
  </si>
  <si>
    <t>CA5B</t>
  </si>
  <si>
    <t>carbonic anhydrase vb</t>
  </si>
  <si>
    <t>Q9Y2D0</t>
  </si>
  <si>
    <t>CA6</t>
  </si>
  <si>
    <t>carbonic anhydrase vi</t>
  </si>
  <si>
    <t>P23280</t>
  </si>
  <si>
    <t>CA7</t>
  </si>
  <si>
    <t>carbonic anhydrase vii</t>
  </si>
  <si>
    <t>P43166</t>
  </si>
  <si>
    <t>CA9</t>
  </si>
  <si>
    <t>carbonic anhydrase ix</t>
  </si>
  <si>
    <t>Q16790</t>
  </si>
  <si>
    <t>CA12</t>
  </si>
  <si>
    <t>carbonic anhydrase xii</t>
  </si>
  <si>
    <t>O43570</t>
  </si>
  <si>
    <t>CA13</t>
  </si>
  <si>
    <t>carbonic anhydrase xiii</t>
  </si>
  <si>
    <t>Q8N1Q1</t>
  </si>
  <si>
    <t>CA14</t>
  </si>
  <si>
    <t>carbonic anhydrase xiv</t>
  </si>
  <si>
    <t>Q9ULX7</t>
  </si>
  <si>
    <t>CACNA1B</t>
  </si>
  <si>
    <t>voltage-gated n-type calcium channel alpha-1b subunit</t>
  </si>
  <si>
    <t>Q00975</t>
  </si>
  <si>
    <t>CACNA1D</t>
  </si>
  <si>
    <t>voltage-gated calcium channel alpha cav1.3 (cacna1d)</t>
  </si>
  <si>
    <t>Q01668</t>
  </si>
  <si>
    <t>CAD</t>
  </si>
  <si>
    <t>dihydroorotase</t>
  </si>
  <si>
    <t>P27708</t>
  </si>
  <si>
    <t>CAMK1</t>
  </si>
  <si>
    <t>cam kinase i alpha</t>
  </si>
  <si>
    <t>Q14012</t>
  </si>
  <si>
    <t>CAMK1D</t>
  </si>
  <si>
    <t>cam kinase i delta</t>
  </si>
  <si>
    <t>Q8IU85</t>
  </si>
  <si>
    <t>CAMK1G</t>
  </si>
  <si>
    <t>cam kinase i gamma</t>
  </si>
  <si>
    <t>Q96NX5</t>
  </si>
  <si>
    <t>CAMK2A</t>
  </si>
  <si>
    <t>cam kinase ii alpha</t>
  </si>
  <si>
    <t>Q9UQM7</t>
  </si>
  <si>
    <t>CAMK2B</t>
  </si>
  <si>
    <t>cam kinase ii beta</t>
  </si>
  <si>
    <t>Q13554</t>
  </si>
  <si>
    <t>CAMK2D</t>
  </si>
  <si>
    <t>cam kinase ii delta</t>
  </si>
  <si>
    <t>Q13557</t>
  </si>
  <si>
    <t>CAMK2G</t>
  </si>
  <si>
    <t>cam kinase ii gamma</t>
  </si>
  <si>
    <t>Q13555</t>
  </si>
  <si>
    <t>CAMK4</t>
  </si>
  <si>
    <t>cam kinase iv</t>
  </si>
  <si>
    <t>Q16566</t>
  </si>
  <si>
    <t>CAMKK1</t>
  </si>
  <si>
    <t>cam-kinase kinase alpha</t>
  </si>
  <si>
    <t>Q8N5S9</t>
  </si>
  <si>
    <t>CAMKK2</t>
  </si>
  <si>
    <t>cam-kinase kinase beta</t>
  </si>
  <si>
    <t>Q96RR4</t>
  </si>
  <si>
    <t>CARS1</t>
  </si>
  <si>
    <t>cysteine--trna ligase, cytoplasmic</t>
  </si>
  <si>
    <t>P49589</t>
  </si>
  <si>
    <t>CASK</t>
  </si>
  <si>
    <t>peripheral plasma membrane protein cask</t>
  </si>
  <si>
    <t>O14936</t>
  </si>
  <si>
    <t>CBR1</t>
  </si>
  <si>
    <t>carbonyl reductase [nadph] 1</t>
  </si>
  <si>
    <t>P16152</t>
  </si>
  <si>
    <t>CD38</t>
  </si>
  <si>
    <t>lymphocyte differentiation antigen cd38</t>
  </si>
  <si>
    <t>P28907</t>
  </si>
  <si>
    <t>CDC7</t>
  </si>
  <si>
    <t>cdc7/dbf4 (cell division cycle 7-related protein kinase/activator of s phase kinase)</t>
  </si>
  <si>
    <t>O00311</t>
  </si>
  <si>
    <t>CDC42BPA</t>
  </si>
  <si>
    <t>serine/threonine-protein kinase mrck-a</t>
  </si>
  <si>
    <t>Q5VT25</t>
  </si>
  <si>
    <t>CDC42BPB</t>
  </si>
  <si>
    <t>serine/threonine-protein kinase mrck beta</t>
  </si>
  <si>
    <t>Q9Y5S2</t>
  </si>
  <si>
    <t>CDC42BPG</t>
  </si>
  <si>
    <t>serine/threonine-protein kinase mrck gamma</t>
  </si>
  <si>
    <t>Q6DT37</t>
  </si>
  <si>
    <t>CDK1</t>
  </si>
  <si>
    <t>cdk1/cyclin a</t>
  </si>
  <si>
    <t>P06493</t>
  </si>
  <si>
    <t>CDK2</t>
  </si>
  <si>
    <t>cdk2/cyclin a</t>
  </si>
  <si>
    <t>P24941</t>
  </si>
  <si>
    <t>CDK3</t>
  </si>
  <si>
    <t>cdk3/cyclin e</t>
  </si>
  <si>
    <t>Q00526</t>
  </si>
  <si>
    <t>CDK4</t>
  </si>
  <si>
    <t>cdk4/cyclin d3</t>
  </si>
  <si>
    <t>P11802</t>
  </si>
  <si>
    <t>CDK5</t>
  </si>
  <si>
    <t>cyclin-dependent kinase 5</t>
  </si>
  <si>
    <t>Q00535</t>
  </si>
  <si>
    <t>CDK6</t>
  </si>
  <si>
    <t>cdk6/cyclin d1</t>
  </si>
  <si>
    <t>Q00534</t>
  </si>
  <si>
    <t>CDK7</t>
  </si>
  <si>
    <t>P50613</t>
  </si>
  <si>
    <t>CDK8</t>
  </si>
  <si>
    <t>P49336</t>
  </si>
  <si>
    <t>CDK9</t>
  </si>
  <si>
    <t>cdk9/cyclin k</t>
  </si>
  <si>
    <t>P50750</t>
  </si>
  <si>
    <t>CDK10</t>
  </si>
  <si>
    <t>cyclin-dependent kinase 10</t>
  </si>
  <si>
    <t>Q15131</t>
  </si>
  <si>
    <t>CDK11A</t>
  </si>
  <si>
    <t>pitslre serine/threonine-protein kinase cdc2l2</t>
  </si>
  <si>
    <t>Q9UQ88</t>
  </si>
  <si>
    <t>CDK11B</t>
  </si>
  <si>
    <t>pitslre serine/threonine-protein kinase cdc2l1</t>
  </si>
  <si>
    <t>P21127</t>
  </si>
  <si>
    <t>CDK12</t>
  </si>
  <si>
    <t>cyclin-dependent kinase 12</t>
  </si>
  <si>
    <t>Q9NYV4</t>
  </si>
  <si>
    <t>CDK13</t>
  </si>
  <si>
    <t>cyclin-dependent kinase 13</t>
  </si>
  <si>
    <t>Q14004</t>
  </si>
  <si>
    <t>CDK14</t>
  </si>
  <si>
    <t>serine/threonine-protein kinase pftaire-1</t>
  </si>
  <si>
    <t>O94921</t>
  </si>
  <si>
    <t>CDK15</t>
  </si>
  <si>
    <t>serine/threonine-protein kinase pftaire-2</t>
  </si>
  <si>
    <t>Q96Q40</t>
  </si>
  <si>
    <t>CDK16</t>
  </si>
  <si>
    <t>cyclin-y/cyclin-dependent kinase 16</t>
  </si>
  <si>
    <t>Q00536</t>
  </si>
  <si>
    <t>CDK17</t>
  </si>
  <si>
    <t>serine/threonine-protein kinase pctaire-2</t>
  </si>
  <si>
    <t>Q00537</t>
  </si>
  <si>
    <t>CDK18</t>
  </si>
  <si>
    <t>serine/threonine-protein kinase pctaire-3</t>
  </si>
  <si>
    <t>Q07002</t>
  </si>
  <si>
    <t>CDK19</t>
  </si>
  <si>
    <t>cell division cycle 2-like protein kinase 6</t>
  </si>
  <si>
    <t>Q9BWU1</t>
  </si>
  <si>
    <t>CDKL1</t>
  </si>
  <si>
    <t>cyclin-dependent kinase-like 1</t>
  </si>
  <si>
    <t>Q00532</t>
  </si>
  <si>
    <t>CDKL2</t>
  </si>
  <si>
    <t>cyclin-dependent kinase-like 2</t>
  </si>
  <si>
    <t>Q92772</t>
  </si>
  <si>
    <t>CDKL3</t>
  </si>
  <si>
    <t>cyclin-dependent kinase-like 3</t>
  </si>
  <si>
    <t>Q8IVW4</t>
  </si>
  <si>
    <t>CDKL5</t>
  </si>
  <si>
    <t>cyclin-dependent kinase-like 5</t>
  </si>
  <si>
    <t>O76039</t>
  </si>
  <si>
    <t>CFTR</t>
  </si>
  <si>
    <t>cystic fibrosis transmembrane conductance regulator</t>
  </si>
  <si>
    <t>P13569</t>
  </si>
  <si>
    <t>CGAS</t>
  </si>
  <si>
    <t>cyclic gmp-amp synthase</t>
  </si>
  <si>
    <t>Q8N884</t>
  </si>
  <si>
    <t>CHEK1</t>
  </si>
  <si>
    <t>serine/threonine-protein kinase chk1</t>
  </si>
  <si>
    <t>O14757</t>
  </si>
  <si>
    <t>CHEK2</t>
  </si>
  <si>
    <t>serine/threonine-protein kinase chk2</t>
  </si>
  <si>
    <t>O96017</t>
  </si>
  <si>
    <t>CHUK</t>
  </si>
  <si>
    <t>inhibitor of nf-kappa-b kinase (ikk)</t>
  </si>
  <si>
    <t>O15111</t>
  </si>
  <si>
    <t>CISD2</t>
  </si>
  <si>
    <t>cdgsh iron-sulfur domain-containing protein 2</t>
  </si>
  <si>
    <t>Q8N5K1</t>
  </si>
  <si>
    <t>CIT</t>
  </si>
  <si>
    <t>citron rho-interacting kinase</t>
  </si>
  <si>
    <t>O14578</t>
  </si>
  <si>
    <t>CLK3</t>
  </si>
  <si>
    <t>dual specificity protein kinase clk3</t>
  </si>
  <si>
    <t>P49761</t>
  </si>
  <si>
    <t>CLK4</t>
  </si>
  <si>
    <t>dual specificity protein kinase clk4</t>
  </si>
  <si>
    <t>Q9HAZ1</t>
  </si>
  <si>
    <t>CMPK1</t>
  </si>
  <si>
    <t>ump-cmp kinase</t>
  </si>
  <si>
    <t>P30085</t>
  </si>
  <si>
    <t>CNR2</t>
  </si>
  <si>
    <t>cannabinoid cb2 receptor</t>
  </si>
  <si>
    <t>P34972</t>
  </si>
  <si>
    <t>COQ8A</t>
  </si>
  <si>
    <t>chaperone activity of bc1 complex-like, mitochondrial</t>
  </si>
  <si>
    <t>Q8NI60</t>
  </si>
  <si>
    <t>COQ8B</t>
  </si>
  <si>
    <t>uncharacterized aarf domain-containing protein kinase 4</t>
  </si>
  <si>
    <t>Q96D53</t>
  </si>
  <si>
    <t>CPT1A</t>
  </si>
  <si>
    <t>carnitine o-palmitoyltransferase 1, liver isoform</t>
  </si>
  <si>
    <t>P50416</t>
  </si>
  <si>
    <t>CPT1B</t>
  </si>
  <si>
    <t>carnitine o-palmitoyltransferase 1, muscle isoform</t>
  </si>
  <si>
    <t>Q92523</t>
  </si>
  <si>
    <t>CPT2</t>
  </si>
  <si>
    <t>carnitine palmitoyltransferase 2</t>
  </si>
  <si>
    <t>P23786</t>
  </si>
  <si>
    <t>CPX-11</t>
  </si>
  <si>
    <t>SMAD2</t>
  </si>
  <si>
    <t>Q15796</t>
  </si>
  <si>
    <t>CPX-17</t>
  </si>
  <si>
    <t>telomerase reverse transcriptase</t>
  </si>
  <si>
    <t>TERT</t>
  </si>
  <si>
    <t>O14746</t>
  </si>
  <si>
    <t>CPX-20</t>
  </si>
  <si>
    <t>CPX-52</t>
  </si>
  <si>
    <t>nitric oxide synthase, inducible</t>
  </si>
  <si>
    <t>S100A9,NOS2,S100A8</t>
  </si>
  <si>
    <t>P06702, P35228, P05109</t>
  </si>
  <si>
    <t>CPX-122</t>
  </si>
  <si>
    <t>FLNA</t>
  </si>
  <si>
    <t>P21333</t>
  </si>
  <si>
    <t>CPX-168</t>
  </si>
  <si>
    <t>P17787-PRO_0000000379,P43681-PRO_0000000351</t>
  </si>
  <si>
    <t>P17787, P43681</t>
  </si>
  <si>
    <t>CPX-187</t>
  </si>
  <si>
    <t>P32297-PRO_0000000346,P17787-PRO_0000000379,P30532-PRO_0000000356</t>
  </si>
  <si>
    <t>P32297, P17787, P30532</t>
  </si>
  <si>
    <t>CPX-210</t>
  </si>
  <si>
    <t>P32297-PRO_0000000346,P30926-PRO_0000000389,P30532-PRO_0000000356</t>
  </si>
  <si>
    <t>P32297, P30926, P30532</t>
  </si>
  <si>
    <t>CPX-213</t>
  </si>
  <si>
    <t>P30926-PRO_0000000389,P32297-PRO_0000000346,Q15825-PRO_0000000360</t>
  </si>
  <si>
    <t>P30926, P32297, Q15825</t>
  </si>
  <si>
    <t>CPX-218</t>
  </si>
  <si>
    <t>P43681-PRO_0000000351,P17787-PRO_0000000379,P30532-PRO_0000000356</t>
  </si>
  <si>
    <t>P43681, P17787, P30532</t>
  </si>
  <si>
    <t>CPX-222</t>
  </si>
  <si>
    <t>cdk9/cyclin t1</t>
  </si>
  <si>
    <t>CCNT1,CDK9</t>
  </si>
  <si>
    <t>O60563, P50750</t>
  </si>
  <si>
    <t>CPX-241</t>
  </si>
  <si>
    <t>CCNK,CDK12</t>
  </si>
  <si>
    <t>O75909, Q9NYV4</t>
  </si>
  <si>
    <t>CPX-298</t>
  </si>
  <si>
    <t>apoptosis regulator bcl-x</t>
  </si>
  <si>
    <t>BCL2L1</t>
  </si>
  <si>
    <t>Q07817-1</t>
  </si>
  <si>
    <t>CPX-304</t>
  </si>
  <si>
    <t>induced myeloid leukemia cell differentiation protein mcl-1</t>
  </si>
  <si>
    <t>MCL1,PMAIP1</t>
  </si>
  <si>
    <t>Q07820, Q13794</t>
  </si>
  <si>
    <t>CPX-330</t>
  </si>
  <si>
    <t>CCNC,CDK3</t>
  </si>
  <si>
    <t>P24863, Q00526</t>
  </si>
  <si>
    <t>CPX-359</t>
  </si>
  <si>
    <t>CCNK,CDK13</t>
  </si>
  <si>
    <t>O75909, Q14004</t>
  </si>
  <si>
    <t>CPX-364</t>
  </si>
  <si>
    <t>CDK14,CCNY</t>
  </si>
  <si>
    <t>Q8ND76</t>
  </si>
  <si>
    <t>CPX-379</t>
  </si>
  <si>
    <t>CDK16,CCNY</t>
  </si>
  <si>
    <t>CPX-467</t>
  </si>
  <si>
    <t>nad-dependent deacetylase sirtuin 1</t>
  </si>
  <si>
    <t>SUV39H1,RRP8,SIRT1</t>
  </si>
  <si>
    <t>O43463, O43159, Q96EB6</t>
  </si>
  <si>
    <t>CPX-475</t>
  </si>
  <si>
    <t>VTN,SERPINE1</t>
  </si>
  <si>
    <t>P04004, P05121</t>
  </si>
  <si>
    <t>CPX-481</t>
  </si>
  <si>
    <t>BCL2L11,MCL1</t>
  </si>
  <si>
    <t>O43521, Q07820-1</t>
  </si>
  <si>
    <t>CPX-483</t>
  </si>
  <si>
    <t>PLAU,SERPINE1</t>
  </si>
  <si>
    <t>P00749, P05121</t>
  </si>
  <si>
    <t>CPX-496</t>
  </si>
  <si>
    <t>NR1I2,RXRA</t>
  </si>
  <si>
    <t>O75469, P19793</t>
  </si>
  <si>
    <t>CPX-506</t>
  </si>
  <si>
    <t>granulocyte-macrophage colony-stimulating factor receptor</t>
  </si>
  <si>
    <t>JAK2,IL5,JAK1,IL5RA,CSF2RB</t>
  </si>
  <si>
    <t>O60674, P05113, P23458, Q01344, P32927</t>
  </si>
  <si>
    <t>CPX-508</t>
  </si>
  <si>
    <t>RARA,RXRA</t>
  </si>
  <si>
    <t>P10276, P19793</t>
  </si>
  <si>
    <t>CPX-512</t>
  </si>
  <si>
    <t>JAK2,CSF2RB,CSF2,CSF2RA</t>
  </si>
  <si>
    <t>O60674, P32927, P04141, P15509</t>
  </si>
  <si>
    <t>CPX-578</t>
  </si>
  <si>
    <t>CCNH,MNAT1,CDK7</t>
  </si>
  <si>
    <t>P51946, P51948, P50613</t>
  </si>
  <si>
    <t>CPX-630</t>
  </si>
  <si>
    <t>signal recognition particle receptor subunit alpha</t>
  </si>
  <si>
    <t>SRPRA,SRPRB</t>
  </si>
  <si>
    <t>P08240, Q9Y5M8</t>
  </si>
  <si>
    <t>CPX-631</t>
  </si>
  <si>
    <t>RXRA,VDR</t>
  </si>
  <si>
    <t>P19793, P11473</t>
  </si>
  <si>
    <t>CPX-632</t>
  </si>
  <si>
    <t>lxr-alpha</t>
  </si>
  <si>
    <t>NR1H3,RXRA</t>
  </si>
  <si>
    <t>Q13133, P19793</t>
  </si>
  <si>
    <t>CPX-652</t>
  </si>
  <si>
    <t>lxr-beta</t>
  </si>
  <si>
    <t>NR1H2,RXRB</t>
  </si>
  <si>
    <t>P55055, P28702</t>
  </si>
  <si>
    <t>CPX-662</t>
  </si>
  <si>
    <t>THRA,RXRA</t>
  </si>
  <si>
    <t>P10827-2, P19793</t>
  </si>
  <si>
    <t>CPX-664</t>
  </si>
  <si>
    <t>RXRA</t>
  </si>
  <si>
    <t>P19793</t>
  </si>
  <si>
    <t>CPX-678</t>
  </si>
  <si>
    <t>NR1H2,RXRA</t>
  </si>
  <si>
    <t>P55055, P19793</t>
  </si>
  <si>
    <t>CPX-715</t>
  </si>
  <si>
    <t>BRCA1,BARD1</t>
  </si>
  <si>
    <t>P38398, Q99728</t>
  </si>
  <si>
    <t>CPX-716</t>
  </si>
  <si>
    <t>NR1H3,RXRB</t>
  </si>
  <si>
    <t>Q13133, P28702</t>
  </si>
  <si>
    <t>CPX-759</t>
  </si>
  <si>
    <t>TP53,MDM2</t>
  </si>
  <si>
    <t>P04637, Q00987</t>
  </si>
  <si>
    <t>CPX-860</t>
  </si>
  <si>
    <t>BCL2L1,BAK1</t>
  </si>
  <si>
    <t>Q07817-1, Q16611</t>
  </si>
  <si>
    <t>CPX-871</t>
  </si>
  <si>
    <t>retinoid x receptor beta</t>
  </si>
  <si>
    <t>RXRB,VDR</t>
  </si>
  <si>
    <t>P28702, P11473</t>
  </si>
  <si>
    <t>CPX-890</t>
  </si>
  <si>
    <t>translin-associated protein x</t>
  </si>
  <si>
    <t>TSN,TSNAX</t>
  </si>
  <si>
    <t>Q15631, Q99598</t>
  </si>
  <si>
    <t>CPX-948</t>
  </si>
  <si>
    <t>s-adenosylmethionine synthase isoform type-2</t>
  </si>
  <si>
    <t>MAT2A,MAT2B</t>
  </si>
  <si>
    <t>P31153, Q9NZL9</t>
  </si>
  <si>
    <t>CPX-1027</t>
  </si>
  <si>
    <t>gtp-binding nuclear protein ran/importin subunit beta-1/snurportin-1</t>
  </si>
  <si>
    <t>KPNA2,KPNB1</t>
  </si>
  <si>
    <t>P52292, Q14974</t>
  </si>
  <si>
    <t>CPX-1032</t>
  </si>
  <si>
    <t>KPNB1,SNUPN</t>
  </si>
  <si>
    <t>Q14974, O95149</t>
  </si>
  <si>
    <t>CPX-1055</t>
  </si>
  <si>
    <t>KPNA1,KPNB1</t>
  </si>
  <si>
    <t>P52294, Q14974</t>
  </si>
  <si>
    <t>CPX-1057</t>
  </si>
  <si>
    <t>KPNA3,KPNB1</t>
  </si>
  <si>
    <t>O00505, Q14974</t>
  </si>
  <si>
    <t>CPX-1060</t>
  </si>
  <si>
    <t>KPNA4,KPNB1</t>
  </si>
  <si>
    <t>O00629, Q14974</t>
  </si>
  <si>
    <t>CPX-1063</t>
  </si>
  <si>
    <t>KPNA5,KPNB1</t>
  </si>
  <si>
    <t>O15131, Q14974</t>
  </si>
  <si>
    <t>CPX-1064</t>
  </si>
  <si>
    <t>KPNA6,KPNB1</t>
  </si>
  <si>
    <t>O60684, Q14974</t>
  </si>
  <si>
    <t>CPX-1066</t>
  </si>
  <si>
    <t>KPNA7,KPNB1</t>
  </si>
  <si>
    <t>A9QM74, Q14974</t>
  </si>
  <si>
    <t>CPX-1123</t>
  </si>
  <si>
    <t>forkhead box protein o3</t>
  </si>
  <si>
    <t>FOXO3,MYC</t>
  </si>
  <si>
    <t>O43524, P01106</t>
  </si>
  <si>
    <t>CPX-1147</t>
  </si>
  <si>
    <t>FOXO3,YWHAZ</t>
  </si>
  <si>
    <t>O43524, P63104</t>
  </si>
  <si>
    <t>CPX-1794</t>
  </si>
  <si>
    <t>ITGA5,ITGB1</t>
  </si>
  <si>
    <t>P08648, P05556</t>
  </si>
  <si>
    <t>CPX-1969</t>
  </si>
  <si>
    <t>CDK8,CCNC</t>
  </si>
  <si>
    <t>P49336, P24863</t>
  </si>
  <si>
    <t>CPX-1981</t>
  </si>
  <si>
    <t>apoptosis regulator bcl-2</t>
  </si>
  <si>
    <t>BCL2</t>
  </si>
  <si>
    <t>P10415</t>
  </si>
  <si>
    <t>CPX-1982</t>
  </si>
  <si>
    <t>BAD,BCL2</t>
  </si>
  <si>
    <t>Q92934, P10415</t>
  </si>
  <si>
    <t>CPX-1983</t>
  </si>
  <si>
    <t>BAD,BCL2L1</t>
  </si>
  <si>
    <t>Q92934, Q07817-1</t>
  </si>
  <si>
    <t>CPX-1984</t>
  </si>
  <si>
    <t>BCL2,BID</t>
  </si>
  <si>
    <t>P10415, P55957</t>
  </si>
  <si>
    <t>CPX-1985</t>
  </si>
  <si>
    <t>BCL2L1,BCL2L11</t>
  </si>
  <si>
    <t>Q07817-1, O43521</t>
  </si>
  <si>
    <t>CPX-1986</t>
  </si>
  <si>
    <t>BBC3,BCL2</t>
  </si>
  <si>
    <t>Q9BXH1, P10415</t>
  </si>
  <si>
    <t>CPX-1987</t>
  </si>
  <si>
    <t>BCL2L1,BBC3</t>
  </si>
  <si>
    <t>Q07817-1, Q9BXH1</t>
  </si>
  <si>
    <t>CPX-1988</t>
  </si>
  <si>
    <t>apoptosis regulator bax</t>
  </si>
  <si>
    <t>BAX</t>
  </si>
  <si>
    <t>Q07812</t>
  </si>
  <si>
    <t>CPX-1990</t>
  </si>
  <si>
    <t>BCL2,BCL2L11</t>
  </si>
  <si>
    <t>P10415, O43521</t>
  </si>
  <si>
    <t>CPX-1991</t>
  </si>
  <si>
    <t>BID,BCL2L1</t>
  </si>
  <si>
    <t>P55957, Q07817-1</t>
  </si>
  <si>
    <t>CPX-2004</t>
  </si>
  <si>
    <t>CDK1,CCNA2</t>
  </si>
  <si>
    <t>P06493, P20248</t>
  </si>
  <si>
    <t>CPX-2006</t>
  </si>
  <si>
    <t>CDK2,CCNA2</t>
  </si>
  <si>
    <t>P24941, P20248</t>
  </si>
  <si>
    <t>CPX-2007</t>
  </si>
  <si>
    <t>cyclin-dependent kinase 1/cyclin b1</t>
  </si>
  <si>
    <t>CCNB1,CDK1</t>
  </si>
  <si>
    <t>P14635</t>
  </si>
  <si>
    <t>CPX-2010</t>
  </si>
  <si>
    <t>CDK4,CCND1</t>
  </si>
  <si>
    <t>P11802, P24385</t>
  </si>
  <si>
    <t>CPX-2012</t>
  </si>
  <si>
    <t>CDK4,CCND3</t>
  </si>
  <si>
    <t>P11802, P30281</t>
  </si>
  <si>
    <t>CPX-2013</t>
  </si>
  <si>
    <t>CDK6,CCND3</t>
  </si>
  <si>
    <t>Q00534, P30281</t>
  </si>
  <si>
    <t>CPX-2014</t>
  </si>
  <si>
    <t>CDK6,CCND1</t>
  </si>
  <si>
    <t>Q00534, P24385</t>
  </si>
  <si>
    <t>CPX-2015</t>
  </si>
  <si>
    <t>cdk1/cyclin e</t>
  </si>
  <si>
    <t>CDK2,CCNE1</t>
  </si>
  <si>
    <t>P24941, P24864</t>
  </si>
  <si>
    <t>CPX-2016</t>
  </si>
  <si>
    <t>cyclin-dependent kinase 2/cyclin e</t>
  </si>
  <si>
    <t>CDK2,CCNE2</t>
  </si>
  <si>
    <t>O96020</t>
  </si>
  <si>
    <t>CPX-2158</t>
  </si>
  <si>
    <t>hemoglobin beta chain</t>
  </si>
  <si>
    <t>HBB,HBA1</t>
  </si>
  <si>
    <t>P68871, P69905</t>
  </si>
  <si>
    <t>CPX-2159</t>
  </si>
  <si>
    <t>GABRA1,GABRB2,GABRG2</t>
  </si>
  <si>
    <t>P14867, P47870, P18507</t>
  </si>
  <si>
    <t>CPX-2160</t>
  </si>
  <si>
    <t>potassium-transporting atpase</t>
  </si>
  <si>
    <t>ATP4B,ATP4A</t>
  </si>
  <si>
    <t>P51164, P20648</t>
  </si>
  <si>
    <t>CPX-2161</t>
  </si>
  <si>
    <t>sumo-activating enzyme</t>
  </si>
  <si>
    <t>SAE1,UBA2</t>
  </si>
  <si>
    <t>Q9UBE0, Q9UBT2</t>
  </si>
  <si>
    <t>CPX-2164</t>
  </si>
  <si>
    <t>GABRA6,GABRB3,GABRG2</t>
  </si>
  <si>
    <t>Q16445, P28472, P18507</t>
  </si>
  <si>
    <t>CPX-2166</t>
  </si>
  <si>
    <t>GABRG2,GABRB3,GABRA3</t>
  </si>
  <si>
    <t>P18507, P28472, P34903</t>
  </si>
  <si>
    <t>CPX-2167</t>
  </si>
  <si>
    <t>GABRB3,GABRA1,GABRG2</t>
  </si>
  <si>
    <t>P28472, P14867, P18507</t>
  </si>
  <si>
    <t>CPX-2168</t>
  </si>
  <si>
    <t>GABRG2,GABRB3,GABRA5</t>
  </si>
  <si>
    <t>P18507, P28472, P31644</t>
  </si>
  <si>
    <t>CPX-2176</t>
  </si>
  <si>
    <t>gamma-secretase</t>
  </si>
  <si>
    <t>NCSTN,PSENEN,APH1A,P49768-PRO_0000025591,P49768-PRO_0000236055</t>
  </si>
  <si>
    <t>Q92542, Q9NZ42, Q96BI3, P49768, P49768</t>
  </si>
  <si>
    <t>CPX-2179</t>
  </si>
  <si>
    <t>acetylcholine receptor; alpha1/beta1/delta/gamma</t>
  </si>
  <si>
    <t>CHRND,P07510-PRO_0000000334,P02708-PRO_0000000305,P11230-PRO_0000000315</t>
  </si>
  <si>
    <t>Q07001, P07510, P02708, P11230</t>
  </si>
  <si>
    <t>CPX-2180</t>
  </si>
  <si>
    <t>CPX-2192</t>
  </si>
  <si>
    <t>Q05901-PRO_0000000383,P17787-PRO_0000000379,Q15825-PRO_0000000360,P32297-PRO_0000000346</t>
  </si>
  <si>
    <t>Q05901, P17787, Q15825, P32297</t>
  </si>
  <si>
    <t>CPX-2193</t>
  </si>
  <si>
    <t>P32297-PRO_0000000346,P17787-PRO_0000000379</t>
  </si>
  <si>
    <t>P32297, P17787</t>
  </si>
  <si>
    <t>CPX-2200</t>
  </si>
  <si>
    <t>P32297-PRO_0000000346,P30926-PRO_0000000389</t>
  </si>
  <si>
    <t>P32297, P30926</t>
  </si>
  <si>
    <t>CPX-2201</t>
  </si>
  <si>
    <t>cyclin-dependent kinase 5/cdk5 activator 1</t>
  </si>
  <si>
    <t>CDK5,CDK5R1</t>
  </si>
  <si>
    <t>Q15078</t>
  </si>
  <si>
    <t>CPX-2203</t>
  </si>
  <si>
    <t>P30926-PRO_0000000389,P43681-PRO_0000000351</t>
  </si>
  <si>
    <t>P30926, P43681</t>
  </si>
  <si>
    <t>CPX-2214</t>
  </si>
  <si>
    <t>ELOC,ELOB,LRR1,RBX1,CUL2</t>
  </si>
  <si>
    <t>Q15369, Q15370, Q96L50, P62877, Q13617</t>
  </si>
  <si>
    <t>CPX-2217</t>
  </si>
  <si>
    <t>FEM1A,CUL2,ELOB,ELOC,RBX1</t>
  </si>
  <si>
    <t>Q9BSK4, Q13617, Q15370, Q15369, P62877</t>
  </si>
  <si>
    <t>CPX-2218</t>
  </si>
  <si>
    <t>FEM1B,ELOB,ELOC,RBX1,CUL2</t>
  </si>
  <si>
    <t>Q9UK73, Q15370, Q15369, P62877, Q13617</t>
  </si>
  <si>
    <t>CPX-2220</t>
  </si>
  <si>
    <t>ZYG11B,ELOB,CUL2,ELOC,RBX1</t>
  </si>
  <si>
    <t>Q9C0D3, Q15370, Q13617, Q15369, P62877</t>
  </si>
  <si>
    <t>CPX-2221</t>
  </si>
  <si>
    <t>CUL2,APPBP2,ELOB,RBX1,ELOC</t>
  </si>
  <si>
    <t>Q13617, Q92624, Q15370, P62877, Q15369</t>
  </si>
  <si>
    <t>CPX-2222</t>
  </si>
  <si>
    <t>ELOC,CUL2,ELOB,ZER1,RBX1</t>
  </si>
  <si>
    <t>Q15369, Q13617, Q15370, Q7Z7L7, P62877</t>
  </si>
  <si>
    <t>CPX-2223</t>
  </si>
  <si>
    <t>RBX1,ELOC,ELOB,CUL2,KLHDC10</t>
  </si>
  <si>
    <t>P62877, Q15369, Q15370, Q13617, Q6PID8</t>
  </si>
  <si>
    <t>CPX-2226</t>
  </si>
  <si>
    <t>KLHDC2,ELOB,ELOC,RBX1,CUL2</t>
  </si>
  <si>
    <t>Q9Y2U9, Q15370, Q15369, P62877, Q13617</t>
  </si>
  <si>
    <t>CPX-2228</t>
  </si>
  <si>
    <t>KLHDC3,ELOC,RBX1,ELOB,CUL2</t>
  </si>
  <si>
    <t>Q9BQ90, Q15369, P62877, Q15370, Q13617</t>
  </si>
  <si>
    <t>CPX-2229</t>
  </si>
  <si>
    <t>PRAME,ELOB,CUL2,ELOC,RBX1</t>
  </si>
  <si>
    <t>P78395, Q15370, Q13617, Q15369, P62877</t>
  </si>
  <si>
    <t>CPX-2239</t>
  </si>
  <si>
    <t>CUL1,FBXL5,RBX1,SKP1</t>
  </si>
  <si>
    <t>Q13616, Q9UKA1, P62877, P63208</t>
  </si>
  <si>
    <t>CPX-2241</t>
  </si>
  <si>
    <t>RBX1,FBXL13,CUL1,SKP1</t>
  </si>
  <si>
    <t>P62877, Q8NEE6, Q13616, P63208</t>
  </si>
  <si>
    <t>CPX-2319</t>
  </si>
  <si>
    <t>CUL1,FBXL14,RBX1,SKP1</t>
  </si>
  <si>
    <t>Q13616, Q8N1E6, P62877, P63208</t>
  </si>
  <si>
    <t>CPX-2342</t>
  </si>
  <si>
    <t>probable atp-dependent rna helicase ddx6</t>
  </si>
  <si>
    <t>GIGYF1,DDX6,EIF4E2</t>
  </si>
  <si>
    <t>O75420, P26196, O60573</t>
  </si>
  <si>
    <t>CPX-2343</t>
  </si>
  <si>
    <t>RBX1,FBXL16,CUL1,SKP1</t>
  </si>
  <si>
    <t>P62877, Q8N461, Q13616, P63208</t>
  </si>
  <si>
    <t>CPX-2348</t>
  </si>
  <si>
    <t>m-phase phosphoprotein 8</t>
  </si>
  <si>
    <t>TASOR,MPHOSPH8,PPHLN1</t>
  </si>
  <si>
    <t>Q9UK61, Q99549, Q8NEY8</t>
  </si>
  <si>
    <t>CPX-2365</t>
  </si>
  <si>
    <t>CUL1,BTRC,RBX1,SKP1</t>
  </si>
  <si>
    <t>Q13616, Q9Y297, P62877, P63208</t>
  </si>
  <si>
    <t>CPX-2399</t>
  </si>
  <si>
    <t>RBX1,DDB1,CUL4A,DCAF13</t>
  </si>
  <si>
    <t>P62877, Q16531, Q13619, Q9NV06</t>
  </si>
  <si>
    <t>CPX-2403</t>
  </si>
  <si>
    <t>DCAF11,CUL4A,DDB1,RBX1</t>
  </si>
  <si>
    <t>Q8TEB1, Q13619, Q16531, P62877</t>
  </si>
  <si>
    <t>CPX-2405</t>
  </si>
  <si>
    <t>DCAF12,CUL4A,DDB1,RBX1</t>
  </si>
  <si>
    <t>Q5T6F0, Q13619, Q16531, P62877</t>
  </si>
  <si>
    <t>CPX-2413</t>
  </si>
  <si>
    <t>DDB1,RBX1,DCAF16,CUL4A</t>
  </si>
  <si>
    <t>Q16531, P62877, Q9NXF7, Q13619</t>
  </si>
  <si>
    <t>CPX-2438</t>
  </si>
  <si>
    <t>FBXL8,CUL1,RBX1,SKP1</t>
  </si>
  <si>
    <t>Q96CD0, Q13616, P62877, P63208</t>
  </si>
  <si>
    <t>CPX-2489</t>
  </si>
  <si>
    <t>RBX1,FBXL22,CUL1,SKP1</t>
  </si>
  <si>
    <t>P62877, Q6P050, Q13616, P63208</t>
  </si>
  <si>
    <t>CPX-2490</t>
  </si>
  <si>
    <t>ACTR3B,ACTR2,ARPC1A,ARPC2,ARPC3,ARPC4,ARPC5</t>
  </si>
  <si>
    <t>Q9P1U1, P61160, Q92747, O15144, O15145, P59998, O15511</t>
  </si>
  <si>
    <t>CPX-2491</t>
  </si>
  <si>
    <t>transcription factor ap1</t>
  </si>
  <si>
    <t>FOS,BACH1</t>
  </si>
  <si>
    <t>P01100, O14867</t>
  </si>
  <si>
    <t>CPX-2492</t>
  </si>
  <si>
    <t>FBXL15,CUL1,RBX1,SKP1</t>
  </si>
  <si>
    <t>Q9H469, Q13616, P62877, P63208</t>
  </si>
  <si>
    <t>CPX-2505</t>
  </si>
  <si>
    <t>VPS37B,MVB12A,TSG101,VPS28</t>
  </si>
  <si>
    <t>Q9H9H4, Q96EY5, Q99816, Q9UK41</t>
  </si>
  <si>
    <t>CPX-2516</t>
  </si>
  <si>
    <t>FBXL6,SKP1,CUL1,RBX1</t>
  </si>
  <si>
    <t>Q8N531, P63208, Q13616, P62877</t>
  </si>
  <si>
    <t>CPX-2538</t>
  </si>
  <si>
    <t>SKP1,RBX1,KDM2A,CUL1</t>
  </si>
  <si>
    <t>P63208, P62877, Q9Y2K7, Q13616</t>
  </si>
  <si>
    <t>CPX-2553</t>
  </si>
  <si>
    <t>RBX1,CUL1,SKP1,FBXL18</t>
  </si>
  <si>
    <t>P62877, Q13616, P63208, Q96ME1</t>
  </si>
  <si>
    <t>CPX-2554</t>
  </si>
  <si>
    <t>FBXL19,SKP1,RBX1,CUL1</t>
  </si>
  <si>
    <t>Q6PCT2, P63208, P62877, Q13616</t>
  </si>
  <si>
    <t>CPX-2586</t>
  </si>
  <si>
    <t>ACTR2,ARPC1A,ACTR3,ARPC5,ARPC2,ARPC3,ARPC4</t>
  </si>
  <si>
    <t>P61160, Q92747, P61158, O15511, O15144, O15145, P59998</t>
  </si>
  <si>
    <t>CPX-2592</t>
  </si>
  <si>
    <t>ARPC1A,ACTR3,ACTR2,ARPC5L,ARPC2,ARPC3,ARPC4</t>
  </si>
  <si>
    <t>Q92747, P61158, P61160, Q9BPX5, O15144, O15145, P59998</t>
  </si>
  <si>
    <t>CPX-2658</t>
  </si>
  <si>
    <t>RBX1,CUL1,SKP1,FBXL12</t>
  </si>
  <si>
    <t>P62877, Q13616, P63208, Q9NXK8</t>
  </si>
  <si>
    <t>CPX-2668</t>
  </si>
  <si>
    <t>ARPC1A,ACTR2,ACTR3B,ARPC5L,ARPC2,ARPC3,ARPC4</t>
  </si>
  <si>
    <t>Q92747, P61160, Q9P1U1, Q9BPX5, O15144, O15145, P59998</t>
  </si>
  <si>
    <t>CPX-2683</t>
  </si>
  <si>
    <t>SKP1,FBXL7,RBX1,CUL1</t>
  </si>
  <si>
    <t>P63208, Q9UJT9, P62877, Q13616</t>
  </si>
  <si>
    <t>CPX-2740</t>
  </si>
  <si>
    <t>ZCCHC7,MTREX,TENT4B</t>
  </si>
  <si>
    <t>Q8N3Z6, P42285, Q8NDF8</t>
  </si>
  <si>
    <t>CPX-2748</t>
  </si>
  <si>
    <t>FBXL21P,CUL1,RBX1,SKP1</t>
  </si>
  <si>
    <t>Q9UKT6, Q13616, P62877, P63208</t>
  </si>
  <si>
    <t>CPX-2749</t>
  </si>
  <si>
    <t>TENT4A,MTREX,ZCCHC7</t>
  </si>
  <si>
    <t>Q5XG87, P42285, Q8N3Z6</t>
  </si>
  <si>
    <t>CPX-2759</t>
  </si>
  <si>
    <t>CUL4A,CRBN,DDB1,RBX1</t>
  </si>
  <si>
    <t>Q13619, Q96SW2, Q16531, P62877</t>
  </si>
  <si>
    <t>CPX-2766</t>
  </si>
  <si>
    <t>CUL4A,DDB1,DCAF15,DDA1,RBX1</t>
  </si>
  <si>
    <t>Q13619, Q16531, Q66K64, Q9BW61, P62877</t>
  </si>
  <si>
    <t>CPX-2769</t>
  </si>
  <si>
    <t>DCAF1,CUL4A,DDB1,RBX1</t>
  </si>
  <si>
    <t>Q9Y4B6, Q13619, Q16531, P62877</t>
  </si>
  <si>
    <t>CPX-2773</t>
  </si>
  <si>
    <t>FBXL17,CUL1,RBX1,SKP1</t>
  </si>
  <si>
    <t>Q9UF56, Q13616, P62877, P63208</t>
  </si>
  <si>
    <t>CPX-2782</t>
  </si>
  <si>
    <t>DCAF5,CUL4A,DDB1,RBX1</t>
  </si>
  <si>
    <t>Q96JK2, Q13619, Q16531, P62877</t>
  </si>
  <si>
    <t>CPX-2784</t>
  </si>
  <si>
    <t>CUL4A,RBX1,DCAF6,DDB1</t>
  </si>
  <si>
    <t>Q13619, P62877, Q58WW2, Q16531</t>
  </si>
  <si>
    <t>CPX-2785</t>
  </si>
  <si>
    <t>CUL4A,DCAF7,DDB1,RBX1</t>
  </si>
  <si>
    <t>Q13619, P61962, Q16531, P62877</t>
  </si>
  <si>
    <t>CPX-2787</t>
  </si>
  <si>
    <t>CUL4A,WDTC1,RBX1,DDB1</t>
  </si>
  <si>
    <t>Q13619, Q8N5D0, P62877, Q16531</t>
  </si>
  <si>
    <t>CPX-2795</t>
  </si>
  <si>
    <t>CUL4A,DTL,RBX1,DDB1</t>
  </si>
  <si>
    <t>Q13619, Q9NZJ0, P62877, Q16531</t>
  </si>
  <si>
    <t>CPX-2797</t>
  </si>
  <si>
    <t>AMBRA1,CUL4A,DDB1,RBX1</t>
  </si>
  <si>
    <t>Q9C0C7, Q13619, Q16531, P62877</t>
  </si>
  <si>
    <t>CPX-2799</t>
  </si>
  <si>
    <t>DCAF4,CUL4A,DDB1,RBX1</t>
  </si>
  <si>
    <t>Q8WV16, Q13619, Q16531, P62877</t>
  </si>
  <si>
    <t>CPX-2805</t>
  </si>
  <si>
    <t>P01375-PRO_0000034424,P20333-PRO_0000034548</t>
  </si>
  <si>
    <t>P01375, P20333</t>
  </si>
  <si>
    <t>CPX-2817</t>
  </si>
  <si>
    <t>CUL4A,DCAF10,DDB1,RBX1</t>
  </si>
  <si>
    <t>Q13619, Q5QP82, Q16531, P62877</t>
  </si>
  <si>
    <t>CPX-2832</t>
  </si>
  <si>
    <t>CUL1,KDM2B,RBX1,SKP1</t>
  </si>
  <si>
    <t>Q13616, Q8NHM5, P62877, P63208</t>
  </si>
  <si>
    <t>CPX-2862</t>
  </si>
  <si>
    <t>caspase-7</t>
  </si>
  <si>
    <t>P55210-PRO_0000004617,P55210-PRO_0000004619</t>
  </si>
  <si>
    <t>P55210, P55210</t>
  </si>
  <si>
    <t>CPX-2873</t>
  </si>
  <si>
    <t>FBXL20,CUL1,RBX1,SKP1</t>
  </si>
  <si>
    <t>Q96IG2, Q13616, P62877, P63208</t>
  </si>
  <si>
    <t>CPX-2929</t>
  </si>
  <si>
    <t>HBZ,HBB</t>
  </si>
  <si>
    <t>P02008, P68871</t>
  </si>
  <si>
    <t>CPX-2936</t>
  </si>
  <si>
    <t>HBB</t>
  </si>
  <si>
    <t>P68871</t>
  </si>
  <si>
    <t>CPX-2951</t>
  </si>
  <si>
    <t>GABRA6,GABRD,GABRB3</t>
  </si>
  <si>
    <t>Q16445, O14764, P28472</t>
  </si>
  <si>
    <t>CPX-2952</t>
  </si>
  <si>
    <t>GABRA6,GABRD,GABRB2</t>
  </si>
  <si>
    <t>Q16445, O14764, P47870</t>
  </si>
  <si>
    <t>CPX-2953</t>
  </si>
  <si>
    <t>GABRD,GABRA4,GABRB2</t>
  </si>
  <si>
    <t>O14764, P48169, P47870</t>
  </si>
  <si>
    <t>CPX-2954</t>
  </si>
  <si>
    <t>GABRB3,GABRD,GABRA4</t>
  </si>
  <si>
    <t>P28472, O14764, P48169</t>
  </si>
  <si>
    <t>CPX-2955</t>
  </si>
  <si>
    <t>gaba-b receptor</t>
  </si>
  <si>
    <t>GABBR2,GABBR1</t>
  </si>
  <si>
    <t>O75899, Q9UBS5</t>
  </si>
  <si>
    <t>CPX-3111</t>
  </si>
  <si>
    <t>glucose transporter</t>
  </si>
  <si>
    <t>SLC2A1</t>
  </si>
  <si>
    <t>P11166</t>
  </si>
  <si>
    <t>CPX-3142</t>
  </si>
  <si>
    <t>CDK5,Q15078-PRO_0000004795</t>
  </si>
  <si>
    <t>CPX-3156</t>
  </si>
  <si>
    <t>ryanodine receptor 2</t>
  </si>
  <si>
    <t>RYR2</t>
  </si>
  <si>
    <t>Q92736</t>
  </si>
  <si>
    <t>CPX-3256</t>
  </si>
  <si>
    <t>voltage-gated potassium channel subunit kv4.3</t>
  </si>
  <si>
    <t>KCND3,KCNIP1</t>
  </si>
  <si>
    <t>Q9UK17, Q9NZI2</t>
  </si>
  <si>
    <t>CPX-3271</t>
  </si>
  <si>
    <t>voltage-gated potassium channel, iks; kcnq1(kv7.1)/kcne1(mink)</t>
  </si>
  <si>
    <t>KCNQ1,KCNE1</t>
  </si>
  <si>
    <t>P51787, P15382</t>
  </si>
  <si>
    <t>CPX-3285</t>
  </si>
  <si>
    <t>heat shock protein hsp 90-beta</t>
  </si>
  <si>
    <t>CDC37,HSP90AB1</t>
  </si>
  <si>
    <t>Q16543, P08238</t>
  </si>
  <si>
    <t>CPX-3292</t>
  </si>
  <si>
    <t>CUL1,RBX1,SKP1,FBXL2</t>
  </si>
  <si>
    <t>Q13616, P62877, P63208, Q9UKC9</t>
  </si>
  <si>
    <t>CPX-3295</t>
  </si>
  <si>
    <t>CUL1,SKP2,SKP1,RBX1</t>
  </si>
  <si>
    <t>Q13616, Q13309, P63208, P62877</t>
  </si>
  <si>
    <t>CPX-3762</t>
  </si>
  <si>
    <t>cytochrome c</t>
  </si>
  <si>
    <t>APAF1,CYCS,CASP9,P55211-PRO_0000004643</t>
  </si>
  <si>
    <t>O14727, P99999, P55211, P55211</t>
  </si>
  <si>
    <t>CPX-3785</t>
  </si>
  <si>
    <t>tryptase beta-1</t>
  </si>
  <si>
    <t>Q15661-PRO_0000027480</t>
  </si>
  <si>
    <t>Q15661</t>
  </si>
  <si>
    <t>CPX-4231</t>
  </si>
  <si>
    <t>NCSTN,PSENEN,APH1A,P49810-PRO_0000025603,P49810-PRO_0000025604</t>
  </si>
  <si>
    <t>Q92542, Q9NZ42, Q96BI3, P49810, P49810</t>
  </si>
  <si>
    <t>CPX-4232</t>
  </si>
  <si>
    <t>NCSTN,PSENEN,APH1B,P49810-PRO_0000025603,P49810-PRO_0000025604</t>
  </si>
  <si>
    <t>Q92542, Q9NZ42, Q8WW43, P49810, P49810</t>
  </si>
  <si>
    <t>CPX-4233</t>
  </si>
  <si>
    <t>NCSTN,PSENEN,APH1B,P49768-PRO_0000025591,P49768-PRO_0000236055</t>
  </si>
  <si>
    <t>Q92542, Q9NZ42, Q8WW43, P49768, P49768</t>
  </si>
  <si>
    <t>CPX-5768</t>
  </si>
  <si>
    <t>dipeptidyl peptidase iv</t>
  </si>
  <si>
    <t>,K9N5Q8-PRO_0000422466,K9N5Q8-PRO_0000422467</t>
  </si>
  <si>
    <t>P27487, K9N5Q8, K9N5Q8</t>
  </si>
  <si>
    <t>CPX-5769</t>
  </si>
  <si>
    <t>S,,K0BRG7-PRO_5023435957</t>
  </si>
  <si>
    <t>K0BRG7, P27487, K0BRG7</t>
  </si>
  <si>
    <t>CPX-5835</t>
  </si>
  <si>
    <t>RELA</t>
  </si>
  <si>
    <t>Q04206</t>
  </si>
  <si>
    <t>CPX-5995</t>
  </si>
  <si>
    <t>interferon alpha/beta receptor</t>
  </si>
  <si>
    <t>IFNAR1,IFNAR2,IFNA2,TYK2,JAK1</t>
  </si>
  <si>
    <t>P17181, P48551, P01563, P29597, P23458</t>
  </si>
  <si>
    <t>CPX-5996</t>
  </si>
  <si>
    <t>IFNAR1,IFNAR2,IFNA13,TYK2,JAK1</t>
  </si>
  <si>
    <t>P17181, P48551, P01562, P29597, P23458</t>
  </si>
  <si>
    <t>CPX-5997</t>
  </si>
  <si>
    <t>IFNAR1,IFNAR2,IFNA7,TYK2,JAK1</t>
  </si>
  <si>
    <t>P17181, P48551, P01567, P29597, P23458</t>
  </si>
  <si>
    <t>CPX-5998</t>
  </si>
  <si>
    <t>IFNAR1,IFNAR2,IFNA4,TYK2,JAK1</t>
  </si>
  <si>
    <t>P17181, P48551, P05014, P29597, P23458</t>
  </si>
  <si>
    <t>CPX-5999</t>
  </si>
  <si>
    <t>IFNAR1,IFNAR2,IFNA5,TYK2,JAK1</t>
  </si>
  <si>
    <t>P17181, P48551, P01569, P29597, P23458</t>
  </si>
  <si>
    <t>CPX-6000</t>
  </si>
  <si>
    <t>IFNAR1,IFNAR2,IFNA6,TYK2,JAK1</t>
  </si>
  <si>
    <t>P17181, P48551, P05013, P29597, P23458</t>
  </si>
  <si>
    <t>CPX-6001</t>
  </si>
  <si>
    <t>IFNAR1,IFNAR2,IFNA8,TYK2,JAK1</t>
  </si>
  <si>
    <t>P17181, P48551, P32881, P29597, P23458</t>
  </si>
  <si>
    <t>CPX-6002</t>
  </si>
  <si>
    <t>IFNAR1,IFNAR2,IFNA10,TYK2,JAK1</t>
  </si>
  <si>
    <t>P17181, P48551, P01566, P29597, P23458</t>
  </si>
  <si>
    <t>CPX-6003</t>
  </si>
  <si>
    <t>IFNAR1,IFNAR2,IFNA14,TYK2,JAK1</t>
  </si>
  <si>
    <t>P17181, P48551, P01570, P29597, P23458</t>
  </si>
  <si>
    <t>CPX-6004</t>
  </si>
  <si>
    <t>IFNAR1,IFNAR2,IFNA16,TYK2,JAK1</t>
  </si>
  <si>
    <t>P17181, P48551, P05015, P29597, P23458</t>
  </si>
  <si>
    <t>CPX-6005</t>
  </si>
  <si>
    <t>IFNAR1,IFNAR2,IFNA17,TYK2,JAK1</t>
  </si>
  <si>
    <t>P17181, P48551, P01571, P29597, P23458</t>
  </si>
  <si>
    <t>CPX-6006</t>
  </si>
  <si>
    <t>IFNAR1,IFNAR2,IFNA21,TYK2,JAK1</t>
  </si>
  <si>
    <t>P17181, P48551, P01568, P29597, P23458</t>
  </si>
  <si>
    <t>CPX-6007</t>
  </si>
  <si>
    <t>IFNAR1,IFNAR2,IFNB1,TYK2,JAK1</t>
  </si>
  <si>
    <t>P17181, P48551, P01574, P29597, P23458</t>
  </si>
  <si>
    <t>CPX-6008</t>
  </si>
  <si>
    <t>IFNAR1,IFNAR2,IFNE,TYK2,JAK1</t>
  </si>
  <si>
    <t>P17181, P48551, Q86WN2, P29597, P23458</t>
  </si>
  <si>
    <t>CPX-6009</t>
  </si>
  <si>
    <t>IFNAR1,IFNAR2,IFNK,TYK2,JAK1</t>
  </si>
  <si>
    <t>P17181, P48551, Q9P0W0, P29597, P23458</t>
  </si>
  <si>
    <t>CPX-6010</t>
  </si>
  <si>
    <t>IFNAR1,IFNAR2,IFNW1,TYK2,JAK1</t>
  </si>
  <si>
    <t>P17181, P48551, P05000, P29597, P23458</t>
  </si>
  <si>
    <t>CPX-6048</t>
  </si>
  <si>
    <t>STAT1</t>
  </si>
  <si>
    <t>P42224</t>
  </si>
  <si>
    <t>CPX-6205</t>
  </si>
  <si>
    <t>factor xi messenger rna (f11 mrna)</t>
  </si>
  <si>
    <t>P03951-PRO_0000027825,P03951-PRO_0000027826</t>
  </si>
  <si>
    <t>P03951, P03951</t>
  </si>
  <si>
    <t>CPX-6209</t>
  </si>
  <si>
    <t>factor xii messenger rna (fa12 mrna)</t>
  </si>
  <si>
    <t>P00748-PRO_0000027833,P00748-PRO_0000027835</t>
  </si>
  <si>
    <t>P00748, P00748</t>
  </si>
  <si>
    <t>CPX-6211</t>
  </si>
  <si>
    <t>coagulation factor vii/tissue factor</t>
  </si>
  <si>
    <t>P08709-PRO_0000027731,P08709-PRO_0000027730</t>
  </si>
  <si>
    <t>P08709, P08709</t>
  </si>
  <si>
    <t>CPX-6222</t>
  </si>
  <si>
    <t>thrombin</t>
  </si>
  <si>
    <t>P00734-PRO_0000028164,P00734-PRO_0000028163</t>
  </si>
  <si>
    <t>P00734, P00734</t>
  </si>
  <si>
    <t>CPX-6276</t>
  </si>
  <si>
    <t>dna (cytosine-5)-methyltransferase 3b</t>
  </si>
  <si>
    <t>DNMT3L,DNMT3B</t>
  </si>
  <si>
    <t>Q9UJW3, Q9UBC3</t>
  </si>
  <si>
    <t>CPX-6411</t>
  </si>
  <si>
    <t>atp-dependent rna helicase ddx1</t>
  </si>
  <si>
    <t>RTCB,DDX1,RTRAF,FAM98B,ZBTB8OS,FAM98A,C2orf49</t>
  </si>
  <si>
    <t>Q9Y3I0, Q92499, Q9Y224, Q52LJ0, Q8IWT0, Q8NCA5, Q9BVC5</t>
  </si>
  <si>
    <t>CPX-6416</t>
  </si>
  <si>
    <t>FOS,ATF2</t>
  </si>
  <si>
    <t>P01100, P15336</t>
  </si>
  <si>
    <t>CPX-6477</t>
  </si>
  <si>
    <t>ATF3,FOS</t>
  </si>
  <si>
    <t>P18847, P01100</t>
  </si>
  <si>
    <t>CPX-6564</t>
  </si>
  <si>
    <t>ATF4,FOS</t>
  </si>
  <si>
    <t>P18848, P01100</t>
  </si>
  <si>
    <t>CPX-6783</t>
  </si>
  <si>
    <t>ATF7,FOS</t>
  </si>
  <si>
    <t>P17544, P01100</t>
  </si>
  <si>
    <t>CPX-7147</t>
  </si>
  <si>
    <t>VPS37C,MVB12A,TSG101,VPS28</t>
  </si>
  <si>
    <t>A5D8V6, Q96EY5, Q99816, Q9UK41</t>
  </si>
  <si>
    <t>CPX-7164</t>
  </si>
  <si>
    <t>VPS37B,MVB12B,TSG101,VPS28</t>
  </si>
  <si>
    <t>Q9H9H4, Q9H7P6-1, Q99816, Q9UK41</t>
  </si>
  <si>
    <t>CPX-7166</t>
  </si>
  <si>
    <t>VPS37C,MVB12B,TSG101,VPS28</t>
  </si>
  <si>
    <t>A5D8V6, Q9H7P6-1, Q99816, Q9UK41</t>
  </si>
  <si>
    <t>CPX-7381</t>
  </si>
  <si>
    <t>hypoxia-inducible factor 1 alpha</t>
  </si>
  <si>
    <t>ARNT,HIF1A</t>
  </si>
  <si>
    <t>P27540, Q16665</t>
  </si>
  <si>
    <t>CPX-7747</t>
  </si>
  <si>
    <t>CUL1,FBXW2,RBX1,SKP1</t>
  </si>
  <si>
    <t>Q13616, Q9UKT8, P62877, P63208</t>
  </si>
  <si>
    <t>CPX-7762</t>
  </si>
  <si>
    <t>CUL1,FBXW5,RBX1,SKP1</t>
  </si>
  <si>
    <t>Q13616, Q969U6, P62877, P63208</t>
  </si>
  <si>
    <t>CPX-7763</t>
  </si>
  <si>
    <t>FBXW7,SKP1,CUL1,RBX1</t>
  </si>
  <si>
    <t>Q969H0, P63208, Q13616, P62877</t>
  </si>
  <si>
    <t>CPX-7785</t>
  </si>
  <si>
    <t>CUL1,FBXW9,RBX1,SKP1</t>
  </si>
  <si>
    <t>Q13616, Q5XUX1, P62877, P63208</t>
  </si>
  <si>
    <t>CPX-7786</t>
  </si>
  <si>
    <t>CUL1,FBXW10,RBX1,SKP1</t>
  </si>
  <si>
    <t>Q13616, Q5XX13, P62877, P63208</t>
  </si>
  <si>
    <t>CPX-7822</t>
  </si>
  <si>
    <t>CUL1,FBXW12,RBX1,SKP1</t>
  </si>
  <si>
    <t>Q13616, Q6X9E4, P62877, P63208</t>
  </si>
  <si>
    <t>CPX-7847</t>
  </si>
  <si>
    <t>CUL1,FBXO2,RBX1,SKP1</t>
  </si>
  <si>
    <t>Q13616, Q9UK22, P62877, P63208</t>
  </si>
  <si>
    <t>CPX-7881</t>
  </si>
  <si>
    <t>CUL1,FBXO3,RBX1,SKP1</t>
  </si>
  <si>
    <t>Q13616, Q9UK99, P62877, P63208</t>
  </si>
  <si>
    <t>CPX-7882</t>
  </si>
  <si>
    <t>CUL1,FBXO4,RBX1,SKP1</t>
  </si>
  <si>
    <t>Q13616, Q9UKT5, P62877, P63208</t>
  </si>
  <si>
    <t>CPX-7904</t>
  </si>
  <si>
    <t>CUL1,FBXO5,RBX1,SKP1</t>
  </si>
  <si>
    <t>Q13616, Q9UKT4, P62877, P63208</t>
  </si>
  <si>
    <t>CPX-7905</t>
  </si>
  <si>
    <t>CUL1,FBXO6,RBX1,SKP1</t>
  </si>
  <si>
    <t>Q13616, Q9NRD1, P62877, P63208</t>
  </si>
  <si>
    <t>CPX-7921</t>
  </si>
  <si>
    <t>RBX1,SKP1,CUL1,FBXO8</t>
  </si>
  <si>
    <t>P62877, P63208, Q13616, Q9NRD0</t>
  </si>
  <si>
    <t>CPX-7922</t>
  </si>
  <si>
    <t>RBX1,SKP1,CUL1,FBXO9</t>
  </si>
  <si>
    <t>P62877, P63208, Q13616, Q9UK97</t>
  </si>
  <si>
    <t>CPX-7925</t>
  </si>
  <si>
    <t>FBXO15,RBX1,SKP1,CUL1</t>
  </si>
  <si>
    <t>Q8NCQ5, P62877, P63208, Q13616</t>
  </si>
  <si>
    <t>CPX-7926</t>
  </si>
  <si>
    <t>RBX1,SKP1,FBXO16,CUL1</t>
  </si>
  <si>
    <t>P62877, P63208, Q8IX29, Q13616</t>
  </si>
  <si>
    <t>CPX-7927</t>
  </si>
  <si>
    <t>RBX1,SKP1,FBXO17,CUL1</t>
  </si>
  <si>
    <t>P62877, P63208, Q96EF6, Q13616</t>
  </si>
  <si>
    <t>CPX-7929</t>
  </si>
  <si>
    <t>RBX1,SKP1,LMO7,CUL1</t>
  </si>
  <si>
    <t>P62877, P63208, Q8WWI1, Q13616</t>
  </si>
  <si>
    <t>CPX-7930</t>
  </si>
  <si>
    <t>SKP1,FBXO21,RBX1,CUL1</t>
  </si>
  <si>
    <t>P63208, O94952, P62877, Q13616</t>
  </si>
  <si>
    <t>CPX-7962</t>
  </si>
  <si>
    <t>RBX1,SKP1,FBXO22,CUL1</t>
  </si>
  <si>
    <t>P62877, P63208, Q8NEZ5, Q13616</t>
  </si>
  <si>
    <t>CPX-7963</t>
  </si>
  <si>
    <t>RBX1,SKP1,FBXO24,CUL1</t>
  </si>
  <si>
    <t>P62877, P63208, O75426, Q13616</t>
  </si>
  <si>
    <t>CPX-7966</t>
  </si>
  <si>
    <t>RBX1,SKP1,FBXO27,CUL1</t>
  </si>
  <si>
    <t>P62877, P63208, Q8NI29, Q13616</t>
  </si>
  <si>
    <t>CPX-7968</t>
  </si>
  <si>
    <t>RBX1,SKP1,FBXO30,CUL1</t>
  </si>
  <si>
    <t>P62877, P63208, Q8TB52, Q13616</t>
  </si>
  <si>
    <t>CPX-7972</t>
  </si>
  <si>
    <t>RBX1,SKP1,FBXO32,CUL1</t>
  </si>
  <si>
    <t>P62877, P63208, Q969P5, Q13616</t>
  </si>
  <si>
    <t>CPX-7973</t>
  </si>
  <si>
    <t>RBX1,SKP1,FBXO33,CUL1</t>
  </si>
  <si>
    <t>P62877, P63208, Q7Z6M2, Q13616</t>
  </si>
  <si>
    <t>CPX-7975</t>
  </si>
  <si>
    <t>FBXO34,RBX1,SKP1,CUL1</t>
  </si>
  <si>
    <t>Q9NWN3, P62877, P63208, Q13616</t>
  </si>
  <si>
    <t>CPX-7976</t>
  </si>
  <si>
    <t>RBX1,FBXO36,SKP1,CUL1</t>
  </si>
  <si>
    <t>P62877, Q8NEA4, P63208, Q13616</t>
  </si>
  <si>
    <t>CPX-7979</t>
  </si>
  <si>
    <t>RBX1,FBXO39,SKP1,CUL1</t>
  </si>
  <si>
    <t>P62877, Q8N4B4, P63208, Q13616</t>
  </si>
  <si>
    <t>CPX-7981</t>
  </si>
  <si>
    <t>RBX1,FBXO40,SKP1,CUL1</t>
  </si>
  <si>
    <t>P62877, Q9UH90, P63208, Q13616</t>
  </si>
  <si>
    <t>CPX-7982</t>
  </si>
  <si>
    <t>FBXO41,RBX1,SKP1,CUL1</t>
  </si>
  <si>
    <t>Q8TF61, P62877, P63208, Q13616</t>
  </si>
  <si>
    <t>CPX-7983</t>
  </si>
  <si>
    <t>FBXO42,RBX1,SKP1,CUL1</t>
  </si>
  <si>
    <t>Q6P3S6, P62877, P63208, Q13616</t>
  </si>
  <si>
    <t>CPX-8003</t>
  </si>
  <si>
    <t>FBXO44,RBX1,SKP1,CUL1</t>
  </si>
  <si>
    <t>Q9H4M3, P62877, P63208, Q13616</t>
  </si>
  <si>
    <t>CPX-8005</t>
  </si>
  <si>
    <t>FBXO46,RBX1,SKP1,CUL1</t>
  </si>
  <si>
    <t>Q6PJ61, P62877, P63208, Q13616</t>
  </si>
  <si>
    <t>CPX-8006</t>
  </si>
  <si>
    <t>RBX1,FBXO47,SKP1,CUL1</t>
  </si>
  <si>
    <t>P62877, Q5MNV8, P63208, Q13616</t>
  </si>
  <si>
    <t>CPX-8062</t>
  </si>
  <si>
    <t>mitochondrial pyruvate carrier 2</t>
  </si>
  <si>
    <t>MPC1L,MPC2</t>
  </si>
  <si>
    <t>P0DKB6, O95563</t>
  </si>
  <si>
    <t>CPX-8108</t>
  </si>
  <si>
    <t>TSPAN17,RBX1,SKP1,CUL1</t>
  </si>
  <si>
    <t>Q96FV3, P62877, P63208, Q13616</t>
  </si>
  <si>
    <t>CPX-8502</t>
  </si>
  <si>
    <t>UGT1A1</t>
  </si>
  <si>
    <t>P22309-1</t>
  </si>
  <si>
    <t>CPX-8541</t>
  </si>
  <si>
    <t>UGT1A1,UGT1A1</t>
  </si>
  <si>
    <t>P22309-1, P22309-2</t>
  </si>
  <si>
    <t>CPX-8571</t>
  </si>
  <si>
    <t>GABRG2,GABRB3,GABRA4</t>
  </si>
  <si>
    <t>P18507, P28472, P48169</t>
  </si>
  <si>
    <t>CPX-8573</t>
  </si>
  <si>
    <t>GABRB3,GABRQ,GABRA3</t>
  </si>
  <si>
    <t>P28472, Q9UN88, P34903</t>
  </si>
  <si>
    <t>CPX-8574</t>
  </si>
  <si>
    <t>GABRB2,GABRG2,GABRA4</t>
  </si>
  <si>
    <t>P47870, P18507, P48169</t>
  </si>
  <si>
    <t>CPX-8576</t>
  </si>
  <si>
    <t>GABRB2,GABRG2,GABRA5</t>
  </si>
  <si>
    <t>P47870, P18507, P31644</t>
  </si>
  <si>
    <t>CPX-8578</t>
  </si>
  <si>
    <t>GABRA1,GABRB2,GABRD</t>
  </si>
  <si>
    <t>P14867, P47870, O14764</t>
  </si>
  <si>
    <t>CPX-8580</t>
  </si>
  <si>
    <t>GABRB2,GABRG2,GABRA3</t>
  </si>
  <si>
    <t>P47870, P18507, P34903</t>
  </si>
  <si>
    <t>CPX-8581</t>
  </si>
  <si>
    <t>GABRB2,GABRG2,GABRA6</t>
  </si>
  <si>
    <t>P47870, P18507, Q16445</t>
  </si>
  <si>
    <t>CPX-8701</t>
  </si>
  <si>
    <t>GABRB3,GABRA5</t>
  </si>
  <si>
    <t>P28472, P31644</t>
  </si>
  <si>
    <t>CPX-8729</t>
  </si>
  <si>
    <t>GABRB3,GABRA1</t>
  </si>
  <si>
    <t>P28472, P14867</t>
  </si>
  <si>
    <t>CPX-8731</t>
  </si>
  <si>
    <t>GABRB3,GABRG2</t>
  </si>
  <si>
    <t>P28472, P18507</t>
  </si>
  <si>
    <t>CPX-8732</t>
  </si>
  <si>
    <t>GABRB3,GABRD</t>
  </si>
  <si>
    <t>P28472, O14764</t>
  </si>
  <si>
    <t>CPX-8806</t>
  </si>
  <si>
    <t>PSMB1,PSMA6,PSMA7,PSMB2,PSMB3,PSMB4,PSMB5,PSMB6,PSMB7,PSMA1,PSMA2,PSMA3,PSMA4,PSMA5</t>
  </si>
  <si>
    <t>P20618, P60900, O14818, P49721, P49720, P28070, P28074, P28072, Q99436, P25786, P25787, P25788, P25789, P28066</t>
  </si>
  <si>
    <t>CPX-8826</t>
  </si>
  <si>
    <t>P01375-PRO_0000034424</t>
  </si>
  <si>
    <t>P01375</t>
  </si>
  <si>
    <t>CPX-8836</t>
  </si>
  <si>
    <t>interleukin-6 receptor subunit beta</t>
  </si>
  <si>
    <t>JAK1,JAK2,TYK2,EBI3,IL27,IL27RA,IL6ST</t>
  </si>
  <si>
    <t>P23458, O60674, P29597, Q14213, Q8NEV9, Q6UWB1, P40189</t>
  </si>
  <si>
    <t>CPX-8861</t>
  </si>
  <si>
    <t>voltage-gated calcium channel alpha cav1.2 (cacna1c)</t>
  </si>
  <si>
    <t>CACNB3,CACNA1C,P54289-PRO_0000005001,P54289-PRO_0000005002</t>
  </si>
  <si>
    <t>P54284, Q13936, P54289, P54289</t>
  </si>
  <si>
    <t>CPX-8923</t>
  </si>
  <si>
    <t>eukaryotic peptide chain release factor gtp-binding subunit erf3b</t>
  </si>
  <si>
    <t>GSPT2,ETF1</t>
  </si>
  <si>
    <t>Q8IYD1, P62495</t>
  </si>
  <si>
    <t>CPX-8931</t>
  </si>
  <si>
    <t>P01375-PRO_0000034423</t>
  </si>
  <si>
    <t>CPX-8933</t>
  </si>
  <si>
    <t>P01375-PRO_0000034423,P20333-PRO_0000034548</t>
  </si>
  <si>
    <t>CRABP2</t>
  </si>
  <si>
    <t>cellular retinoic acid-binding protein ii</t>
  </si>
  <si>
    <t>P29373</t>
  </si>
  <si>
    <t>CREBBP</t>
  </si>
  <si>
    <t>creb-binding protein</t>
  </si>
  <si>
    <t>Q92793</t>
  </si>
  <si>
    <t>CSF1R</t>
  </si>
  <si>
    <t>macrophage colony stimulating factor receptor</t>
  </si>
  <si>
    <t>P07333</t>
  </si>
  <si>
    <t>CSF3R</t>
  </si>
  <si>
    <t>granulocyte colony stimulating factor receptor</t>
  </si>
  <si>
    <t>Q99062</t>
  </si>
  <si>
    <t>CSK</t>
  </si>
  <si>
    <t>tyrosine-protein kinase csk</t>
  </si>
  <si>
    <t>P41240</t>
  </si>
  <si>
    <t>CSNK1A1</t>
  </si>
  <si>
    <t>casein kinase i alpha</t>
  </si>
  <si>
    <t>P48729</t>
  </si>
  <si>
    <t>CSNK1A1L</t>
  </si>
  <si>
    <t>casein kinase i isoform alpha-like</t>
  </si>
  <si>
    <t>Q8N752</t>
  </si>
  <si>
    <t>CSNK1D</t>
  </si>
  <si>
    <t>casein kinase i delta</t>
  </si>
  <si>
    <t>P48730</t>
  </si>
  <si>
    <t>CSNK1E</t>
  </si>
  <si>
    <t>casein kinase i epsilon</t>
  </si>
  <si>
    <t>P49674</t>
  </si>
  <si>
    <t>CSNK1G1</t>
  </si>
  <si>
    <t>casein kinase i gamma 1</t>
  </si>
  <si>
    <t>Q9HCP0</t>
  </si>
  <si>
    <t>CSNK1G2</t>
  </si>
  <si>
    <t>casein kinase i gamma 2</t>
  </si>
  <si>
    <t>P78368</t>
  </si>
  <si>
    <t>CSNK1G3</t>
  </si>
  <si>
    <t>casein kinase i isoform gamma-3</t>
  </si>
  <si>
    <t>Q9Y6M4</t>
  </si>
  <si>
    <t>CSNK2A1</t>
  </si>
  <si>
    <t>casein kinase ii alpha</t>
  </si>
  <si>
    <t>P68400</t>
  </si>
  <si>
    <t>CSNK2A2</t>
  </si>
  <si>
    <t>casein kinase ii alpha (prime)</t>
  </si>
  <si>
    <t>P19784</t>
  </si>
  <si>
    <t>CTRB1</t>
  </si>
  <si>
    <t>beta-chymotrypsin</t>
  </si>
  <si>
    <t>P17538</t>
  </si>
  <si>
    <t>CTSD</t>
  </si>
  <si>
    <t>cathepsin d</t>
  </si>
  <si>
    <t>P07339</t>
  </si>
  <si>
    <t>CTSE</t>
  </si>
  <si>
    <t>cathepsin e</t>
  </si>
  <si>
    <t>P14091</t>
  </si>
  <si>
    <t>CYP1A1</t>
  </si>
  <si>
    <t>cytochrome p450 1a1</t>
  </si>
  <si>
    <t>P04798</t>
  </si>
  <si>
    <t>CYP1B1</t>
  </si>
  <si>
    <t>cytochrome p450 1b1</t>
  </si>
  <si>
    <t>Q16678</t>
  </si>
  <si>
    <t>CYP2J2</t>
  </si>
  <si>
    <t>cytochrome p450 2j2</t>
  </si>
  <si>
    <t>P51589</t>
  </si>
  <si>
    <t>CYP3A5</t>
  </si>
  <si>
    <t>cytochrome p450 3a5</t>
  </si>
  <si>
    <t>P20815</t>
  </si>
  <si>
    <t>CYP4F2</t>
  </si>
  <si>
    <t>cytochrome p450 4f2</t>
  </si>
  <si>
    <t>P78329</t>
  </si>
  <si>
    <t>CYP8B1</t>
  </si>
  <si>
    <t>7-alpha-hydroxycholest-4-en-3-one 12-alpha-hydroxylase</t>
  </si>
  <si>
    <t>Q9UNU6</t>
  </si>
  <si>
    <t>CYP11B1</t>
  </si>
  <si>
    <t>cytochrome p450 11b1</t>
  </si>
  <si>
    <t>P15538</t>
  </si>
  <si>
    <t>CYP11B2</t>
  </si>
  <si>
    <t>cytochrome p450 11b2</t>
  </si>
  <si>
    <t>P19099</t>
  </si>
  <si>
    <t>CYP17A1</t>
  </si>
  <si>
    <t>cytochrome p450 17a1</t>
  </si>
  <si>
    <t>P05093</t>
  </si>
  <si>
    <t>CYP19A1</t>
  </si>
  <si>
    <t>cytochrome p450 19a1</t>
  </si>
  <si>
    <t>P11511</t>
  </si>
  <si>
    <t>CYP21A2</t>
  </si>
  <si>
    <t>cytochrome p450 21</t>
  </si>
  <si>
    <t>P08686</t>
  </si>
  <si>
    <t>CYP24A1</t>
  </si>
  <si>
    <t>cytochrome p450 24a1</t>
  </si>
  <si>
    <t>Q07973</t>
  </si>
  <si>
    <t>CYP26A1</t>
  </si>
  <si>
    <t>cytochrome p450 26a1</t>
  </si>
  <si>
    <t>O43174</t>
  </si>
  <si>
    <t>CYP26B1</t>
  </si>
  <si>
    <t>cytochrome p450 26b1</t>
  </si>
  <si>
    <t>Q9NR63</t>
  </si>
  <si>
    <t>CYP27B1</t>
  </si>
  <si>
    <t>25-hydroxyvitamin d-1 alpha hydroxylase, mitochondrial</t>
  </si>
  <si>
    <t>O15528</t>
  </si>
  <si>
    <t>CYP46A1</t>
  </si>
  <si>
    <t>cholesterol 24-hydroxylase</t>
  </si>
  <si>
    <t>Q9Y6A2</t>
  </si>
  <si>
    <t>CYP51A1</t>
  </si>
  <si>
    <t>cytochrome p450 51</t>
  </si>
  <si>
    <t>Q16850</t>
  </si>
  <si>
    <t>CYSLTR2</t>
  </si>
  <si>
    <t>cysteinyl leukotriene receptor 2</t>
  </si>
  <si>
    <t>Q9NS75</t>
  </si>
  <si>
    <t>DAPK1</t>
  </si>
  <si>
    <t>death-associated protein kinase 1</t>
  </si>
  <si>
    <t>P53355</t>
  </si>
  <si>
    <t>DAPK2</t>
  </si>
  <si>
    <t>death-associated protein kinase 2</t>
  </si>
  <si>
    <t>Q9UIK4</t>
  </si>
  <si>
    <t>DBF4</t>
  </si>
  <si>
    <t>Q9UBU7</t>
  </si>
  <si>
    <t>DCK</t>
  </si>
  <si>
    <t>deoxycytidine kinase</t>
  </si>
  <si>
    <t>P27707</t>
  </si>
  <si>
    <t>DCLK1</t>
  </si>
  <si>
    <t>serine/threonine-protein kinase dclk1</t>
  </si>
  <si>
    <t>O15075</t>
  </si>
  <si>
    <t>DCLK2</t>
  </si>
  <si>
    <t>serine/threonine-protein kinase dclk2</t>
  </si>
  <si>
    <t>Q8N568</t>
  </si>
  <si>
    <t>DCLK3</t>
  </si>
  <si>
    <t>serine/threonine-protein kinase dclk3</t>
  </si>
  <si>
    <t>Q9C098</t>
  </si>
  <si>
    <t>DCTPP1</t>
  </si>
  <si>
    <t>dctp pyrophosphatase 1</t>
  </si>
  <si>
    <t>Q9H773</t>
  </si>
  <si>
    <t>DDAH1</t>
  </si>
  <si>
    <t>n(g),n(g)-dimethylarginine dimethylaminohydrolase 1</t>
  </si>
  <si>
    <t>O94760</t>
  </si>
  <si>
    <t>DDR1</t>
  </si>
  <si>
    <t>epithelial discoidin domain-containing receptor 1</t>
  </si>
  <si>
    <t>Q08345</t>
  </si>
  <si>
    <t>DDR2</t>
  </si>
  <si>
    <t>discoidin domain-containing receptor 2</t>
  </si>
  <si>
    <t>Q16832</t>
  </si>
  <si>
    <t>DDX3X</t>
  </si>
  <si>
    <t>atp-dependent rna helicase ddx3x</t>
  </si>
  <si>
    <t>O00571</t>
  </si>
  <si>
    <t>DDX42</t>
  </si>
  <si>
    <t>atp-dependent rna helicase ddx42</t>
  </si>
  <si>
    <t>Q86XP3</t>
  </si>
  <si>
    <t>DGKA</t>
  </si>
  <si>
    <t>diacylglycerol kinase alpha</t>
  </si>
  <si>
    <t>P23743</t>
  </si>
  <si>
    <t>DHCR24</t>
  </si>
  <si>
    <t>delta(24)-sterol reductase</t>
  </si>
  <si>
    <t>Q15392</t>
  </si>
  <si>
    <t>DHFR</t>
  </si>
  <si>
    <t>dihydrofolate reductase</t>
  </si>
  <si>
    <t>P00374</t>
  </si>
  <si>
    <t>DHRS9</t>
  </si>
  <si>
    <t>dehydrogenase/reductase sdr family member 9</t>
  </si>
  <si>
    <t>Q9BPW9</t>
  </si>
  <si>
    <t>DHX30</t>
  </si>
  <si>
    <t>atp-dependent rna helicase dhx30</t>
  </si>
  <si>
    <t>Q7L2E3</t>
  </si>
  <si>
    <t>DMPK</t>
  </si>
  <si>
    <t>myotonin-protein kinase</t>
  </si>
  <si>
    <t>Q09013</t>
  </si>
  <si>
    <t>DNAJA1</t>
  </si>
  <si>
    <t>dnaj homolog subfamily a member 1</t>
  </si>
  <si>
    <t>P31689</t>
  </si>
  <si>
    <t>DNMT1</t>
  </si>
  <si>
    <t>dna (cytosine-5)-methyltransferase 1</t>
  </si>
  <si>
    <t>P26358</t>
  </si>
  <si>
    <t>DRD5</t>
  </si>
  <si>
    <t>dopamine d5 receptor</t>
  </si>
  <si>
    <t>P21918</t>
  </si>
  <si>
    <t>DSTYK</t>
  </si>
  <si>
    <t>dual serine/threonine and tyrosine protein kinase</t>
  </si>
  <si>
    <t>Q6XUX3</t>
  </si>
  <si>
    <t>DYRK1B</t>
  </si>
  <si>
    <t>dual specificity tyrosine-phosphorylation-regulated kinase 1b</t>
  </si>
  <si>
    <t>Q9Y463</t>
  </si>
  <si>
    <t>DYRK3</t>
  </si>
  <si>
    <t>dual-specificity tyrosine-phosphorylation regulated kinase 3</t>
  </si>
  <si>
    <t>O43781</t>
  </si>
  <si>
    <t>DYRK4</t>
  </si>
  <si>
    <t>dual specificity tyrosine-phosphorylation-regulated kinase 4</t>
  </si>
  <si>
    <t>Q9NR20</t>
  </si>
  <si>
    <t>EBP</t>
  </si>
  <si>
    <t>3-beta-hydroxysteroid-delta(8),delta(7)-isomerase</t>
  </si>
  <si>
    <t>Q15125</t>
  </si>
  <si>
    <t>EEF2K</t>
  </si>
  <si>
    <t>serine/threonine-protein kinase eef2k</t>
  </si>
  <si>
    <t>O00418</t>
  </si>
  <si>
    <t>EIF2AK1</t>
  </si>
  <si>
    <t>eukaryotic translation initiation factor 2-alpha kinase 1</t>
  </si>
  <si>
    <t>Q9BQI3</t>
  </si>
  <si>
    <t>EIF2AK2</t>
  </si>
  <si>
    <t>interferon-induced, double-stranded rna-activated protein kinase</t>
  </si>
  <si>
    <t>P19525</t>
  </si>
  <si>
    <t>EIF2AK3</t>
  </si>
  <si>
    <t>eukaryotic translation initiation factor 2-alpha kinase 3</t>
  </si>
  <si>
    <t>Q9NZJ5</t>
  </si>
  <si>
    <t>EIF2AK4</t>
  </si>
  <si>
    <t>eukaryotic translation initiation factor 2-alpha kinase 4</t>
  </si>
  <si>
    <t>Q9P2K8</t>
  </si>
  <si>
    <t>EIF5B</t>
  </si>
  <si>
    <t>eukaryotic translation initiation factor 5b</t>
  </si>
  <si>
    <t>O60841</t>
  </si>
  <si>
    <t>ENGASE</t>
  </si>
  <si>
    <t>endo-beta-n-acetylglucosaminidase</t>
  </si>
  <si>
    <t>Q8NFI3</t>
  </si>
  <si>
    <t>ENPP1</t>
  </si>
  <si>
    <t>ectonucleotide pyrophosphatase/phosphodiesterase family member 1</t>
  </si>
  <si>
    <t>P22413</t>
  </si>
  <si>
    <t>ENPP3</t>
  </si>
  <si>
    <t>ectonucleotide pyrophosphatase/phosphodiesterase family member 3</t>
  </si>
  <si>
    <t>O14638</t>
  </si>
  <si>
    <t>ENTPD1</t>
  </si>
  <si>
    <t>ectonucleoside triphosphate diphosphohydrolase 1</t>
  </si>
  <si>
    <t>P49961</t>
  </si>
  <si>
    <t>ENTPD2</t>
  </si>
  <si>
    <t>ectonucleoside triphosphate diphosphohydrolase 2</t>
  </si>
  <si>
    <t>Q9Y5L3</t>
  </si>
  <si>
    <t>ENTPD3</t>
  </si>
  <si>
    <t>ectonucleoside triphosphate diphosphohydrolase 3</t>
  </si>
  <si>
    <t>O75355</t>
  </si>
  <si>
    <t>ENTPD8</t>
  </si>
  <si>
    <t>ectonucleoside triphosphate diphosphohydrolase 8</t>
  </si>
  <si>
    <t>Q5MY95</t>
  </si>
  <si>
    <t>EP300</t>
  </si>
  <si>
    <t>histone acetyltransferase p300</t>
  </si>
  <si>
    <t>Q09472</t>
  </si>
  <si>
    <t>EPHA1</t>
  </si>
  <si>
    <t>ephrin type-a receptor 1</t>
  </si>
  <si>
    <t>P21709</t>
  </si>
  <si>
    <t>EPHA2</t>
  </si>
  <si>
    <t>ephrin type-a receptor 2</t>
  </si>
  <si>
    <t>P29317</t>
  </si>
  <si>
    <t>EPHA3</t>
  </si>
  <si>
    <t>ephrin type-a receptor 3</t>
  </si>
  <si>
    <t>P29320</t>
  </si>
  <si>
    <t>EPHA4</t>
  </si>
  <si>
    <t>ephrin type-a receptor 4</t>
  </si>
  <si>
    <t>P54764</t>
  </si>
  <si>
    <t>EPHA5</t>
  </si>
  <si>
    <t>ephrin type-a receptor 5</t>
  </si>
  <si>
    <t>P54756</t>
  </si>
  <si>
    <t>EPHA6</t>
  </si>
  <si>
    <t>ephrin type-a receptor 6</t>
  </si>
  <si>
    <t>Q9UF33</t>
  </si>
  <si>
    <t>EPHA7</t>
  </si>
  <si>
    <t>ephrin type-a receptor 7</t>
  </si>
  <si>
    <t>Q15375</t>
  </si>
  <si>
    <t>EPHA8</t>
  </si>
  <si>
    <t>ephrin type-a receptor 8</t>
  </si>
  <si>
    <t>P29322</t>
  </si>
  <si>
    <t>EPHB1</t>
  </si>
  <si>
    <t>ephrin type-b receptor 1</t>
  </si>
  <si>
    <t>P54762</t>
  </si>
  <si>
    <t>EPHB2</t>
  </si>
  <si>
    <t>ephrin type-b receptor 2</t>
  </si>
  <si>
    <t>P29323</t>
  </si>
  <si>
    <t>EPHB3</t>
  </si>
  <si>
    <t>ephrin type-b receptor 3</t>
  </si>
  <si>
    <t>P54753</t>
  </si>
  <si>
    <t>EPHB4</t>
  </si>
  <si>
    <t>ephrin type-b receptor 4</t>
  </si>
  <si>
    <t>P54760</t>
  </si>
  <si>
    <t>EPHB6</t>
  </si>
  <si>
    <t>ephrin type-b receptor 6</t>
  </si>
  <si>
    <t>O15197</t>
  </si>
  <si>
    <t>EPHX2</t>
  </si>
  <si>
    <t>epoxide hydratase</t>
  </si>
  <si>
    <t>P34913</t>
  </si>
  <si>
    <t>ERBB3</t>
  </si>
  <si>
    <t>receptor tyrosine-protein kinase erbb-3</t>
  </si>
  <si>
    <t>P21860</t>
  </si>
  <si>
    <t>ERBB4</t>
  </si>
  <si>
    <t>receptor protein-tyrosine kinase erbb-4</t>
  </si>
  <si>
    <t>Q15303</t>
  </si>
  <si>
    <t>ERG</t>
  </si>
  <si>
    <t>transcriptional regulator erg</t>
  </si>
  <si>
    <t>P11308</t>
  </si>
  <si>
    <t>ERN1</t>
  </si>
  <si>
    <t>serine/threonine-protein kinase/endoribonuclease ire1</t>
  </si>
  <si>
    <t>O75460</t>
  </si>
  <si>
    <t>ERN2</t>
  </si>
  <si>
    <t>serine/threonine-protein kinase/endoribonuclease ire2</t>
  </si>
  <si>
    <t>Q76MJ5</t>
  </si>
  <si>
    <t>ESRRA</t>
  </si>
  <si>
    <t>estrogen-related receptor alpha</t>
  </si>
  <si>
    <t>P11474</t>
  </si>
  <si>
    <t>ESRRB</t>
  </si>
  <si>
    <t>estrogen-related receptor beta</t>
  </si>
  <si>
    <t>O95718</t>
  </si>
  <si>
    <t>ESRRG</t>
  </si>
  <si>
    <t>estrogen-related receptor gamma</t>
  </si>
  <si>
    <t>P62508</t>
  </si>
  <si>
    <t>EYA2</t>
  </si>
  <si>
    <t>eyes absent homolog 2</t>
  </si>
  <si>
    <t>O00167</t>
  </si>
  <si>
    <t>FAAH</t>
  </si>
  <si>
    <t>anandamide amidohydrolase</t>
  </si>
  <si>
    <t>O00519</t>
  </si>
  <si>
    <t>FABP2</t>
  </si>
  <si>
    <t>fatty acid binding protein intestinal</t>
  </si>
  <si>
    <t>P12104</t>
  </si>
  <si>
    <t>FASN</t>
  </si>
  <si>
    <t>fatty acid synthase</t>
  </si>
  <si>
    <t>P49327</t>
  </si>
  <si>
    <t>FER</t>
  </si>
  <si>
    <t>tyrosine-protein kinase fer</t>
  </si>
  <si>
    <t>P16591</t>
  </si>
  <si>
    <t>FES</t>
  </si>
  <si>
    <t>tyrosine-protein kinase fes</t>
  </si>
  <si>
    <t>P07332</t>
  </si>
  <si>
    <t>FFAR1</t>
  </si>
  <si>
    <t>free fatty acid receptor 1</t>
  </si>
  <si>
    <t>O14842</t>
  </si>
  <si>
    <t>FGFR1</t>
  </si>
  <si>
    <t>fibroblast growth factor receptor 1</t>
  </si>
  <si>
    <t>P11362</t>
  </si>
  <si>
    <t>FGFR2</t>
  </si>
  <si>
    <t>fibroblast growth factor receptor 2</t>
  </si>
  <si>
    <t>P21802</t>
  </si>
  <si>
    <t>FGFR3</t>
  </si>
  <si>
    <t>fibroblast growth factor receptor 3</t>
  </si>
  <si>
    <t>P22607</t>
  </si>
  <si>
    <t>FGFR4</t>
  </si>
  <si>
    <t>fibroblast growth factor receptor 4</t>
  </si>
  <si>
    <t>P22455</t>
  </si>
  <si>
    <t>FGR</t>
  </si>
  <si>
    <t>tyrosine-protein kinase fgr</t>
  </si>
  <si>
    <t>P09769</t>
  </si>
  <si>
    <t>FKBP5</t>
  </si>
  <si>
    <t>peptidyl-prolyl cis-trans isomerase fkbp5</t>
  </si>
  <si>
    <t>Q13451</t>
  </si>
  <si>
    <t>FLT3</t>
  </si>
  <si>
    <t>fms-like tyrosine kinase 3 (flt-3)</t>
  </si>
  <si>
    <t>P36888</t>
  </si>
  <si>
    <t>FLT4</t>
  </si>
  <si>
    <t>vascular endothelial growth factor receptor 3</t>
  </si>
  <si>
    <t>P35916</t>
  </si>
  <si>
    <t>FMO3</t>
  </si>
  <si>
    <t>dimethylaniline monooxygenase [n-oxide-forming] 3</t>
  </si>
  <si>
    <t>P31513</t>
  </si>
  <si>
    <t>FOLR1</t>
  </si>
  <si>
    <t>folate receptor alpha</t>
  </si>
  <si>
    <t>P15328</t>
  </si>
  <si>
    <t>FOLR2</t>
  </si>
  <si>
    <t>folate receptor beta</t>
  </si>
  <si>
    <t>P14207</t>
  </si>
  <si>
    <t>FOXO1</t>
  </si>
  <si>
    <t>forkhead box protein o1</t>
  </si>
  <si>
    <t>Q12778</t>
  </si>
  <si>
    <t>FPGS</t>
  </si>
  <si>
    <t>folylpoly-gamma-glutamate synthetase</t>
  </si>
  <si>
    <t>Q05932</t>
  </si>
  <si>
    <t>FRK</t>
  </si>
  <si>
    <t>tyrosine-protein kinase frk</t>
  </si>
  <si>
    <t>P42685</t>
  </si>
  <si>
    <t>G6PD</t>
  </si>
  <si>
    <t>glucose-6-phosphate 1-dehydrogenase</t>
  </si>
  <si>
    <t>P11413</t>
  </si>
  <si>
    <t>GAA</t>
  </si>
  <si>
    <t>lysosomal alpha-glucosidase</t>
  </si>
  <si>
    <t>P10253</t>
  </si>
  <si>
    <t>GABRR1</t>
  </si>
  <si>
    <t>gaba receptor rho-1 subunit</t>
  </si>
  <si>
    <t>P24046</t>
  </si>
  <si>
    <t>GAK</t>
  </si>
  <si>
    <t>serine/threonine-protein kinase gak</t>
  </si>
  <si>
    <t>O14976</t>
  </si>
  <si>
    <t>GALC</t>
  </si>
  <si>
    <t>galactocerebrosidase</t>
  </si>
  <si>
    <t>P54803</t>
  </si>
  <si>
    <t>GALNS</t>
  </si>
  <si>
    <t>n-acetylgalactosamine-6-sulfatase</t>
  </si>
  <si>
    <t>P34059</t>
  </si>
  <si>
    <t>GARS1</t>
  </si>
  <si>
    <t>glycine--trna ligase</t>
  </si>
  <si>
    <t>P41250</t>
  </si>
  <si>
    <t>GBA</t>
  </si>
  <si>
    <t>beta-glucocerebrosidase</t>
  </si>
  <si>
    <t>A0A068F658</t>
  </si>
  <si>
    <t>GCGR</t>
  </si>
  <si>
    <t>glucagon receptor</t>
  </si>
  <si>
    <t>P47871</t>
  </si>
  <si>
    <t>GDA</t>
  </si>
  <si>
    <t>guanine deaminase</t>
  </si>
  <si>
    <t>Q9Y2T3</t>
  </si>
  <si>
    <t>GFER</t>
  </si>
  <si>
    <t>fad-linked sulfhydryl oxidase alr</t>
  </si>
  <si>
    <t>P55789</t>
  </si>
  <si>
    <t>GIPR</t>
  </si>
  <si>
    <t>gastric inhibitory polypeptide receptor</t>
  </si>
  <si>
    <t>P48546</t>
  </si>
  <si>
    <t>GK</t>
  </si>
  <si>
    <t>glycerol kinase</t>
  </si>
  <si>
    <t>P32189</t>
  </si>
  <si>
    <t>GLA</t>
  </si>
  <si>
    <t>alpha-galactosidase a</t>
  </si>
  <si>
    <t>P06280</t>
  </si>
  <si>
    <t>GLB1</t>
  </si>
  <si>
    <t>beta-galactosidase</t>
  </si>
  <si>
    <t>P16278</t>
  </si>
  <si>
    <t>GLO1</t>
  </si>
  <si>
    <t>glyoxalase i</t>
  </si>
  <si>
    <t>Q04760</t>
  </si>
  <si>
    <t>GLP1R</t>
  </si>
  <si>
    <t>glucagon-like peptide 1 receptor</t>
  </si>
  <si>
    <t>P43220</t>
  </si>
  <si>
    <t>GLS</t>
  </si>
  <si>
    <t>glutaminase kidney isoform, mitochondrial</t>
  </si>
  <si>
    <t>O94925</t>
  </si>
  <si>
    <t>GNAI2</t>
  </si>
  <si>
    <t>guanine nucleotide-binding protein g(i) subunit alpha-2</t>
  </si>
  <si>
    <t>P04899</t>
  </si>
  <si>
    <t>GNRHR</t>
  </si>
  <si>
    <t>gonadotropin-releasing hormone receptor</t>
  </si>
  <si>
    <t>P30968</t>
  </si>
  <si>
    <t>GPBAR1</t>
  </si>
  <si>
    <t>g-protein coupled bile acid receptor 1</t>
  </si>
  <si>
    <t>Q8TDU6</t>
  </si>
  <si>
    <t>GPER1</t>
  </si>
  <si>
    <t>g-protein coupled estrogen receptor 1</t>
  </si>
  <si>
    <t>Q99527</t>
  </si>
  <si>
    <t>GPR17</t>
  </si>
  <si>
    <t>uracil nucleotide/cysteinyl leukotriene receptor</t>
  </si>
  <si>
    <t>Q13304</t>
  </si>
  <si>
    <t>GPR35</t>
  </si>
  <si>
    <t>g-protein coupled receptor 35</t>
  </si>
  <si>
    <t>Q9HC97</t>
  </si>
  <si>
    <t>GRIA4</t>
  </si>
  <si>
    <t>glutamate receptor ionotropic, ampa 4</t>
  </si>
  <si>
    <t>P48058</t>
  </si>
  <si>
    <t>GRK1</t>
  </si>
  <si>
    <t>rhodopsin kinase</t>
  </si>
  <si>
    <t>Q15835</t>
  </si>
  <si>
    <t>GRK2</t>
  </si>
  <si>
    <t>g-protein coupled receptor kinase 2</t>
  </si>
  <si>
    <t>P25098</t>
  </si>
  <si>
    <t>GRK3</t>
  </si>
  <si>
    <t>beta-adrenergic receptor kinase 2</t>
  </si>
  <si>
    <t>P35626</t>
  </si>
  <si>
    <t>GRK4</t>
  </si>
  <si>
    <t>g protein-coupled receptor kinase 4</t>
  </si>
  <si>
    <t>P32298</t>
  </si>
  <si>
    <t>GRK5</t>
  </si>
  <si>
    <t>g protein-coupled receptor kinase 5</t>
  </si>
  <si>
    <t>P34947</t>
  </si>
  <si>
    <t>GRK6</t>
  </si>
  <si>
    <t>g protein-coupled receptor kinase 6</t>
  </si>
  <si>
    <t>P43250</t>
  </si>
  <si>
    <t>GRK7</t>
  </si>
  <si>
    <t>g protein-coupled receptor kinase 7</t>
  </si>
  <si>
    <t>Q8WTQ7</t>
  </si>
  <si>
    <t>GRM1</t>
  </si>
  <si>
    <t>metabotropic glutamate receptor 1 (mglur1)</t>
  </si>
  <si>
    <t>Q13255</t>
  </si>
  <si>
    <t>GRM2</t>
  </si>
  <si>
    <t>metabotropic glutamate receptor 2 (mglur2)</t>
  </si>
  <si>
    <t>Q14416</t>
  </si>
  <si>
    <t>GRM3</t>
  </si>
  <si>
    <t>metabotropic glutamate receptor 3 (mglur3)</t>
  </si>
  <si>
    <t>Q14832</t>
  </si>
  <si>
    <t>GRM5</t>
  </si>
  <si>
    <t>metabotropic glutamate receptor 5</t>
  </si>
  <si>
    <t>P41594</t>
  </si>
  <si>
    <t>GSTO1</t>
  </si>
  <si>
    <t>glutathione transferase omega 1</t>
  </si>
  <si>
    <t>P78417</t>
  </si>
  <si>
    <t>GTPBP4</t>
  </si>
  <si>
    <t>nucleolar gtp-binding protein 1</t>
  </si>
  <si>
    <t>Q9BZE4</t>
  </si>
  <si>
    <t>H1-0</t>
  </si>
  <si>
    <t>histone h1.0</t>
  </si>
  <si>
    <t>P07305</t>
  </si>
  <si>
    <t>HASPIN</t>
  </si>
  <si>
    <t>serine/threonine-protein kinase haspin</t>
  </si>
  <si>
    <t>Q8TF76</t>
  </si>
  <si>
    <t>HCK</t>
  </si>
  <si>
    <t>tyrosine-protein kinase hck</t>
  </si>
  <si>
    <t>P08631</t>
  </si>
  <si>
    <t>HCRTR1</t>
  </si>
  <si>
    <t>orexin receptor 1</t>
  </si>
  <si>
    <t>O43613</t>
  </si>
  <si>
    <t>HCRTR2</t>
  </si>
  <si>
    <t>orexin receptor 2</t>
  </si>
  <si>
    <t>O43614</t>
  </si>
  <si>
    <t>HDAC10</t>
  </si>
  <si>
    <t>histone deacetylase 10</t>
  </si>
  <si>
    <t>Q969S8</t>
  </si>
  <si>
    <t>HDAC11</t>
  </si>
  <si>
    <t>histone deacetylase 11</t>
  </si>
  <si>
    <t>Q96DB2</t>
  </si>
  <si>
    <t>HIPK1</t>
  </si>
  <si>
    <t>homeodomain-interacting protein kinase 1</t>
  </si>
  <si>
    <t>Q86Z02</t>
  </si>
  <si>
    <t>HIPK2</t>
  </si>
  <si>
    <t>homeodomain-interacting protein kinase 2</t>
  </si>
  <si>
    <t>Q9H2X6</t>
  </si>
  <si>
    <t>HIPK3</t>
  </si>
  <si>
    <t>homeodomain-interacting protein kinase 3</t>
  </si>
  <si>
    <t>Q9H422</t>
  </si>
  <si>
    <t>HIPK4</t>
  </si>
  <si>
    <t>homeodomain-interacting protein kinase 4</t>
  </si>
  <si>
    <t>Q8NE63</t>
  </si>
  <si>
    <t>HLA-A</t>
  </si>
  <si>
    <t>hla class i histocompatibility antigen a-3</t>
  </si>
  <si>
    <t>P04439</t>
  </si>
  <si>
    <t>HMOX2</t>
  </si>
  <si>
    <t>heme oxygenase 2</t>
  </si>
  <si>
    <t>P30519</t>
  </si>
  <si>
    <t>HPGD</t>
  </si>
  <si>
    <t>15-hydroxyprostaglandin dehydrogenase [nad+]</t>
  </si>
  <si>
    <t>P15428</t>
  </si>
  <si>
    <t>HPGDS</t>
  </si>
  <si>
    <t>glutathione-dependent pgd synthase (hpgds)</t>
  </si>
  <si>
    <t>O60760</t>
  </si>
  <si>
    <t>HRH4</t>
  </si>
  <si>
    <t>histamine h4 receptor</t>
  </si>
  <si>
    <t>Q9H3N8</t>
  </si>
  <si>
    <t>HSD11B1</t>
  </si>
  <si>
    <t>11-beta-hydroxysteroid dehydrogenase 1</t>
  </si>
  <si>
    <t>P28845</t>
  </si>
  <si>
    <t>HSD11B2</t>
  </si>
  <si>
    <t>11-beta-hydroxysteroid dehydrogenase 2</t>
  </si>
  <si>
    <t>P80365</t>
  </si>
  <si>
    <t>HSD17B1</t>
  </si>
  <si>
    <t>estradiol 17-beta-dehydrogenase 1</t>
  </si>
  <si>
    <t>P14061</t>
  </si>
  <si>
    <t>HSD17B3</t>
  </si>
  <si>
    <t>estradiol 17-beta-dehydrogenase 3</t>
  </si>
  <si>
    <t>P37058</t>
  </si>
  <si>
    <t>HSD17B7</t>
  </si>
  <si>
    <t>3-keto-steroid reductase</t>
  </si>
  <si>
    <t>P56937</t>
  </si>
  <si>
    <t>HSD17B14</t>
  </si>
  <si>
    <t>17-beta-hydroxysteroid dehydrogenase 14</t>
  </si>
  <si>
    <t>Q9BPX1</t>
  </si>
  <si>
    <t>HSP90B1</t>
  </si>
  <si>
    <t>endoplasmin</t>
  </si>
  <si>
    <t>P14625</t>
  </si>
  <si>
    <t>HSPA1A</t>
  </si>
  <si>
    <t>heat shock 70 kda protein 1</t>
  </si>
  <si>
    <t>P0DMV8</t>
  </si>
  <si>
    <t>HSPA5</t>
  </si>
  <si>
    <t>78 kda glucose-regulated protein</t>
  </si>
  <si>
    <t>P11021</t>
  </si>
  <si>
    <t>HSPD1</t>
  </si>
  <si>
    <t>hsp60/hsp10</t>
  </si>
  <si>
    <t>P10809</t>
  </si>
  <si>
    <t>HSPE1</t>
  </si>
  <si>
    <t>P61604</t>
  </si>
  <si>
    <t>HTR1A</t>
  </si>
  <si>
    <t>5-ht 1a receptor (htr1a)</t>
  </si>
  <si>
    <t>P08908</t>
  </si>
  <si>
    <t>HTR1B</t>
  </si>
  <si>
    <t>5-ht 1b receptor (htr1b)</t>
  </si>
  <si>
    <t>P28222</t>
  </si>
  <si>
    <t>HTR1D</t>
  </si>
  <si>
    <t>5-ht 1d receptor (htr1d)</t>
  </si>
  <si>
    <t>P28221</t>
  </si>
  <si>
    <t>HTR1E</t>
  </si>
  <si>
    <t>serotonin 1e (5-ht1e) receptor</t>
  </si>
  <si>
    <t>P28566</t>
  </si>
  <si>
    <t>HTR4</t>
  </si>
  <si>
    <t>5-ht 4 receptor (htr4)</t>
  </si>
  <si>
    <t>Q13639</t>
  </si>
  <si>
    <t>HTR5A</t>
  </si>
  <si>
    <t>serotonin 5a (5-ht5a) receptor</t>
  </si>
  <si>
    <t>P47898</t>
  </si>
  <si>
    <t>HTR7</t>
  </si>
  <si>
    <t>5-ht 7 receptor (htr7)</t>
  </si>
  <si>
    <t>P34969</t>
  </si>
  <si>
    <t>HTT</t>
  </si>
  <si>
    <t>huntingtin</t>
  </si>
  <si>
    <t>P42858</t>
  </si>
  <si>
    <t>HUNK</t>
  </si>
  <si>
    <t>hormonally up-regulated neu tumor-associated kinase</t>
  </si>
  <si>
    <t>P57058</t>
  </si>
  <si>
    <t>IAPP</t>
  </si>
  <si>
    <t>islet amyloid polypeptide</t>
  </si>
  <si>
    <t>P10997</t>
  </si>
  <si>
    <t>IARS2</t>
  </si>
  <si>
    <t>isoleucine--trna ligase, mitochondrial</t>
  </si>
  <si>
    <t>Q9NSE4</t>
  </si>
  <si>
    <t>ICAM1</t>
  </si>
  <si>
    <t>intercellular adhesion molecule-1</t>
  </si>
  <si>
    <t>P05362</t>
  </si>
  <si>
    <t>ICMT</t>
  </si>
  <si>
    <t>isoprenylcysteine carboxyl methyltransferase</t>
  </si>
  <si>
    <t>O60725</t>
  </si>
  <si>
    <t>IDE</t>
  </si>
  <si>
    <t>insulin-degrading enzyme</t>
  </si>
  <si>
    <t>P14735</t>
  </si>
  <si>
    <t>IDO1</t>
  </si>
  <si>
    <t>indoleamine 2,3-dioxygenase</t>
  </si>
  <si>
    <t>P14902</t>
  </si>
  <si>
    <t>IGF1R</t>
  </si>
  <si>
    <t>insulin-like growth factor i receptor</t>
  </si>
  <si>
    <t>P08069</t>
  </si>
  <si>
    <t>IKBKB</t>
  </si>
  <si>
    <t>O14920</t>
  </si>
  <si>
    <t>IKBKE</t>
  </si>
  <si>
    <t>inhibitor of nuclear factor kappa b kinase epsilon subunit</t>
  </si>
  <si>
    <t>Q14164</t>
  </si>
  <si>
    <t>IKBKG</t>
  </si>
  <si>
    <t>IKBKB,CHUK,IKBKG</t>
  </si>
  <si>
    <t>Q9Y6K9</t>
  </si>
  <si>
    <t>IKZF1</t>
  </si>
  <si>
    <t>Q13422</t>
  </si>
  <si>
    <t>IL1B</t>
  </si>
  <si>
    <t>interleukin-1 beta (il1b)</t>
  </si>
  <si>
    <t>P01584</t>
  </si>
  <si>
    <t>ILK</t>
  </si>
  <si>
    <t>serine/threonine-protein kinase ilk-1</t>
  </si>
  <si>
    <t>Q13418</t>
  </si>
  <si>
    <t>IMPA1</t>
  </si>
  <si>
    <t>inositol-1(or 4)-monophosphatase 1</t>
  </si>
  <si>
    <t>P29218</t>
  </si>
  <si>
    <t>IMPDH1</t>
  </si>
  <si>
    <t>inosine-5'-monophosphate dehydrogenase 1</t>
  </si>
  <si>
    <t>P20839</t>
  </si>
  <si>
    <t>IMPDH2</t>
  </si>
  <si>
    <t>inosine-5'-monophosphate dehydrogenase 2</t>
  </si>
  <si>
    <t>P12268</t>
  </si>
  <si>
    <t>INSRR</t>
  </si>
  <si>
    <t>insulin receptor-related protein</t>
  </si>
  <si>
    <t>P14616</t>
  </si>
  <si>
    <t>IRAK1</t>
  </si>
  <si>
    <t>interleukin-1 receptor-associated kinase 1</t>
  </si>
  <si>
    <t>P51617</t>
  </si>
  <si>
    <t>IRAK3</t>
  </si>
  <si>
    <t>interleukin-1 receptor-associated kinase 3</t>
  </si>
  <si>
    <t>Q9Y616</t>
  </si>
  <si>
    <t>IRAK4</t>
  </si>
  <si>
    <t>interleukin-1 receptor-associated kinase 4</t>
  </si>
  <si>
    <t>Q9NWZ3</t>
  </si>
  <si>
    <t>ITK</t>
  </si>
  <si>
    <t>tyrosine-protein kinase itk/tsk</t>
  </si>
  <si>
    <t>Q08881</t>
  </si>
  <si>
    <t>JAK1</t>
  </si>
  <si>
    <t>tyrosine-protein kinase jak1</t>
  </si>
  <si>
    <t>P23458</t>
  </si>
  <si>
    <t>JAK2</t>
  </si>
  <si>
    <t>tyrosine-protein kinase jak2</t>
  </si>
  <si>
    <t>O60674</t>
  </si>
  <si>
    <t>JAK3</t>
  </si>
  <si>
    <t>tyrosine-protein kinase jak3</t>
  </si>
  <si>
    <t>P52333</t>
  </si>
  <si>
    <t>KCNK2</t>
  </si>
  <si>
    <t>potassium channel subfamily k member 2</t>
  </si>
  <si>
    <t>O95069</t>
  </si>
  <si>
    <t>KCNN4</t>
  </si>
  <si>
    <t>calcium-activated potassium channel kca3.1 (kcnn4)</t>
  </si>
  <si>
    <t>O15554</t>
  </si>
  <si>
    <t>KDM1A</t>
  </si>
  <si>
    <t>lysine-specific histone demethylase 1</t>
  </si>
  <si>
    <t>O60341</t>
  </si>
  <si>
    <t>KDR</t>
  </si>
  <si>
    <t>vascular endothelial growth factor receptor 2</t>
  </si>
  <si>
    <t>P35968</t>
  </si>
  <si>
    <t>KIT</t>
  </si>
  <si>
    <t>stem cell growth factor receptor</t>
  </si>
  <si>
    <t>P10721</t>
  </si>
  <si>
    <t>KRAS</t>
  </si>
  <si>
    <t>gtpase kras</t>
  </si>
  <si>
    <t>P01116</t>
  </si>
  <si>
    <t>LATS1</t>
  </si>
  <si>
    <t>serine/threonine-protein kinase lats1</t>
  </si>
  <si>
    <t>O95835</t>
  </si>
  <si>
    <t>LATS2</t>
  </si>
  <si>
    <t>serine/threonine-protein kinase lats2</t>
  </si>
  <si>
    <t>Q9NRM7</t>
  </si>
  <si>
    <t>LGMN</t>
  </si>
  <si>
    <t>legumain</t>
  </si>
  <si>
    <t>Q99538</t>
  </si>
  <si>
    <t>LIMK1</t>
  </si>
  <si>
    <t>lim domain kinase 1</t>
  </si>
  <si>
    <t>P53667</t>
  </si>
  <si>
    <t>LIMK2</t>
  </si>
  <si>
    <t>lim domain kinase 2</t>
  </si>
  <si>
    <t>P53671</t>
  </si>
  <si>
    <t>LRRK2</t>
  </si>
  <si>
    <t>leucine-rich repeat serine/threonine-protein kinase 2</t>
  </si>
  <si>
    <t>Q5S007</t>
  </si>
  <si>
    <t>LTA4H</t>
  </si>
  <si>
    <t>leukotriene a4 hydrolase</t>
  </si>
  <si>
    <t>P09960</t>
  </si>
  <si>
    <t>LTC4S</t>
  </si>
  <si>
    <t>leukotriene c4 synthase</t>
  </si>
  <si>
    <t>Q16873</t>
  </si>
  <si>
    <t>LTK</t>
  </si>
  <si>
    <t>leukocyte tyrosine kinase receptor</t>
  </si>
  <si>
    <t>P29376</t>
  </si>
  <si>
    <t>LYN</t>
  </si>
  <si>
    <t>tyrosine-protein kinase lyn</t>
  </si>
  <si>
    <t>P07948</t>
  </si>
  <si>
    <t>MAK</t>
  </si>
  <si>
    <t>serine/threonine-protein kinase mak</t>
  </si>
  <si>
    <t>P20794</t>
  </si>
  <si>
    <t>MAP2K1</t>
  </si>
  <si>
    <t>dual specificity mitogen-activated protein kinase kinase 1</t>
  </si>
  <si>
    <t>Q02750</t>
  </si>
  <si>
    <t>MAP2K2</t>
  </si>
  <si>
    <t>dual specificity mitogen-activated protein kinase kinase 2</t>
  </si>
  <si>
    <t>P36507</t>
  </si>
  <si>
    <t>MAP2K3</t>
  </si>
  <si>
    <t>dual specificity mitogen-activated protein kinase kinase 3</t>
  </si>
  <si>
    <t>P46734</t>
  </si>
  <si>
    <t>MAP2K4</t>
  </si>
  <si>
    <t>dual specificity mitogen-activated protein kinase kinase 4</t>
  </si>
  <si>
    <t>P45985</t>
  </si>
  <si>
    <t>MAP2K5</t>
  </si>
  <si>
    <t>dual specificity mitogen-activated protein kinase kinase 5</t>
  </si>
  <si>
    <t>Q13163</t>
  </si>
  <si>
    <t>MAP2K6</t>
  </si>
  <si>
    <t>dual specificity mitogen-activated protein kinase kinase 6</t>
  </si>
  <si>
    <t>P52564</t>
  </si>
  <si>
    <t>MAP2K7</t>
  </si>
  <si>
    <t>dual specificity mitogen-activated protein kinase kinase 7</t>
  </si>
  <si>
    <t>O14733</t>
  </si>
  <si>
    <t>MAP3K1</t>
  </si>
  <si>
    <t>mitogen-activated protein kinase kinase kinase 1</t>
  </si>
  <si>
    <t>Q13233</t>
  </si>
  <si>
    <t>MAP3K2</t>
  </si>
  <si>
    <t>mitogen-activated protein kinase kinase kinase 2</t>
  </si>
  <si>
    <t>Q9Y2U5</t>
  </si>
  <si>
    <t>MAP3K3</t>
  </si>
  <si>
    <t>mitogen-activated protein kinase kinase kinase 3</t>
  </si>
  <si>
    <t>Q99759</t>
  </si>
  <si>
    <t>MAP3K4</t>
  </si>
  <si>
    <t>mitogen-activated protein kinase kinase kinase 4</t>
  </si>
  <si>
    <t>Q9Y6R4</t>
  </si>
  <si>
    <t>MAP3K5</t>
  </si>
  <si>
    <t>mitogen-activated protein kinase kinase kinase 5</t>
  </si>
  <si>
    <t>Q99683</t>
  </si>
  <si>
    <t>MAP3K6</t>
  </si>
  <si>
    <t>mitogen-activated protein kinase kinase kinase 6</t>
  </si>
  <si>
    <t>O95382</t>
  </si>
  <si>
    <t>MAP3K7</t>
  </si>
  <si>
    <t>mitogen-activated protein kinase kinase kinase 7</t>
  </si>
  <si>
    <t>O43318</t>
  </si>
  <si>
    <t>MAP3K8</t>
  </si>
  <si>
    <t>mitogen-activated protein kinase kinase kinase 8</t>
  </si>
  <si>
    <t>P41279</t>
  </si>
  <si>
    <t>MAP3K9</t>
  </si>
  <si>
    <t>mitogen-activated protein kinase kinase kinase 9</t>
  </si>
  <si>
    <t>P80192</t>
  </si>
  <si>
    <t>MAP3K10</t>
  </si>
  <si>
    <t>mitogen-activated protein kinase kinase kinase 10</t>
  </si>
  <si>
    <t>Q02779</t>
  </si>
  <si>
    <t>MAP3K11</t>
  </si>
  <si>
    <t>mitogen-activated protein kinase kinase kinase 11</t>
  </si>
  <si>
    <t>Q16584</t>
  </si>
  <si>
    <t>MAP3K12</t>
  </si>
  <si>
    <t>mitogen-activated protein kinase kinase kinase 12</t>
  </si>
  <si>
    <t>Q12852</t>
  </si>
  <si>
    <t>MAP3K13</t>
  </si>
  <si>
    <t>mitogen-activated protein kinase kinase kinase 13</t>
  </si>
  <si>
    <t>O43283</t>
  </si>
  <si>
    <t>MAP3K14</t>
  </si>
  <si>
    <t>mitogen-activated protein kinase kinase kinase 14</t>
  </si>
  <si>
    <t>Q99558</t>
  </si>
  <si>
    <t>MAP3K15</t>
  </si>
  <si>
    <t>mitogen-activated protein kinase kinase kinase 15</t>
  </si>
  <si>
    <t>Q6ZN16</t>
  </si>
  <si>
    <t>MAP3K19</t>
  </si>
  <si>
    <t>sps1/ste20-related protein kinase ysk4</t>
  </si>
  <si>
    <t>Q56UN5</t>
  </si>
  <si>
    <t>MAP3K20</t>
  </si>
  <si>
    <t>mixed lineage kinase 7</t>
  </si>
  <si>
    <t>Q9NYL2</t>
  </si>
  <si>
    <t>MAP3K21</t>
  </si>
  <si>
    <t>mitogen-activated protein kinase kinase kinase mlk4</t>
  </si>
  <si>
    <t>Q5TCX8</t>
  </si>
  <si>
    <t>MAP4K1</t>
  </si>
  <si>
    <t>mitogen-activated protein kinase kinase kinase kinase 1</t>
  </si>
  <si>
    <t>Q92918</t>
  </si>
  <si>
    <t>MAP4K2</t>
  </si>
  <si>
    <t>mitogen-activated protein kinase kinase kinase kinase 2</t>
  </si>
  <si>
    <t>Q12851</t>
  </si>
  <si>
    <t>MAP4K3</t>
  </si>
  <si>
    <t>mitogen-activated protein kinase kinase kinase kinase 3</t>
  </si>
  <si>
    <t>Q8IVH8</t>
  </si>
  <si>
    <t>MAP4K4</t>
  </si>
  <si>
    <t>mitogen-activated protein kinase kinase kinase kinase 4</t>
  </si>
  <si>
    <t>O95819</t>
  </si>
  <si>
    <t>MAP4K5</t>
  </si>
  <si>
    <t>mitogen-activated protein kinase kinase kinase kinase 5</t>
  </si>
  <si>
    <t>Q9Y4K4</t>
  </si>
  <si>
    <t>MAPK4</t>
  </si>
  <si>
    <t>mitogen-activated protein kinase 4</t>
  </si>
  <si>
    <t>P31152</t>
  </si>
  <si>
    <t>MAPK6</t>
  </si>
  <si>
    <t>mitogen-activated protein kinase 6</t>
  </si>
  <si>
    <t>Q16659</t>
  </si>
  <si>
    <t>MAPK7</t>
  </si>
  <si>
    <t>mitogen-activated protein kinase 7</t>
  </si>
  <si>
    <t>Q13164</t>
  </si>
  <si>
    <t>MAPK8</t>
  </si>
  <si>
    <t>c-jun n-terminal kinase 1</t>
  </si>
  <si>
    <t>P45983</t>
  </si>
  <si>
    <t>MAPK9</t>
  </si>
  <si>
    <t>c-jun n-terminal kinase 2</t>
  </si>
  <si>
    <t>P45984</t>
  </si>
  <si>
    <t>MAPK11</t>
  </si>
  <si>
    <t>map kinase p38 beta</t>
  </si>
  <si>
    <t>Q15759</t>
  </si>
  <si>
    <t>MAPK12</t>
  </si>
  <si>
    <t>map kinase p38 (mapk12)</t>
  </si>
  <si>
    <t>P53778</t>
  </si>
  <si>
    <t>MAPK13</t>
  </si>
  <si>
    <t>map kinase p38 delta</t>
  </si>
  <si>
    <t>O15264</t>
  </si>
  <si>
    <t>MAPK15</t>
  </si>
  <si>
    <t>mitogen-activated protein kinase 15</t>
  </si>
  <si>
    <t>Q8TD08</t>
  </si>
  <si>
    <t>MAPKAPK2</t>
  </si>
  <si>
    <t>map kinase-activated protein kinase 2</t>
  </si>
  <si>
    <t>P49137</t>
  </si>
  <si>
    <t>MAPKAPK3</t>
  </si>
  <si>
    <t>map kinase-activated protein kinase 3</t>
  </si>
  <si>
    <t>Q16644</t>
  </si>
  <si>
    <t>MAPKAPK5</t>
  </si>
  <si>
    <t>map kinase-activated protein kinase 5</t>
  </si>
  <si>
    <t>Q8IW41</t>
  </si>
  <si>
    <t>MARK1</t>
  </si>
  <si>
    <t>serine/threonine-protein kinase mark1</t>
  </si>
  <si>
    <t>Q9P0L2</t>
  </si>
  <si>
    <t>MARK2</t>
  </si>
  <si>
    <t>map/microtubule affinity-regulating kinase 2</t>
  </si>
  <si>
    <t>Q7KZI7</t>
  </si>
  <si>
    <t>MARK3</t>
  </si>
  <si>
    <t>serine/threonine-protein kinase c-tak1</t>
  </si>
  <si>
    <t>P27448</t>
  </si>
  <si>
    <t>MARK4</t>
  </si>
  <si>
    <t>map/microtubule affinity-regulating kinase 4</t>
  </si>
  <si>
    <t>Q96L34</t>
  </si>
  <si>
    <t>MAST1</t>
  </si>
  <si>
    <t>microtubule-associated serine/threonine-protein kinase 1</t>
  </si>
  <si>
    <t>Q9Y2H9</t>
  </si>
  <si>
    <t>MATK</t>
  </si>
  <si>
    <t>tyrosine-protein kinase ctk</t>
  </si>
  <si>
    <t>P42679</t>
  </si>
  <si>
    <t>MELK</t>
  </si>
  <si>
    <t>maternal embryonic leucine zipper kinase</t>
  </si>
  <si>
    <t>Q14680</t>
  </si>
  <si>
    <t>MERTK</t>
  </si>
  <si>
    <t>proto-oncogene tyrosine-protein kinase mer</t>
  </si>
  <si>
    <t>Q12866</t>
  </si>
  <si>
    <t>MET</t>
  </si>
  <si>
    <t>hepatocyte growth factor receptor</t>
  </si>
  <si>
    <t>P08581</t>
  </si>
  <si>
    <t>MGAM</t>
  </si>
  <si>
    <t>maltase-glucoamylase</t>
  </si>
  <si>
    <t>O43451</t>
  </si>
  <si>
    <t>MGLL</t>
  </si>
  <si>
    <t>monoglyceride lipase</t>
  </si>
  <si>
    <t>Q99685</t>
  </si>
  <si>
    <t>MINK1</t>
  </si>
  <si>
    <t>misshapen-like kinase 1</t>
  </si>
  <si>
    <t>Q8N4C8</t>
  </si>
  <si>
    <t>MKNK1</t>
  </si>
  <si>
    <t>map kinase-interacting serine/threonine-protein kinase mnk1</t>
  </si>
  <si>
    <t>Q9BUB5</t>
  </si>
  <si>
    <t>MKNK2</t>
  </si>
  <si>
    <t>map kinase signal-integrating kinase 2</t>
  </si>
  <si>
    <t>Q9HBH9</t>
  </si>
  <si>
    <t>MMP2</t>
  </si>
  <si>
    <t>matrix metalloproteinase-2</t>
  </si>
  <si>
    <t>P08253</t>
  </si>
  <si>
    <t>MMP7</t>
  </si>
  <si>
    <t>matrix metalloproteinase 7</t>
  </si>
  <si>
    <t>P09237</t>
  </si>
  <si>
    <t>MMP8</t>
  </si>
  <si>
    <t>matrix metalloproteinase 8</t>
  </si>
  <si>
    <t>P22894</t>
  </si>
  <si>
    <t>MMP12</t>
  </si>
  <si>
    <t>matrix metalloproteinase 12</t>
  </si>
  <si>
    <t>P39900</t>
  </si>
  <si>
    <t>MMP13</t>
  </si>
  <si>
    <t>matrix metalloproteinase 13</t>
  </si>
  <si>
    <t>P45452</t>
  </si>
  <si>
    <t>MMP14</t>
  </si>
  <si>
    <t>matrix metalloproteinase 14</t>
  </si>
  <si>
    <t>P50281</t>
  </si>
  <si>
    <t>MPO</t>
  </si>
  <si>
    <t>myeloperoxidase</t>
  </si>
  <si>
    <t>P05164</t>
  </si>
  <si>
    <t>MRGPRX4</t>
  </si>
  <si>
    <t>mas-related g-protein coupled receptor member x4</t>
  </si>
  <si>
    <t>Q96LA9</t>
  </si>
  <si>
    <t>MST1R</t>
  </si>
  <si>
    <t>macrophage-stimulating protein receptor</t>
  </si>
  <si>
    <t>Q04912</t>
  </si>
  <si>
    <t>MTNR1A</t>
  </si>
  <si>
    <t>melatonin receptor type 1a (mtnr1a)</t>
  </si>
  <si>
    <t>P48039</t>
  </si>
  <si>
    <t>MUSK</t>
  </si>
  <si>
    <t>muscle, skeletal receptor tyrosine protein kinase</t>
  </si>
  <si>
    <t>O15146</t>
  </si>
  <si>
    <t>MYH10</t>
  </si>
  <si>
    <t>myosin-10</t>
  </si>
  <si>
    <t>P35580</t>
  </si>
  <si>
    <t>MYH14</t>
  </si>
  <si>
    <t>myosin-14</t>
  </si>
  <si>
    <t>Q7Z406</t>
  </si>
  <si>
    <t>MYLK</t>
  </si>
  <si>
    <t>myosin light chain kinase, smooth muscle</t>
  </si>
  <si>
    <t>Q15746</t>
  </si>
  <si>
    <t>MYLK2</t>
  </si>
  <si>
    <t>myosin light chain kinase 2</t>
  </si>
  <si>
    <t>Q9H1R3</t>
  </si>
  <si>
    <t>MYLK3</t>
  </si>
  <si>
    <t>myosin light chain kinase</t>
  </si>
  <si>
    <t>Q32MK0</t>
  </si>
  <si>
    <t>MYLK4</t>
  </si>
  <si>
    <t>myosin light chain kinase family member 4</t>
  </si>
  <si>
    <t>Q86YV6</t>
  </si>
  <si>
    <t>MYO3A</t>
  </si>
  <si>
    <t>myosin iiia</t>
  </si>
  <si>
    <t>Q8NEV4</t>
  </si>
  <si>
    <t>MYO3B</t>
  </si>
  <si>
    <t>myosin-iiib</t>
  </si>
  <si>
    <t>Q8WXR4</t>
  </si>
  <si>
    <t>MYT1</t>
  </si>
  <si>
    <t>myelin transcription factor 1</t>
  </si>
  <si>
    <t>Q01538</t>
  </si>
  <si>
    <t>NAMPT</t>
  </si>
  <si>
    <t>nicotinamide phosphoribosyltransferase</t>
  </si>
  <si>
    <t>P43490</t>
  </si>
  <si>
    <t>NAPRT</t>
  </si>
  <si>
    <t>nicotinate phosphoribosyltransferase</t>
  </si>
  <si>
    <t>Q6XQN6</t>
  </si>
  <si>
    <t>NCOR1</t>
  </si>
  <si>
    <t>histone deacetylase 3/ncor1</t>
  </si>
  <si>
    <t>O75376</t>
  </si>
  <si>
    <t>NCOR2</t>
  </si>
  <si>
    <t>histone deacetylase 3/nuclear receptor corepressor 2 (hdac3/ncor2)</t>
  </si>
  <si>
    <t>Q9Y618</t>
  </si>
  <si>
    <t>NEK1</t>
  </si>
  <si>
    <t>serine/threonine-protein kinase nek1</t>
  </si>
  <si>
    <t>Q96PY6</t>
  </si>
  <si>
    <t>NEK2</t>
  </si>
  <si>
    <t>serine/threonine-protein kinase nek2</t>
  </si>
  <si>
    <t>P51955</t>
  </si>
  <si>
    <t>NEK3</t>
  </si>
  <si>
    <t>serine/threonine-protein kinase nek3</t>
  </si>
  <si>
    <t>P51956</t>
  </si>
  <si>
    <t>NEK4</t>
  </si>
  <si>
    <t>serine/threonine-protein kinase nek4</t>
  </si>
  <si>
    <t>P51957</t>
  </si>
  <si>
    <t>NEK5</t>
  </si>
  <si>
    <t>serine/threonine-protein kinase nek5</t>
  </si>
  <si>
    <t>Q6P3R8</t>
  </si>
  <si>
    <t>NEK6</t>
  </si>
  <si>
    <t>serine/threonine-protein kinase nek6</t>
  </si>
  <si>
    <t>Q9HC98</t>
  </si>
  <si>
    <t>NEK7</t>
  </si>
  <si>
    <t>serine/threonine-protein kinase nek7</t>
  </si>
  <si>
    <t>Q8TDX7</t>
  </si>
  <si>
    <t>NEK9</t>
  </si>
  <si>
    <t>serine/threonine-protein kinase nek9</t>
  </si>
  <si>
    <t>Q8TD19</t>
  </si>
  <si>
    <t>NEK11</t>
  </si>
  <si>
    <t>serine/threonine-protein kinase nek11</t>
  </si>
  <si>
    <t>Q8NG66</t>
  </si>
  <si>
    <t>NIM1K</t>
  </si>
  <si>
    <t>serine/threonine-protein kinase nim1</t>
  </si>
  <si>
    <t>Q8IY84</t>
  </si>
  <si>
    <t>NLK</t>
  </si>
  <si>
    <t>serine/threonine protein kinase nlk</t>
  </si>
  <si>
    <t>Q9UBE8</t>
  </si>
  <si>
    <t>NME2</t>
  </si>
  <si>
    <t>nucleoside diphosphate kinase 2</t>
  </si>
  <si>
    <t>P22392</t>
  </si>
  <si>
    <t>NOS1</t>
  </si>
  <si>
    <t>nitric-oxide synthase, brain</t>
  </si>
  <si>
    <t>P29475</t>
  </si>
  <si>
    <t>NOS3</t>
  </si>
  <si>
    <t>nitric-oxide synthase, endothelial</t>
  </si>
  <si>
    <t>P29474</t>
  </si>
  <si>
    <t>NQO2</t>
  </si>
  <si>
    <t>quinone reductase 2</t>
  </si>
  <si>
    <t>P16083</t>
  </si>
  <si>
    <t>NR0B1</t>
  </si>
  <si>
    <t>nuclear receptor subfamily 0 group b member 1</t>
  </si>
  <si>
    <t>P51843</t>
  </si>
  <si>
    <t>NR1I3</t>
  </si>
  <si>
    <t>nuclear receptor subfamily 1 group i member 3</t>
  </si>
  <si>
    <t>Q14994</t>
  </si>
  <si>
    <t>NR2E3</t>
  </si>
  <si>
    <t>photoreceptor-specific nuclear receptor</t>
  </si>
  <si>
    <t>Q9Y5X4</t>
  </si>
  <si>
    <t>NR3C2</t>
  </si>
  <si>
    <t>mineralocorticoid receptor</t>
  </si>
  <si>
    <t>P08235</t>
  </si>
  <si>
    <t>NR4A2</t>
  </si>
  <si>
    <t>P43354</t>
  </si>
  <si>
    <t>NTRK1</t>
  </si>
  <si>
    <t>nerve growth factor receptor trk-a</t>
  </si>
  <si>
    <t>P04629</t>
  </si>
  <si>
    <t>NTRK2</t>
  </si>
  <si>
    <t>bdnf/nt-3 growth factors receptor (trkb)</t>
  </si>
  <si>
    <t>Q16620</t>
  </si>
  <si>
    <t>NTRK3</t>
  </si>
  <si>
    <t>nt-3 growth factor receptor</t>
  </si>
  <si>
    <t>Q16288</t>
  </si>
  <si>
    <t>NUAK1</t>
  </si>
  <si>
    <t>nuak family snf1-like kinase 1</t>
  </si>
  <si>
    <t>O60285</t>
  </si>
  <si>
    <t>NUAK2</t>
  </si>
  <si>
    <t>nuak family snf1-like kinase 2</t>
  </si>
  <si>
    <t>Q9H093</t>
  </si>
  <si>
    <t>ODC1</t>
  </si>
  <si>
    <t>ornithine decarboxylase</t>
  </si>
  <si>
    <t>P11926</t>
  </si>
  <si>
    <t>OLA1</t>
  </si>
  <si>
    <t>obg-like atpase 1</t>
  </si>
  <si>
    <t>Q9NTK5</t>
  </si>
  <si>
    <t>OPA1</t>
  </si>
  <si>
    <t>dynamin-like 120 kda protein, mitochondrial</t>
  </si>
  <si>
    <t>O60313</t>
  </si>
  <si>
    <t>ORAI1</t>
  </si>
  <si>
    <t>calcium release-activated calcium channel protein 1</t>
  </si>
  <si>
    <t>Q96D31</t>
  </si>
  <si>
    <t>OXSR1</t>
  </si>
  <si>
    <t>serine/threonine-protein kinase osr1</t>
  </si>
  <si>
    <t>O95747</t>
  </si>
  <si>
    <t>P2RX1</t>
  </si>
  <si>
    <t>p2x purinoceptor 1</t>
  </si>
  <si>
    <t>P51575</t>
  </si>
  <si>
    <t>P2RX3</t>
  </si>
  <si>
    <t>p2x purinoceptor 3</t>
  </si>
  <si>
    <t>P56373</t>
  </si>
  <si>
    <t>P2RX4</t>
  </si>
  <si>
    <t>p2x purinoceptor 4</t>
  </si>
  <si>
    <t>Q99571</t>
  </si>
  <si>
    <t>P2RX7</t>
  </si>
  <si>
    <t>p2x purinoceptor 7</t>
  </si>
  <si>
    <t>Q99572</t>
  </si>
  <si>
    <t>P2RY1</t>
  </si>
  <si>
    <t>purinergic receptor p2y1</t>
  </si>
  <si>
    <t>P47900</t>
  </si>
  <si>
    <t>P2RY2</t>
  </si>
  <si>
    <t>purinergic receptor p2y2</t>
  </si>
  <si>
    <t>P41231</t>
  </si>
  <si>
    <t>P2RY4</t>
  </si>
  <si>
    <t>pyrimidinergic receptor p2y4</t>
  </si>
  <si>
    <t>P51582</t>
  </si>
  <si>
    <t>P2RY6</t>
  </si>
  <si>
    <t>p2y purinoceptor 6 (p2ry6)</t>
  </si>
  <si>
    <t>Q15077</t>
  </si>
  <si>
    <t>P2RY11</t>
  </si>
  <si>
    <t>purinergic receptor p2y11</t>
  </si>
  <si>
    <t>Q96G91</t>
  </si>
  <si>
    <t>P2RY12</t>
  </si>
  <si>
    <t>purinergic receptor p2y12</t>
  </si>
  <si>
    <t>Q9H244</t>
  </si>
  <si>
    <t>P4HB</t>
  </si>
  <si>
    <t>protein disulfide-isomerase</t>
  </si>
  <si>
    <t>P07237</t>
  </si>
  <si>
    <t>PAICS</t>
  </si>
  <si>
    <t>multifunctional protein ade2</t>
  </si>
  <si>
    <t>P22234</t>
  </si>
  <si>
    <t>PAK1</t>
  </si>
  <si>
    <t>serine/threonine-protein kinase pak 1</t>
  </si>
  <si>
    <t>Q13153</t>
  </si>
  <si>
    <t>PAK2</t>
  </si>
  <si>
    <t>serine/threonine-protein kinase pak 2</t>
  </si>
  <si>
    <t>Q13177</t>
  </si>
  <si>
    <t>PAK3</t>
  </si>
  <si>
    <t>serine/threonine-protein kinase pak 3</t>
  </si>
  <si>
    <t>O75914</t>
  </si>
  <si>
    <t>PAK4</t>
  </si>
  <si>
    <t>serine/threonine-protein kinase pak 4</t>
  </si>
  <si>
    <t>O96013</t>
  </si>
  <si>
    <t>PAK5</t>
  </si>
  <si>
    <t>serine/threonine-protein kinase pak7</t>
  </si>
  <si>
    <t>Q9P286</t>
  </si>
  <si>
    <t>PAK6</t>
  </si>
  <si>
    <t>serine/threonine-protein kinase pak6</t>
  </si>
  <si>
    <t>Q9NQU5</t>
  </si>
  <si>
    <t>PARP1</t>
  </si>
  <si>
    <t>poly [adp-ribose] polymerase-1</t>
  </si>
  <si>
    <t>P09874</t>
  </si>
  <si>
    <t>PARP14</t>
  </si>
  <si>
    <t>poly [adp-ribose] polymerase 14</t>
  </si>
  <si>
    <t>Q460N5</t>
  </si>
  <si>
    <t>PARP15</t>
  </si>
  <si>
    <t>poly [adp-ribose] polymerase 15</t>
  </si>
  <si>
    <t>Q460N3</t>
  </si>
  <si>
    <t>PASK</t>
  </si>
  <si>
    <t>pas domain-containing serine/threonine-protein kinase</t>
  </si>
  <si>
    <t>Q96RG2</t>
  </si>
  <si>
    <t>PAX8</t>
  </si>
  <si>
    <t>paired box protein pax-8</t>
  </si>
  <si>
    <t>Q06710</t>
  </si>
  <si>
    <t>PBK</t>
  </si>
  <si>
    <t>pdz-binding kinase</t>
  </si>
  <si>
    <t>Q96KB5</t>
  </si>
  <si>
    <t>PCSK7</t>
  </si>
  <si>
    <t>subtilisin/kexin type 7</t>
  </si>
  <si>
    <t>Q16549</t>
  </si>
  <si>
    <t>PCYT1A</t>
  </si>
  <si>
    <t>choline-phosphate cytidylyltransferase a</t>
  </si>
  <si>
    <t>P49585</t>
  </si>
  <si>
    <t>PDE1A</t>
  </si>
  <si>
    <t>phosphodiesterase 1a</t>
  </si>
  <si>
    <t>P54750</t>
  </si>
  <si>
    <t>PDE1B</t>
  </si>
  <si>
    <t>phosphodiesterase 1b</t>
  </si>
  <si>
    <t>Q01064</t>
  </si>
  <si>
    <t>PDE1C</t>
  </si>
  <si>
    <t>phosphodiesterase 1c</t>
  </si>
  <si>
    <t>Q14123</t>
  </si>
  <si>
    <t>PDE2A</t>
  </si>
  <si>
    <t>phosphodiesterase 2a</t>
  </si>
  <si>
    <t>O00408</t>
  </si>
  <si>
    <t>PDE3A</t>
  </si>
  <si>
    <t>phosphodiesterase 3a</t>
  </si>
  <si>
    <t>Q14432</t>
  </si>
  <si>
    <t>PDE3B</t>
  </si>
  <si>
    <t>phosphodiesterase 3b</t>
  </si>
  <si>
    <t>Q13370</t>
  </si>
  <si>
    <t>PDE4A</t>
  </si>
  <si>
    <t>phosphodiesterase 4a</t>
  </si>
  <si>
    <t>P27815</t>
  </si>
  <si>
    <t>PDE4B</t>
  </si>
  <si>
    <t>phosphodiesterase 4b</t>
  </si>
  <si>
    <t>Q07343</t>
  </si>
  <si>
    <t>PDE4C</t>
  </si>
  <si>
    <t>phosphodiesterase 4c</t>
  </si>
  <si>
    <t>Q08493</t>
  </si>
  <si>
    <t>PDE4D</t>
  </si>
  <si>
    <t>phosphodiesterase 4d</t>
  </si>
  <si>
    <t>Q08499</t>
  </si>
  <si>
    <t>PDE6C</t>
  </si>
  <si>
    <t>phosphodiesterase 6c</t>
  </si>
  <si>
    <t>P51160</t>
  </si>
  <si>
    <t>PDE7A</t>
  </si>
  <si>
    <t>phosphodiesterase 7a</t>
  </si>
  <si>
    <t>Q13946</t>
  </si>
  <si>
    <t>PDE7B</t>
  </si>
  <si>
    <t>phosphodiesterase 7b</t>
  </si>
  <si>
    <t>Q9NP56</t>
  </si>
  <si>
    <t>PDE8A</t>
  </si>
  <si>
    <t>phosphodiesterase 8a</t>
  </si>
  <si>
    <t>O60658</t>
  </si>
  <si>
    <t>PDE8B</t>
  </si>
  <si>
    <t>phosphodiesterase 8b</t>
  </si>
  <si>
    <t>O95263</t>
  </si>
  <si>
    <t>PDE9A</t>
  </si>
  <si>
    <t>phosphodiesterase 9 (pde9)</t>
  </si>
  <si>
    <t>O76083</t>
  </si>
  <si>
    <t>PDE10A</t>
  </si>
  <si>
    <t>phosphodiesterase 10a</t>
  </si>
  <si>
    <t>Q9Y233</t>
  </si>
  <si>
    <t>PDE11A</t>
  </si>
  <si>
    <t>phosphodiesterase 11a</t>
  </si>
  <si>
    <t>Q9HCR9</t>
  </si>
  <si>
    <t>PDGFRA</t>
  </si>
  <si>
    <t>platelet-derived growth factor receptor</t>
  </si>
  <si>
    <t>P16234</t>
  </si>
  <si>
    <t>PDGFRB</t>
  </si>
  <si>
    <t>P09619</t>
  </si>
  <si>
    <t>PDK1</t>
  </si>
  <si>
    <t>pyruvate dehydrogenase kinase isoform 1</t>
  </si>
  <si>
    <t>Q15118</t>
  </si>
  <si>
    <t>PDPK1</t>
  </si>
  <si>
    <t>3-phosphoinositide dependent protein kinase-1</t>
  </si>
  <si>
    <t>O15530</t>
  </si>
  <si>
    <t>PDXK</t>
  </si>
  <si>
    <t>pyridoxal kinase</t>
  </si>
  <si>
    <t>O00764</t>
  </si>
  <si>
    <t>PEBP1</t>
  </si>
  <si>
    <t>phosphatidylethanolamine-binding protein 1</t>
  </si>
  <si>
    <t>P30086</t>
  </si>
  <si>
    <t>PFKP</t>
  </si>
  <si>
    <t>phosphofructokinase platelet type</t>
  </si>
  <si>
    <t>Q01813</t>
  </si>
  <si>
    <t>PGAM1</t>
  </si>
  <si>
    <t>phosphoglycerate mutase 1</t>
  </si>
  <si>
    <t>P18669</t>
  </si>
  <si>
    <t>PGD</t>
  </si>
  <si>
    <t>6-phosphogluconate dehydrogenase</t>
  </si>
  <si>
    <t>P52209</t>
  </si>
  <si>
    <t>PGR</t>
  </si>
  <si>
    <t>progesterone receptor</t>
  </si>
  <si>
    <t>P06401</t>
  </si>
  <si>
    <t>PGRMC1</t>
  </si>
  <si>
    <t>membrane-associated progesterone receptor component 1</t>
  </si>
  <si>
    <t>O00264</t>
  </si>
  <si>
    <t>PHKG1</t>
  </si>
  <si>
    <t>phosphorylase kinase gamma subunit 1</t>
  </si>
  <si>
    <t>Q16816</t>
  </si>
  <si>
    <t>PHKG2</t>
  </si>
  <si>
    <t>phosphorylase kinase gamma subunit 2</t>
  </si>
  <si>
    <t>P15735</t>
  </si>
  <si>
    <t>PI4KB</t>
  </si>
  <si>
    <t>pi4-kinase beta subunit</t>
  </si>
  <si>
    <t>Q9UBF8</t>
  </si>
  <si>
    <t>PIK3C2B</t>
  </si>
  <si>
    <t>phosphatidylinositol-4-phosphate 3-kinase c2 domain-containing beta polypeptide</t>
  </si>
  <si>
    <t>O00750</t>
  </si>
  <si>
    <t>PIK3C2G</t>
  </si>
  <si>
    <t>phosphatidylinositol-4-phosphate 3-kinase c2 domain-containing subunit gamma</t>
  </si>
  <si>
    <t>O75747</t>
  </si>
  <si>
    <t>PIK3CA</t>
  </si>
  <si>
    <t>pi3-kinase p110-alpha subunit</t>
  </si>
  <si>
    <t>P42336</t>
  </si>
  <si>
    <t>PIK3CB</t>
  </si>
  <si>
    <t>pi3-kinase p110-beta subunit</t>
  </si>
  <si>
    <t>P42338</t>
  </si>
  <si>
    <t>PIK3CD</t>
  </si>
  <si>
    <t>pi3-kinase p110-delta subunit</t>
  </si>
  <si>
    <t>O00329</t>
  </si>
  <si>
    <t>PIK3CG</t>
  </si>
  <si>
    <t>pi3-kinase p110-gamma subunit</t>
  </si>
  <si>
    <t>P48736</t>
  </si>
  <si>
    <t>PIK3R1</t>
  </si>
  <si>
    <t>pi3-kinase p110-alpha/p85-alpha</t>
  </si>
  <si>
    <t>PIK3CA,PIK3R1</t>
  </si>
  <si>
    <t>P27986</t>
  </si>
  <si>
    <t>PIM1</t>
  </si>
  <si>
    <t>serine/threonine-protein kinase pim1</t>
  </si>
  <si>
    <t>P11309</t>
  </si>
  <si>
    <t>PIM2</t>
  </si>
  <si>
    <t>serine/threonine-protein kinase pim2</t>
  </si>
  <si>
    <t>Q9P1W9</t>
  </si>
  <si>
    <t>PIM3</t>
  </si>
  <si>
    <t>serine/threonine-protein kinase pim3</t>
  </si>
  <si>
    <t>Q86V86</t>
  </si>
  <si>
    <t>PIN1</t>
  </si>
  <si>
    <t>peptidyl-prolyl cis-trans isomerase nima-interacting 1</t>
  </si>
  <si>
    <t>Q13526</t>
  </si>
  <si>
    <t>PIP4K2A</t>
  </si>
  <si>
    <t>phosphatidylinositol-5-phosphate 4-kinase type-2 alpha</t>
  </si>
  <si>
    <t>P48426</t>
  </si>
  <si>
    <t>PIP4K2B</t>
  </si>
  <si>
    <t>phosphatidylinositol-5-phosphate 4-kinase type-2 beta</t>
  </si>
  <si>
    <t>P78356</t>
  </si>
  <si>
    <t>PIP4K2C</t>
  </si>
  <si>
    <t>phosphatidylinositol-5-phosphate 4-kinase type-2 gamma</t>
  </si>
  <si>
    <t>Q8TBX8</t>
  </si>
  <si>
    <t>PIP5K1A</t>
  </si>
  <si>
    <t>phosphatidylinositol-4-phosphate 5-kinase type-1 alpha</t>
  </si>
  <si>
    <t>Q99755</t>
  </si>
  <si>
    <t>PIP5K1C</t>
  </si>
  <si>
    <t>phosphatidylinositol-4-phosphate 5-kinase type-1 gamma</t>
  </si>
  <si>
    <t>O60331</t>
  </si>
  <si>
    <t>PKM</t>
  </si>
  <si>
    <t>pyruvate kinase isozymes m1/m2</t>
  </si>
  <si>
    <t>P14618</t>
  </si>
  <si>
    <t>PKMYT1</t>
  </si>
  <si>
    <t>tyrosine- and threonine-specific cdc2-inhibitory kinase</t>
  </si>
  <si>
    <t>Q99640</t>
  </si>
  <si>
    <t>PKN1</t>
  </si>
  <si>
    <t>protein kinase n1</t>
  </si>
  <si>
    <t>Q16512</t>
  </si>
  <si>
    <t>PKN2</t>
  </si>
  <si>
    <t>protein kinase n2</t>
  </si>
  <si>
    <t>Q16513</t>
  </si>
  <si>
    <t>PKN3</t>
  </si>
  <si>
    <t>serine/threonine-protein kinase n3</t>
  </si>
  <si>
    <t>Q6P5Z2</t>
  </si>
  <si>
    <t>PLA2G4C</t>
  </si>
  <si>
    <t>cytosolic phospholipase a2 gamma</t>
  </si>
  <si>
    <t>Q9UP65</t>
  </si>
  <si>
    <t>PLA2G7</t>
  </si>
  <si>
    <t>ldl-associated phospholipase a2</t>
  </si>
  <si>
    <t>Q13093</t>
  </si>
  <si>
    <t>PLD1</t>
  </si>
  <si>
    <t>phospholipase d1</t>
  </si>
  <si>
    <t>Q13393</t>
  </si>
  <si>
    <t>PLD2</t>
  </si>
  <si>
    <t>phospholipase d2</t>
  </si>
  <si>
    <t>O14939</t>
  </si>
  <si>
    <t>PLG</t>
  </si>
  <si>
    <t>plasminogen (plg)</t>
  </si>
  <si>
    <t>P00747</t>
  </si>
  <si>
    <t>PLK1</t>
  </si>
  <si>
    <t>serine/threonine-protein kinase plk1</t>
  </si>
  <si>
    <t>P53350</t>
  </si>
  <si>
    <t>PLK2</t>
  </si>
  <si>
    <t>serine/threonine-protein kinase plk2</t>
  </si>
  <si>
    <t>Q9NYY3</t>
  </si>
  <si>
    <t>PLK3</t>
  </si>
  <si>
    <t>serine/threonine-protein kinase plk3</t>
  </si>
  <si>
    <t>Q9H4B4</t>
  </si>
  <si>
    <t>PLK4</t>
  </si>
  <si>
    <t>serine/threonine-protein kinase plk4</t>
  </si>
  <si>
    <t>O00444</t>
  </si>
  <si>
    <t>POLH</t>
  </si>
  <si>
    <t>dna polymerase eta</t>
  </si>
  <si>
    <t>Q9Y253</t>
  </si>
  <si>
    <t>POLI</t>
  </si>
  <si>
    <t>dna polymerase iota</t>
  </si>
  <si>
    <t>Q9UNA4</t>
  </si>
  <si>
    <t>POLK</t>
  </si>
  <si>
    <t>dna polymerase kappa</t>
  </si>
  <si>
    <t>Q9UBT6</t>
  </si>
  <si>
    <t>POLL</t>
  </si>
  <si>
    <t>dna polymerase lambda</t>
  </si>
  <si>
    <t>Q9UGP5</t>
  </si>
  <si>
    <t>POU2F1</t>
  </si>
  <si>
    <t>pou domain, class 2, transcription factor 1</t>
  </si>
  <si>
    <t>P14859</t>
  </si>
  <si>
    <t>PPP2R5A</t>
  </si>
  <si>
    <t>serine/threonine protein phosphatase 2a, 56 kda regulatory subunit, alpha isoform</t>
  </si>
  <si>
    <t>Q15172</t>
  </si>
  <si>
    <t>PREP</t>
  </si>
  <si>
    <t>prolyl endopeptidase</t>
  </si>
  <si>
    <t>P48147</t>
  </si>
  <si>
    <t>PRKAA1</t>
  </si>
  <si>
    <t>amp-activated protein kinase, alpha-1 subunit</t>
  </si>
  <si>
    <t>Q13131</t>
  </si>
  <si>
    <t>PRKAA2</t>
  </si>
  <si>
    <t>amp-activated protein kinase, alpha-2 subunit</t>
  </si>
  <si>
    <t>P54646</t>
  </si>
  <si>
    <t>PRKACA</t>
  </si>
  <si>
    <t>camp-dependent protein kinase alpha-catalytic subunit</t>
  </si>
  <si>
    <t>P17612</t>
  </si>
  <si>
    <t>PRKACB</t>
  </si>
  <si>
    <t>camp-dependent protein kinase beta-1 catalytic subunit</t>
  </si>
  <si>
    <t>P22694</t>
  </si>
  <si>
    <t>PRKACG</t>
  </si>
  <si>
    <t>camp-dependent protein kinase, gamma catalytic subunit</t>
  </si>
  <si>
    <t>P22612</t>
  </si>
  <si>
    <t>PRKAG1</t>
  </si>
  <si>
    <t>amp-activated protein kinase, gamma-1 subunit</t>
  </si>
  <si>
    <t>PRKAA1,PRKAB1,PRKAG1</t>
  </si>
  <si>
    <t>P54619</t>
  </si>
  <si>
    <t>PRKAG2</t>
  </si>
  <si>
    <t>amp-activated protein kinase, gamma-2 subunit</t>
  </si>
  <si>
    <t>PRKAA1,PRKAB1,PRKAG2</t>
  </si>
  <si>
    <t>Q9UGJ0</t>
  </si>
  <si>
    <t>PRKAR2A</t>
  </si>
  <si>
    <t>camp-dependent protein kinase type ii-alpha regulatory subunit</t>
  </si>
  <si>
    <t>P13861</t>
  </si>
  <si>
    <t>PRKCB</t>
  </si>
  <si>
    <t>protein kinase c beta</t>
  </si>
  <si>
    <t>P05771</t>
  </si>
  <si>
    <t>PRKCD</t>
  </si>
  <si>
    <t>protein kinase c delta</t>
  </si>
  <si>
    <t>Q05655</t>
  </si>
  <si>
    <t>PRKCE</t>
  </si>
  <si>
    <t>protein kinase c epsilon</t>
  </si>
  <si>
    <t>Q02156</t>
  </si>
  <si>
    <t>PRKCG</t>
  </si>
  <si>
    <t>protein kinase c gamma</t>
  </si>
  <si>
    <t>P05129</t>
  </si>
  <si>
    <t>PRKCH</t>
  </si>
  <si>
    <t>protein kinase c eta</t>
  </si>
  <si>
    <t>P24723</t>
  </si>
  <si>
    <t>PRKCI</t>
  </si>
  <si>
    <t>protein kinase c iota</t>
  </si>
  <si>
    <t>P41743</t>
  </si>
  <si>
    <t>PRKCQ</t>
  </si>
  <si>
    <t>protein kinase c theta</t>
  </si>
  <si>
    <t>Q04759</t>
  </si>
  <si>
    <t>PRKCZ</t>
  </si>
  <si>
    <t>protein kinase c zeta</t>
  </si>
  <si>
    <t>Q05513</t>
  </si>
  <si>
    <t>PRKD1</t>
  </si>
  <si>
    <t>protein kinase c mu</t>
  </si>
  <si>
    <t>Q15139</t>
  </si>
  <si>
    <t>PRKD2</t>
  </si>
  <si>
    <t>serine/threonine-protein kinase d2</t>
  </si>
  <si>
    <t>Q9BZL6</t>
  </si>
  <si>
    <t>PRKD3</t>
  </si>
  <si>
    <t>protein kinase c nu</t>
  </si>
  <si>
    <t>O94806</t>
  </si>
  <si>
    <t>PRKDC</t>
  </si>
  <si>
    <t>dna-dependent protein kinase</t>
  </si>
  <si>
    <t>P78527</t>
  </si>
  <si>
    <t>PRKG1</t>
  </si>
  <si>
    <t>cgmp-dependent protein kinase 1 beta</t>
  </si>
  <si>
    <t>Q13976</t>
  </si>
  <si>
    <t>PRKG2</t>
  </si>
  <si>
    <t>cgmp-dependent protein kinase 2</t>
  </si>
  <si>
    <t>Q13237</t>
  </si>
  <si>
    <t>PRKX</t>
  </si>
  <si>
    <t>serine/threonine-protein kinase prkx</t>
  </si>
  <si>
    <t>P51817</t>
  </si>
  <si>
    <t>PRMT1</t>
  </si>
  <si>
    <t>protein-arginine n-methyltransferase 1</t>
  </si>
  <si>
    <t>Q99873</t>
  </si>
  <si>
    <t>PRNP</t>
  </si>
  <si>
    <t>prion protein</t>
  </si>
  <si>
    <t>P04156</t>
  </si>
  <si>
    <t>PRSS1</t>
  </si>
  <si>
    <t>trypsin i</t>
  </si>
  <si>
    <t>P07477</t>
  </si>
  <si>
    <t>PSMA8</t>
  </si>
  <si>
    <t>Q8TAA3</t>
  </si>
  <si>
    <t>PSMB8</t>
  </si>
  <si>
    <t>P28062</t>
  </si>
  <si>
    <t>PSMB9</t>
  </si>
  <si>
    <t>P28065</t>
  </si>
  <si>
    <t>PSMB10</t>
  </si>
  <si>
    <t>P40306</t>
  </si>
  <si>
    <t>PSMB11</t>
  </si>
  <si>
    <t>A5LHX3</t>
  </si>
  <si>
    <t>PTGES</t>
  </si>
  <si>
    <t>prostaglandin e synthase</t>
  </si>
  <si>
    <t>O14684</t>
  </si>
  <si>
    <t>PTGFR</t>
  </si>
  <si>
    <t>prostaglandin f2-alpha receptor (ptgfr)</t>
  </si>
  <si>
    <t>P43088</t>
  </si>
  <si>
    <t>PTGIR</t>
  </si>
  <si>
    <t>prostanoid ip receptor</t>
  </si>
  <si>
    <t>P43119</t>
  </si>
  <si>
    <t>PTK2</t>
  </si>
  <si>
    <t>focal adhesion kinase 1</t>
  </si>
  <si>
    <t>Q05397</t>
  </si>
  <si>
    <t>PTK2B</t>
  </si>
  <si>
    <t>protein tyrosine kinase 2 beta</t>
  </si>
  <si>
    <t>Q14289</t>
  </si>
  <si>
    <t>PTK6</t>
  </si>
  <si>
    <t>tyrosine-protein kinase brk</t>
  </si>
  <si>
    <t>Q13882</t>
  </si>
  <si>
    <t>PTPN1</t>
  </si>
  <si>
    <t>protein-tyrosine phosphatase 1b</t>
  </si>
  <si>
    <t>P18031</t>
  </si>
  <si>
    <t>PTPN11</t>
  </si>
  <si>
    <t>protein-tyrosine phosphatase 2c</t>
  </si>
  <si>
    <t>Q06124</t>
  </si>
  <si>
    <t>PYGB</t>
  </si>
  <si>
    <t>brain glycogen phosphorylase</t>
  </si>
  <si>
    <t>P11216</t>
  </si>
  <si>
    <t>PYGL</t>
  </si>
  <si>
    <t>liver glycogen phosphorylase</t>
  </si>
  <si>
    <t>P06737</t>
  </si>
  <si>
    <t>PYGM</t>
  </si>
  <si>
    <t>muscle glycogen phosphorylase</t>
  </si>
  <si>
    <t>P11217</t>
  </si>
  <si>
    <t>QPCT</t>
  </si>
  <si>
    <t>glutaminyl-peptide cyclotransferase</t>
  </si>
  <si>
    <t>Q16769</t>
  </si>
  <si>
    <t>RAB6A</t>
  </si>
  <si>
    <t>ras-related protein rab-6a</t>
  </si>
  <si>
    <t>P20340</t>
  </si>
  <si>
    <t>RAB10</t>
  </si>
  <si>
    <t>ras-related protein rab-10</t>
  </si>
  <si>
    <t>P61026</t>
  </si>
  <si>
    <t>RAB27A</t>
  </si>
  <si>
    <t>ras-related protein rab-27a</t>
  </si>
  <si>
    <t>P51159</t>
  </si>
  <si>
    <t>RABL3</t>
  </si>
  <si>
    <t>rab-like protein 3</t>
  </si>
  <si>
    <t>Q5HYI8</t>
  </si>
  <si>
    <t>RAD52</t>
  </si>
  <si>
    <t>dna repair protein rad52 homolog</t>
  </si>
  <si>
    <t>P43351</t>
  </si>
  <si>
    <t>RAF1</t>
  </si>
  <si>
    <t>serine/threonine-protein kinase raf</t>
  </si>
  <si>
    <t>P04049</t>
  </si>
  <si>
    <t>RAN</t>
  </si>
  <si>
    <t>gtp-binding nuclear protein ran</t>
  </si>
  <si>
    <t>P62826</t>
  </si>
  <si>
    <t>RAPGEF3</t>
  </si>
  <si>
    <t>rap guanine nucleotide exchange factor 3</t>
  </si>
  <si>
    <t>O95398</t>
  </si>
  <si>
    <t>RAPGEF4</t>
  </si>
  <si>
    <t>rap guanine nucleotide exchange factor 4</t>
  </si>
  <si>
    <t>Q8WZA2</t>
  </si>
  <si>
    <t>RARB</t>
  </si>
  <si>
    <t>retinoic acid receptor beta</t>
  </si>
  <si>
    <t>P10826</t>
  </si>
  <si>
    <t>RARG</t>
  </si>
  <si>
    <t>retinoic acid receptor gamma</t>
  </si>
  <si>
    <t>P13631</t>
  </si>
  <si>
    <t>RASGRP3</t>
  </si>
  <si>
    <t>ras guanyl releasing protein 3</t>
  </si>
  <si>
    <t>Q8IV61</t>
  </si>
  <si>
    <t>RBP4</t>
  </si>
  <si>
    <t>plasma retinol-binding protein</t>
  </si>
  <si>
    <t>P02753</t>
  </si>
  <si>
    <t>RCOR3</t>
  </si>
  <si>
    <t>hdac1/rest corepressor 3</t>
  </si>
  <si>
    <t>Q9P2K3</t>
  </si>
  <si>
    <t>REN</t>
  </si>
  <si>
    <t>renin</t>
  </si>
  <si>
    <t>P00797</t>
  </si>
  <si>
    <t>RET</t>
  </si>
  <si>
    <t>tyrosine-protein kinase receptor ret</t>
  </si>
  <si>
    <t>P07949</t>
  </si>
  <si>
    <t>RIOK1</t>
  </si>
  <si>
    <t>serine/threonine-protein kinase rio1</t>
  </si>
  <si>
    <t>Q9BRS2</t>
  </si>
  <si>
    <t>RIOK2</t>
  </si>
  <si>
    <t>serine/threonine-protein kinase rio2</t>
  </si>
  <si>
    <t>Q9BVS4</t>
  </si>
  <si>
    <t>RIOK3</t>
  </si>
  <si>
    <t>serine/threonine-protein kinase rio3</t>
  </si>
  <si>
    <t>O14730</t>
  </si>
  <si>
    <t>RIPK1</t>
  </si>
  <si>
    <t>receptor-interacting protein 1 (ripk1)</t>
  </si>
  <si>
    <t>Q13546</t>
  </si>
  <si>
    <t>RIPK2</t>
  </si>
  <si>
    <t>serine/threonine-protein kinase ripk2</t>
  </si>
  <si>
    <t>O43353</t>
  </si>
  <si>
    <t>RIPK3</t>
  </si>
  <si>
    <t>receptor-interacting serine/threonine-protein kinase 3</t>
  </si>
  <si>
    <t>Q9Y572</t>
  </si>
  <si>
    <t>RIPK4</t>
  </si>
  <si>
    <t>receptor-interacting serine/threonine-protein kinase 4</t>
  </si>
  <si>
    <t>P57078</t>
  </si>
  <si>
    <t>ROCK1</t>
  </si>
  <si>
    <t>rho-associated protein kinase 1</t>
  </si>
  <si>
    <t>Q13464</t>
  </si>
  <si>
    <t>ROCK2</t>
  </si>
  <si>
    <t>rho-associated protein kinase 2</t>
  </si>
  <si>
    <t>O75116</t>
  </si>
  <si>
    <t>ROS1</t>
  </si>
  <si>
    <t>proto-oncogene tyrosine-protein kinase ros</t>
  </si>
  <si>
    <t>P08922</t>
  </si>
  <si>
    <t>RPS6KA1</t>
  </si>
  <si>
    <t>ribosomal protein s6 kinase alpha 1</t>
  </si>
  <si>
    <t>Q15418</t>
  </si>
  <si>
    <t>RPS6KA2</t>
  </si>
  <si>
    <t>ribosomal protein s6 kinase alpha 2</t>
  </si>
  <si>
    <t>Q15349</t>
  </si>
  <si>
    <t>RPS6KA3</t>
  </si>
  <si>
    <t>ribosomal protein s6 kinase alpha 3</t>
  </si>
  <si>
    <t>P51812</t>
  </si>
  <si>
    <t>RPS6KA4</t>
  </si>
  <si>
    <t>ribosomal protein s6 kinase alpha 4</t>
  </si>
  <si>
    <t>O75676</t>
  </si>
  <si>
    <t>RPS6KA5</t>
  </si>
  <si>
    <t>ribosomal protein s6 kinase alpha 5</t>
  </si>
  <si>
    <t>O75582</t>
  </si>
  <si>
    <t>RPS6KA6</t>
  </si>
  <si>
    <t>ribosomal protein s6 kinase alpha 6</t>
  </si>
  <si>
    <t>Q9UK32</t>
  </si>
  <si>
    <t>RPS6KB1</t>
  </si>
  <si>
    <t>ribosomal protein s6 kinase 1</t>
  </si>
  <si>
    <t>P23443</t>
  </si>
  <si>
    <t>RPS6KB2</t>
  </si>
  <si>
    <t>ribosomal protein s6 kinase 2</t>
  </si>
  <si>
    <t>Q9UBS0</t>
  </si>
  <si>
    <t>RXRG</t>
  </si>
  <si>
    <t>retinoid x receptor gamma</t>
  </si>
  <si>
    <t>P48443</t>
  </si>
  <si>
    <t>SARM1</t>
  </si>
  <si>
    <t>nad(+) hydrolase sarm1</t>
  </si>
  <si>
    <t>Q6SZW1</t>
  </si>
  <si>
    <t>SBK1</t>
  </si>
  <si>
    <t>serine/threonine-protein kinase sbk1</t>
  </si>
  <si>
    <t>Q52WX2</t>
  </si>
  <si>
    <t>SBK3</t>
  </si>
  <si>
    <t>putative uncharacterized serine/threonine-protein kinase sgk110</t>
  </si>
  <si>
    <t>P0C264</t>
  </si>
  <si>
    <t>SEMA4D</t>
  </si>
  <si>
    <t>semaphorin-4d</t>
  </si>
  <si>
    <t>Q92854</t>
  </si>
  <si>
    <t>SEPTIN9</t>
  </si>
  <si>
    <t>septin-9</t>
  </si>
  <si>
    <t>Q9UHD8</t>
  </si>
  <si>
    <t>SERPINA5</t>
  </si>
  <si>
    <t>P05154</t>
  </si>
  <si>
    <t>SERPINA6</t>
  </si>
  <si>
    <t>corticosteroid binding globulin</t>
  </si>
  <si>
    <t>P08185</t>
  </si>
  <si>
    <t>SERPINB2</t>
  </si>
  <si>
    <t>P05120</t>
  </si>
  <si>
    <t>SGK1</t>
  </si>
  <si>
    <t>serine/threonine-protein kinase sgk1</t>
  </si>
  <si>
    <t>O00141</t>
  </si>
  <si>
    <t>SGK2</t>
  </si>
  <si>
    <t>serine/threonine-protein kinase sgk2</t>
  </si>
  <si>
    <t>Q9HBY8</t>
  </si>
  <si>
    <t>SGK3</t>
  </si>
  <si>
    <t>serine/threonine-protein kinase sgk3</t>
  </si>
  <si>
    <t>Q96BR1</t>
  </si>
  <si>
    <t>SHBG</t>
  </si>
  <si>
    <t>testis-specific androgen-binding protein</t>
  </si>
  <si>
    <t>P04278</t>
  </si>
  <si>
    <t>SHMT2</t>
  </si>
  <si>
    <t>serine hydroxymethyltransferase, mitochondrial</t>
  </si>
  <si>
    <t>P34897</t>
  </si>
  <si>
    <t>SIK1</t>
  </si>
  <si>
    <t>serine/threonine-protein kinase sik1</t>
  </si>
  <si>
    <t>P57059</t>
  </si>
  <si>
    <t>SIK2</t>
  </si>
  <si>
    <t>serine/threonine-protein kinase sik2</t>
  </si>
  <si>
    <t>Q9H0K1</t>
  </si>
  <si>
    <t>SIK3</t>
  </si>
  <si>
    <t>serine/threonine-protein kinase sik3</t>
  </si>
  <si>
    <t>Q9Y2K2</t>
  </si>
  <si>
    <t>SIRT2</t>
  </si>
  <si>
    <t>nad-dependent deacetylase sirtuin 2</t>
  </si>
  <si>
    <t>Q8IXJ6</t>
  </si>
  <si>
    <t>SIRT3</t>
  </si>
  <si>
    <t>nad-dependent deacetylase sirtuin 3</t>
  </si>
  <si>
    <t>Q9NTG7</t>
  </si>
  <si>
    <t>SIRT6</t>
  </si>
  <si>
    <t>nad-dependent protein deacetylase sirtuin-6</t>
  </si>
  <si>
    <t>Q8N6T7</t>
  </si>
  <si>
    <t>SLC1A4</t>
  </si>
  <si>
    <t>neutral amino acid transporter a</t>
  </si>
  <si>
    <t>P43007</t>
  </si>
  <si>
    <t>SLC1A5</t>
  </si>
  <si>
    <t>neutral amino acid transporter b(0)</t>
  </si>
  <si>
    <t>Q15758</t>
  </si>
  <si>
    <t>SLC2A3</t>
  </si>
  <si>
    <t>solute carrier family 2, facilitated glucose transporter member 3</t>
  </si>
  <si>
    <t>P11169</t>
  </si>
  <si>
    <t>SLC2A4</t>
  </si>
  <si>
    <t>solute carrier family 2, facilitated glucose transporter member 4</t>
  </si>
  <si>
    <t>P14672</t>
  </si>
  <si>
    <t>SLC5A1</t>
  </si>
  <si>
    <t>sodium/glucose cotransporter 1</t>
  </si>
  <si>
    <t>P13866</t>
  </si>
  <si>
    <t>SLC5A4</t>
  </si>
  <si>
    <t>low affinity sodium-glucose cotransporter</t>
  </si>
  <si>
    <t>Q9NY91</t>
  </si>
  <si>
    <t>SLC5A11</t>
  </si>
  <si>
    <t>sodium/myo-inositol cotransporter 2</t>
  </si>
  <si>
    <t>Q8WWX8</t>
  </si>
  <si>
    <t>SLC10A1</t>
  </si>
  <si>
    <t>bile acid transporter</t>
  </si>
  <si>
    <t>Q14973</t>
  </si>
  <si>
    <t>SLC18A2</t>
  </si>
  <si>
    <t>synaptic vesicle amine transporter (slc18a2)</t>
  </si>
  <si>
    <t>Q05940</t>
  </si>
  <si>
    <t>SLC22A2</t>
  </si>
  <si>
    <t>solute carrier family 22 member 2</t>
  </si>
  <si>
    <t>O15244</t>
  </si>
  <si>
    <t>SLC22A3</t>
  </si>
  <si>
    <t>solute carrier family 22 member 3</t>
  </si>
  <si>
    <t>O75751</t>
  </si>
  <si>
    <t>SLC22A4</t>
  </si>
  <si>
    <t>solute carrier family 22 member 4</t>
  </si>
  <si>
    <t>Q9H015</t>
  </si>
  <si>
    <t>SLC22A6</t>
  </si>
  <si>
    <t>solute carrier family 22 member 6</t>
  </si>
  <si>
    <t>Q4U2R8</t>
  </si>
  <si>
    <t>SLC22A11</t>
  </si>
  <si>
    <t>solute carrier family 22 member 11</t>
  </si>
  <si>
    <t>Q9NSA0</t>
  </si>
  <si>
    <t>SLC25A5</t>
  </si>
  <si>
    <t>adp/atp translocase 2</t>
  </si>
  <si>
    <t>P05141</t>
  </si>
  <si>
    <t>SLC25A6</t>
  </si>
  <si>
    <t>adp/atp translocase 3</t>
  </si>
  <si>
    <t>P12236</t>
  </si>
  <si>
    <t>SLC47A1</t>
  </si>
  <si>
    <t>multidrug and toxin extrusion protein 1</t>
  </si>
  <si>
    <t>Q96FL8</t>
  </si>
  <si>
    <t>SLC47A2</t>
  </si>
  <si>
    <t>multidrug and toxin extrusion protein 2</t>
  </si>
  <si>
    <t>Q86VL8</t>
  </si>
  <si>
    <t>SLCO1A2</t>
  </si>
  <si>
    <t>solute carrier organic anion transporter family member 1a2</t>
  </si>
  <si>
    <t>P46721</t>
  </si>
  <si>
    <t>SLK</t>
  </si>
  <si>
    <t>serine/threonine-protein kinase 2</t>
  </si>
  <si>
    <t>Q9H2G2</t>
  </si>
  <si>
    <t>SMO</t>
  </si>
  <si>
    <t>smoothened homolog</t>
  </si>
  <si>
    <t>Q99835</t>
  </si>
  <si>
    <t>SMPD1</t>
  </si>
  <si>
    <t>sphingomyelin phosphodiesterase</t>
  </si>
  <si>
    <t>P17405</t>
  </si>
  <si>
    <t>SNCA</t>
  </si>
  <si>
    <t>alpha-synuclein</t>
  </si>
  <si>
    <t>P37840</t>
  </si>
  <si>
    <t>SNRK</t>
  </si>
  <si>
    <t>snf-related serine/threonine-protein kinase</t>
  </si>
  <si>
    <t>Q9NRH2</t>
  </si>
  <si>
    <t>SOAT1</t>
  </si>
  <si>
    <t>acyl coenzyme a:cholesterol acyltransferase 1</t>
  </si>
  <si>
    <t>P35610</t>
  </si>
  <si>
    <t>SRC</t>
  </si>
  <si>
    <t>tyrosine-protein kinase src</t>
  </si>
  <si>
    <t>P12931</t>
  </si>
  <si>
    <t>SRD5A1</t>
  </si>
  <si>
    <t>steroid 5-alpha-reductase 1</t>
  </si>
  <si>
    <t>P18405</t>
  </si>
  <si>
    <t>SRD5A2</t>
  </si>
  <si>
    <t>steroid 5-alpha-reductase 2</t>
  </si>
  <si>
    <t>P31213</t>
  </si>
  <si>
    <t>SRMS</t>
  </si>
  <si>
    <t>tyrosine-protein kinase srms</t>
  </si>
  <si>
    <t>Q9H3Y6</t>
  </si>
  <si>
    <t>SRPK1</t>
  </si>
  <si>
    <t>serine/threonine-protein kinase srpk1</t>
  </si>
  <si>
    <t>Q96SB4</t>
  </si>
  <si>
    <t>SRPK2</t>
  </si>
  <si>
    <t>serine/threonine-protein kinase srpk2</t>
  </si>
  <si>
    <t>P78362</t>
  </si>
  <si>
    <t>SRPK3</t>
  </si>
  <si>
    <t>serine/threonine-protein kinase srpk3</t>
  </si>
  <si>
    <t>Q9UPE1</t>
  </si>
  <si>
    <t>ST14</t>
  </si>
  <si>
    <t>matriptase</t>
  </si>
  <si>
    <t>Q9Y5Y6</t>
  </si>
  <si>
    <t>STK3</t>
  </si>
  <si>
    <t>serine/threonine-protein kinase mst2</t>
  </si>
  <si>
    <t>Q13188</t>
  </si>
  <si>
    <t>STK4</t>
  </si>
  <si>
    <t>serine/threonine-protein kinase mst1</t>
  </si>
  <si>
    <t>Q13043</t>
  </si>
  <si>
    <t>STK10</t>
  </si>
  <si>
    <t>serine/threonine-protein kinase 10</t>
  </si>
  <si>
    <t>O94804</t>
  </si>
  <si>
    <t>STK11</t>
  </si>
  <si>
    <t>serine/threonine-protein kinase 11</t>
  </si>
  <si>
    <t>Q15831</t>
  </si>
  <si>
    <t>STK16</t>
  </si>
  <si>
    <t>serine/threonine-protein kinase 16</t>
  </si>
  <si>
    <t>O75716</t>
  </si>
  <si>
    <t>STK17A</t>
  </si>
  <si>
    <t>serine/threonine-protein kinase 17a</t>
  </si>
  <si>
    <t>Q9UEE5</t>
  </si>
  <si>
    <t>STK17B</t>
  </si>
  <si>
    <t>serine/threonine-protein kinase 17b</t>
  </si>
  <si>
    <t>O94768</t>
  </si>
  <si>
    <t>STK24</t>
  </si>
  <si>
    <t>serine/threonine-protein kinase 24</t>
  </si>
  <si>
    <t>Q9Y6E0</t>
  </si>
  <si>
    <t>STK25</t>
  </si>
  <si>
    <t>serine/threonine-protein kinase 25</t>
  </si>
  <si>
    <t>O00506</t>
  </si>
  <si>
    <t>STK26</t>
  </si>
  <si>
    <t>serine/threonine-protein kinase mst4</t>
  </si>
  <si>
    <t>Q9P289</t>
  </si>
  <si>
    <t>STK32A</t>
  </si>
  <si>
    <t>serine/threonine-protein kinase 32a</t>
  </si>
  <si>
    <t>Q8WU08</t>
  </si>
  <si>
    <t>STK32B</t>
  </si>
  <si>
    <t>serine/threonine-protein kinase 32b</t>
  </si>
  <si>
    <t>Q9NY57</t>
  </si>
  <si>
    <t>STK32C</t>
  </si>
  <si>
    <t>serine/threonine-protein kinase 32c</t>
  </si>
  <si>
    <t>Q86UX6</t>
  </si>
  <si>
    <t>STK33</t>
  </si>
  <si>
    <t>serine/threonine-protein kinase 33</t>
  </si>
  <si>
    <t>Q9BYT3</t>
  </si>
  <si>
    <t>STK35</t>
  </si>
  <si>
    <t>serine/threonine-protein kinase 35</t>
  </si>
  <si>
    <t>Q8TDR2</t>
  </si>
  <si>
    <t>STK36</t>
  </si>
  <si>
    <t>serine/threonine-protein kinase 36</t>
  </si>
  <si>
    <t>Q9NRP7</t>
  </si>
  <si>
    <t>STK38</t>
  </si>
  <si>
    <t>serine/threonine-protein kinase 38</t>
  </si>
  <si>
    <t>Q15208</t>
  </si>
  <si>
    <t>STK38L</t>
  </si>
  <si>
    <t>serine/threonine-protein kinase 38-like</t>
  </si>
  <si>
    <t>Q9Y2H1</t>
  </si>
  <si>
    <t>STK39</t>
  </si>
  <si>
    <t>ste20/sps1-related proline-alanine-rich protein kinase</t>
  </si>
  <si>
    <t>Q9UEW8</t>
  </si>
  <si>
    <t>STRADA</t>
  </si>
  <si>
    <t>ste20-related kinase adapter protein alpha</t>
  </si>
  <si>
    <t>CAB39L,STK11,STRADA</t>
  </si>
  <si>
    <t>Q7RTN6</t>
  </si>
  <si>
    <t>STS</t>
  </si>
  <si>
    <t>steryl-sulfatase</t>
  </si>
  <si>
    <t>P08842</t>
  </si>
  <si>
    <t>SULT1A1</t>
  </si>
  <si>
    <t>sulfotransferase 1a1</t>
  </si>
  <si>
    <t>P50225</t>
  </si>
  <si>
    <t>SULT1E1</t>
  </si>
  <si>
    <t>estrogen sulfotransferase</t>
  </si>
  <si>
    <t>P49888</t>
  </si>
  <si>
    <t>SULT2A1</t>
  </si>
  <si>
    <t>alcohol sulfotransferase</t>
  </si>
  <si>
    <t>Q06520</t>
  </si>
  <si>
    <t>SV2A</t>
  </si>
  <si>
    <t>synaptic vesicle glycoprotein 2a</t>
  </si>
  <si>
    <t>Q7L0J3</t>
  </si>
  <si>
    <t>SYK</t>
  </si>
  <si>
    <t>tyrosine-protein kinase syk</t>
  </si>
  <si>
    <t>P43405</t>
  </si>
  <si>
    <t>TAB1</t>
  </si>
  <si>
    <t>tak1/tab1</t>
  </si>
  <si>
    <t>Q15750</t>
  </si>
  <si>
    <t>TAOK1</t>
  </si>
  <si>
    <t>serine/threonine-protein kinase tao1</t>
  </si>
  <si>
    <t>Q7L7X3</t>
  </si>
  <si>
    <t>TAOK2</t>
  </si>
  <si>
    <t>serine/threonine-protein kinase tao2</t>
  </si>
  <si>
    <t>Q9UL54</t>
  </si>
  <si>
    <t>TAOK3</t>
  </si>
  <si>
    <t>serine/threonine-protein kinase tao3</t>
  </si>
  <si>
    <t>Q9H2K8</t>
  </si>
  <si>
    <t>TAS2R46</t>
  </si>
  <si>
    <t>taste receptor type 2 member 46</t>
  </si>
  <si>
    <t>P59540</t>
  </si>
  <si>
    <t>TAT</t>
  </si>
  <si>
    <t>tyrosine aminotransferase</t>
  </si>
  <si>
    <t>P17735</t>
  </si>
  <si>
    <t>TBK1</t>
  </si>
  <si>
    <t>serine/threonine-protein kinase tbk1</t>
  </si>
  <si>
    <t>Q9UHD2</t>
  </si>
  <si>
    <t>TBXA2R</t>
  </si>
  <si>
    <t>thromboxane a2 receptor</t>
  </si>
  <si>
    <t>P21731</t>
  </si>
  <si>
    <t>TEC</t>
  </si>
  <si>
    <t>tyrosine-protein kinase tec</t>
  </si>
  <si>
    <t>P42680</t>
  </si>
  <si>
    <t>TEK</t>
  </si>
  <si>
    <t>tyrosine-protein kinase tie-2</t>
  </si>
  <si>
    <t>Q02763</t>
  </si>
  <si>
    <t>TESK1</t>
  </si>
  <si>
    <t>dual specificity testis-specific protein kinase 1</t>
  </si>
  <si>
    <t>Q15569</t>
  </si>
  <si>
    <t>TESK2</t>
  </si>
  <si>
    <t>dual specificity testis-specific protein kinase 2</t>
  </si>
  <si>
    <t>Q96S53</t>
  </si>
  <si>
    <t>TF</t>
  </si>
  <si>
    <t>serotransferrin</t>
  </si>
  <si>
    <t>P02787</t>
  </si>
  <si>
    <t>TGFBR1</t>
  </si>
  <si>
    <t>tgf-beta receptor type i</t>
  </si>
  <si>
    <t>P36897</t>
  </si>
  <si>
    <t>TGFBR2</t>
  </si>
  <si>
    <t>tgf-beta receptor type ii</t>
  </si>
  <si>
    <t>P37173</t>
  </si>
  <si>
    <t>TIE1</t>
  </si>
  <si>
    <t>tyrosine-protein kinase receptor tie-1</t>
  </si>
  <si>
    <t>P35590</t>
  </si>
  <si>
    <t>TK1</t>
  </si>
  <si>
    <t>thymidine kinase, cytosolic</t>
  </si>
  <si>
    <t>P04183</t>
  </si>
  <si>
    <t>TK2</t>
  </si>
  <si>
    <t>thymidine kinase, mitochondrial</t>
  </si>
  <si>
    <t>O00142</t>
  </si>
  <si>
    <t>TLK1</t>
  </si>
  <si>
    <t>serine/threonine-protein kinase tousled-like 1</t>
  </si>
  <si>
    <t>Q9UKI8</t>
  </si>
  <si>
    <t>TLK2</t>
  </si>
  <si>
    <t>serine/threonine-protein kinase tousled-like 2</t>
  </si>
  <si>
    <t>Q86UE8</t>
  </si>
  <si>
    <t>TLR9</t>
  </si>
  <si>
    <t>toll-like receptor 9</t>
  </si>
  <si>
    <t>Q9NR96</t>
  </si>
  <si>
    <t>TMEM97</t>
  </si>
  <si>
    <t>sigma intracellular receptor 2</t>
  </si>
  <si>
    <t>Q5BJF2</t>
  </si>
  <si>
    <t>TNFSF4</t>
  </si>
  <si>
    <t>tax transcriptionally-activated glycoprotein 1 (ox40)</t>
  </si>
  <si>
    <t>P23510</t>
  </si>
  <si>
    <t>TNIK</t>
  </si>
  <si>
    <t>traf2- and nck-interacting kinase</t>
  </si>
  <si>
    <t>Q9UKE5</t>
  </si>
  <si>
    <t>TNK1</t>
  </si>
  <si>
    <t>non-receptor tyrosine-protein kinase tnk1</t>
  </si>
  <si>
    <t>Q13470</t>
  </si>
  <si>
    <t>TNK2</t>
  </si>
  <si>
    <t>tyrosine kinase non-receptor protein 2</t>
  </si>
  <si>
    <t>Q07912</t>
  </si>
  <si>
    <t>TNNI3K</t>
  </si>
  <si>
    <t>serine/threonine-protein kinase tnni3k</t>
  </si>
  <si>
    <t>Q59H18</t>
  </si>
  <si>
    <t>TOP1</t>
  </si>
  <si>
    <t>dna topoisomerase i</t>
  </si>
  <si>
    <t>P11387</t>
  </si>
  <si>
    <t>TOP2A</t>
  </si>
  <si>
    <t>dna topoisomerase ii (top2)</t>
  </si>
  <si>
    <t>P11388</t>
  </si>
  <si>
    <t>TOP2B</t>
  </si>
  <si>
    <t>Q02880</t>
  </si>
  <si>
    <t>TP53RK</t>
  </si>
  <si>
    <t>tp53-regulating kinase</t>
  </si>
  <si>
    <t>Q96S44</t>
  </si>
  <si>
    <t>TRAP1</t>
  </si>
  <si>
    <t>heat shock protein 75 kda, mitochondrial</t>
  </si>
  <si>
    <t>Q12931</t>
  </si>
  <si>
    <t>TRPA1</t>
  </si>
  <si>
    <t>transient receptor potential cation channel subfamily a member 1</t>
  </si>
  <si>
    <t>O75762</t>
  </si>
  <si>
    <t>TRPM2</t>
  </si>
  <si>
    <t>transient receptor potential cation channel subfamily m member 2</t>
  </si>
  <si>
    <t>O94759</t>
  </si>
  <si>
    <t>TRPM6</t>
  </si>
  <si>
    <t>transient receptor potential cation channel subfamily m member 6</t>
  </si>
  <si>
    <t>Q9BX84</t>
  </si>
  <si>
    <t>TRPV6</t>
  </si>
  <si>
    <t>transient receptor potential cation channel v6 (trpv6)</t>
  </si>
  <si>
    <t>Q9H1D0</t>
  </si>
  <si>
    <t>TSPO</t>
  </si>
  <si>
    <t>translocator protein</t>
  </si>
  <si>
    <t>P30536</t>
  </si>
  <si>
    <t>TSSK1B</t>
  </si>
  <si>
    <t>testis-specific serine/threonine-protein kinase 1</t>
  </si>
  <si>
    <t>Q9BXA7</t>
  </si>
  <si>
    <t>TSSK2</t>
  </si>
  <si>
    <t>testis-specific serine/threonine-protein kinase 2</t>
  </si>
  <si>
    <t>Q96PF2</t>
  </si>
  <si>
    <t>TST</t>
  </si>
  <si>
    <t>thiosulfate sulfurtransferase</t>
  </si>
  <si>
    <t>Q16762</t>
  </si>
  <si>
    <t>TTBK1</t>
  </si>
  <si>
    <t>tau-tubulin kinase 1</t>
  </si>
  <si>
    <t>Q5TCY1</t>
  </si>
  <si>
    <t>TTBK2</t>
  </si>
  <si>
    <t>tau-tubulin kinase 2</t>
  </si>
  <si>
    <t>Q6IQ55</t>
  </si>
  <si>
    <t>TTK</t>
  </si>
  <si>
    <t>dual specificity protein kinase ttk</t>
  </si>
  <si>
    <t>P33981</t>
  </si>
  <si>
    <t>TUFM</t>
  </si>
  <si>
    <t>elongation factor tu, mitochondrial</t>
  </si>
  <si>
    <t>P49411</t>
  </si>
  <si>
    <t>TXK</t>
  </si>
  <si>
    <t>tyrosine-protein kinase txk</t>
  </si>
  <si>
    <t>P42681</t>
  </si>
  <si>
    <t>TYK2</t>
  </si>
  <si>
    <t>tyrosine-protein kinase tyk2</t>
  </si>
  <si>
    <t>P29597</t>
  </si>
  <si>
    <t>TYMS</t>
  </si>
  <si>
    <t>thymidylate synthase</t>
  </si>
  <si>
    <t>P04818</t>
  </si>
  <si>
    <t>TYR</t>
  </si>
  <si>
    <t>tyrosinase</t>
  </si>
  <si>
    <t>P14679</t>
  </si>
  <si>
    <t>TYRO3</t>
  </si>
  <si>
    <t>tyrosine-protein kinase receptor tyro3</t>
  </si>
  <si>
    <t>Q06418</t>
  </si>
  <si>
    <t>UGT1A4</t>
  </si>
  <si>
    <t>udp-glucuronosyltransferase 1a4</t>
  </si>
  <si>
    <t>P22310</t>
  </si>
  <si>
    <t>UGT1A7</t>
  </si>
  <si>
    <t>udp-glucuronosyltransferase 1-7</t>
  </si>
  <si>
    <t>Q9HAW7</t>
  </si>
  <si>
    <t>UGT2B17</t>
  </si>
  <si>
    <t>udp-glucuronosyltransferase 2b17</t>
  </si>
  <si>
    <t>O75795</t>
  </si>
  <si>
    <t>UGT2B28</t>
  </si>
  <si>
    <t>udp-glucuronosyltransferase 2b28</t>
  </si>
  <si>
    <t>Q9BY64</t>
  </si>
  <si>
    <t>ULK1</t>
  </si>
  <si>
    <t>serine/threonine-protein kinase ulk1</t>
  </si>
  <si>
    <t>O75385</t>
  </si>
  <si>
    <t>ULK2</t>
  </si>
  <si>
    <t>serine/threonine-protein kinase ulk2</t>
  </si>
  <si>
    <t>Q8IYT8</t>
  </si>
  <si>
    <t>ULK3</t>
  </si>
  <si>
    <t>serine/threonine-protein kinase ulk3</t>
  </si>
  <si>
    <t>Q6PHR2</t>
  </si>
  <si>
    <t>USP2</t>
  </si>
  <si>
    <t>ubiquitin carboxyl-terminal hydrolase 2</t>
  </si>
  <si>
    <t>O75604</t>
  </si>
  <si>
    <t>VKORC1</t>
  </si>
  <si>
    <t>vitamin k epoxide reductase complex subunit 1 isoform 1</t>
  </si>
  <si>
    <t>Q9BQB6</t>
  </si>
  <si>
    <t>VRK1</t>
  </si>
  <si>
    <t>serine/threonine-protein kinase vrk1</t>
  </si>
  <si>
    <t>Q99986</t>
  </si>
  <si>
    <t>VRK2</t>
  </si>
  <si>
    <t>serine/threonine-protein kinase vrk2</t>
  </si>
  <si>
    <t>Q86Y07</t>
  </si>
  <si>
    <t>VRK3</t>
  </si>
  <si>
    <t>inactive serine/threonine-protein kinase vrk3</t>
  </si>
  <si>
    <t>Q8IV63</t>
  </si>
  <si>
    <t>WEE1</t>
  </si>
  <si>
    <t>serine/threonine-protein kinase wee1</t>
  </si>
  <si>
    <t>P30291</t>
  </si>
  <si>
    <t>WEE2</t>
  </si>
  <si>
    <t>wee1-like protein kinase 2</t>
  </si>
  <si>
    <t>P0C1S8</t>
  </si>
  <si>
    <t>WNK1</t>
  </si>
  <si>
    <t>serine/threonine-protein kinase wnk1</t>
  </si>
  <si>
    <t>Q9H4A3</t>
  </si>
  <si>
    <t>WNK2</t>
  </si>
  <si>
    <t>serine/threonine-protein kinase wnk2</t>
  </si>
  <si>
    <t>Q9Y3S1</t>
  </si>
  <si>
    <t>WNK3</t>
  </si>
  <si>
    <t>serine/threonine-protein kinase wnk3</t>
  </si>
  <si>
    <t>Q9BYP7</t>
  </si>
  <si>
    <t>YARS1</t>
  </si>
  <si>
    <t>tyrosyl-trna synthetase</t>
  </si>
  <si>
    <t>P54577</t>
  </si>
  <si>
    <t>YES1</t>
  </si>
  <si>
    <t>tyrosine-protein kinase yes</t>
  </si>
  <si>
    <t>P07947</t>
  </si>
  <si>
    <t>ZAP70</t>
  </si>
  <si>
    <t>tyrosine-protein kinase zap-70</t>
  </si>
  <si>
    <t>P43403</t>
  </si>
  <si>
    <t>CPX-8767</t>
  </si>
  <si>
    <t>glutamate receptor 2 (glur-2) (ampa-selective glutamate receptor 2) (glur-b) (glur-k2) (glutamate receptor ionotropic, ampa 2)</t>
  </si>
  <si>
    <t>GRIA1,GRIA2</t>
  </si>
  <si>
    <t>P42261, P42262</t>
  </si>
  <si>
    <t>T3, T4</t>
  </si>
  <si>
    <t>ABAT</t>
  </si>
  <si>
    <t>gamma-amino-n-butyrate transaminase</t>
  </si>
  <si>
    <t>P80404</t>
  </si>
  <si>
    <t>T3</t>
  </si>
  <si>
    <t>AKR1A1</t>
  </si>
  <si>
    <t>aldehyde reductase</t>
  </si>
  <si>
    <t>P14550</t>
  </si>
  <si>
    <t>CPX-928</t>
  </si>
  <si>
    <t>soluble guanylate cyclase alpha1/beta1 complex</t>
  </si>
  <si>
    <t>GUCY1B1,GUCY1A1</t>
  </si>
  <si>
    <t>Q02153, Q02108</t>
  </si>
  <si>
    <t>CPX-2860</t>
  </si>
  <si>
    <t>GUCY1B1,GUCY1A2</t>
  </si>
  <si>
    <t>Q02153, P33402</t>
  </si>
  <si>
    <t>FPR3</t>
  </si>
  <si>
    <t>n-formyl peptide receptor 3 (fpr3)</t>
  </si>
  <si>
    <t>P25089</t>
  </si>
  <si>
    <t>LEPR</t>
  </si>
  <si>
    <t>leptin receptor (lepr)</t>
  </si>
  <si>
    <t>P48357</t>
  </si>
  <si>
    <t>SLC6A9</t>
  </si>
  <si>
    <t>glycine transporter 1</t>
  </si>
  <si>
    <t>P48067</t>
  </si>
  <si>
    <t>SLC15A1</t>
  </si>
  <si>
    <t>oligopeptide transporter small intestine isoform</t>
  </si>
  <si>
    <t>P46059</t>
  </si>
  <si>
    <t>SLC16A10</t>
  </si>
  <si>
    <t>slc16a10 protein</t>
  </si>
  <si>
    <t>Q8TF71</t>
  </si>
  <si>
    <t>SRR</t>
  </si>
  <si>
    <t>serine racemase</t>
  </si>
  <si>
    <t>Q9GZT4</t>
  </si>
  <si>
    <t>SSTR1</t>
  </si>
  <si>
    <t>somatostatin receptor type 1 (sstr1)</t>
  </si>
  <si>
    <t>P30872</t>
  </si>
  <si>
    <t>SSTR2</t>
  </si>
  <si>
    <t>somatostatin receptor type 2 (sstr2)</t>
  </si>
  <si>
    <t>P30874</t>
  </si>
  <si>
    <t>SSTR3</t>
  </si>
  <si>
    <t>somatostatin receptor type 3 (sstr3)</t>
  </si>
  <si>
    <t>P32745</t>
  </si>
  <si>
    <t>SSTR4</t>
  </si>
  <si>
    <t>somatostatin receptor type 4 (sstr4)</t>
  </si>
  <si>
    <t>P31391</t>
  </si>
  <si>
    <t>SSTR5</t>
  </si>
  <si>
    <t>somatostatin receptor type 5 (sstr5)</t>
  </si>
  <si>
    <t>P35346</t>
  </si>
  <si>
    <t>A2ML1</t>
  </si>
  <si>
    <t>alpha-2-macroglobulin-like protein 1 (c3 and pzp-like alpha-2-macroglobulin domain-containing protein 9)</t>
  </si>
  <si>
    <t>A8K2U0</t>
  </si>
  <si>
    <t>T4</t>
  </si>
  <si>
    <t>STRING</t>
  </si>
  <si>
    <t>AARS1</t>
  </si>
  <si>
    <t>alanine--trna ligase, cytoplasmic (ec 6.1.1.7) (alanyl-trna synthetase) (alars) (renal carcinoma antigen ny-ren-42)</t>
  </si>
  <si>
    <t>P49588</t>
  </si>
  <si>
    <t>alanine--trna ligase, mitochondrial (ec 6.1.1.7) (alanyl-trna synthetase) (alars)</t>
  </si>
  <si>
    <t>Q5JTZ9</t>
  </si>
  <si>
    <t>AASS</t>
  </si>
  <si>
    <t>alpha-aminoadipic semialdehyde synthase, mitochondrial (lkr/sdh) [includes: lysine ketoglutarate reductase (lkr) (lor) (ec 1.5.1.8); saccharopine dehydrogenase (sdh) (ec 1.5.1.9)]</t>
  </si>
  <si>
    <t>Q9UDR5</t>
  </si>
  <si>
    <t>ABCA1</t>
  </si>
  <si>
    <t>phospholipid-transporting atpase abca1 (ec 7.6.2.1) (atp-binding cassette sub-family a member 1) (atp-binding cassette transporter 1) (abc-1) (atp-binding cassette 1) (cholesterol efflux regulatory protein)</t>
  </si>
  <si>
    <t>O95477</t>
  </si>
  <si>
    <t>ABCA2</t>
  </si>
  <si>
    <t>atp-binding cassette sub-family a member 2 (ec 7.6.2.-) (atp-binding cassette transporter 2) (atp-binding cassette 2)</t>
  </si>
  <si>
    <t>Q9BZC7</t>
  </si>
  <si>
    <t>ABCA3</t>
  </si>
  <si>
    <t>phospholipid-transporting atpase abca3 (ec 7.6.2.1) (abc-c transporter) (atp-binding cassette sub-family a member 3) (atp-binding cassette transporter 3) (atp-binding cassette 3) (xenobiotic-transporting atpase abca3) (ec 7.6.2.2) [cleaved into: 150 kda mature form]</t>
  </si>
  <si>
    <t>Q99758</t>
  </si>
  <si>
    <t>retinal-specific phospholipid-transporting atpase abca4 (ec 7.6.2.1) (atp-binding cassette sub-family a member 4) (rim abc transporter) (rim proteinv) (rmp) (retinal-specific atp-binding cassette transporter) (stargardt disease protein)</t>
  </si>
  <si>
    <t>P78363</t>
  </si>
  <si>
    <t>ABCA7</t>
  </si>
  <si>
    <t>phospholipid-transporting atpase abca7 (ec 7.6.2.1) (abca-ssn) (atp-binding cassette sub-family a member 7) (autoantigen ss-n) (macrophage abc transporter)</t>
  </si>
  <si>
    <t>Q8IZY2</t>
  </si>
  <si>
    <t>ABCA12</t>
  </si>
  <si>
    <t>glucosylceramide transporter abca12 (ec 7.6.2.1) (atp-binding cassette sub-family a member 12) (atp-binding cassette transporter 12) (atp-binding cassette 12)</t>
  </si>
  <si>
    <t>Q86UK0</t>
  </si>
  <si>
    <t>phosphatidylcholine translocator abcb4 (ec 7.6.2.1) (atp-binding cassette sub-family b member 4) (multidrug resistance protein 3) (p-glycoprotein 3)</t>
  </si>
  <si>
    <t>P21439</t>
  </si>
  <si>
    <t>ABCB6</t>
  </si>
  <si>
    <t>atp-binding cassette sub-family b member 6 (abc-type heme transporter abcb6) (ec 7.6.2.5) (mitochondrial abc transporter 3) (mt-abc transporter 3) (p-glycoprotein-related protein) (ubiquitously-expressed mammalian abc half transporter)</t>
  </si>
  <si>
    <t>Q9NP58</t>
  </si>
  <si>
    <t>ABCD1</t>
  </si>
  <si>
    <t>atp-binding cassette sub-family d member 1 (ec 3.1.2.-) (ec 7.6.2.-) (adrenoleukodystrophy protein) (aldp)</t>
  </si>
  <si>
    <t>P33897</t>
  </si>
  <si>
    <t>ABCD3</t>
  </si>
  <si>
    <t>atp-binding cassette sub-family d member 3 (ec 3.1.2.-) (ec 7.6.2.-) (70 kda peroxisomal membrane protein) (pmp70)</t>
  </si>
  <si>
    <t>P28288</t>
  </si>
  <si>
    <t>ABCD4</t>
  </si>
  <si>
    <t>lysosomal cobalamin transporter abcd4 (ec 7.6.2.8) (atp-binding cassette sub-family d member 4) (pmp70-related protein) (p70r) (peroxisomal membrane protein 1-like) (pxmp1-l) (peroxisomal membrane protein 69) (pmp69)</t>
  </si>
  <si>
    <t>O14678</t>
  </si>
  <si>
    <t>ABCG5</t>
  </si>
  <si>
    <t>atp-binding cassette sub-family g member 5 (ec 7.6.2.-) (sterolin-1)</t>
  </si>
  <si>
    <t>Q9H222</t>
  </si>
  <si>
    <t>ABCG8</t>
  </si>
  <si>
    <t>atp-binding cassette sub-family g member 8 (ec 7.6.2.-) (sterolin-2)</t>
  </si>
  <si>
    <t>Q9H221</t>
  </si>
  <si>
    <t>ABHD5</t>
  </si>
  <si>
    <t>1-acylglycerol-3-phosphate o-acyltransferase abhd5 (ec 2.3.1.51) (abhydrolase domain-containing protein 5) (lipid droplet-binding protein cgi-58)</t>
  </si>
  <si>
    <t>Q8WTS1</t>
  </si>
  <si>
    <t>ABHD11</t>
  </si>
  <si>
    <t>sn-1-specific diacylglycerol lipase abhd11 (ec 3.1.1.116) (alpha/beta hydrolase domain-containing protein 11) (abhydrolase domain-containing protein 11) (williams-beuren syndrome chromosomal region 21 protein)</t>
  </si>
  <si>
    <t>Q8NFV4</t>
  </si>
  <si>
    <t>ABHD12</t>
  </si>
  <si>
    <t>lysophosphatidylserine lipase abhd12 (ec 3.1.-.-) (2-arachidonoylglycerol hydrolase abhd12) (abhydrolase domain-containing protein 12) (habhd12) (monoacylglycerol lipase abhd12) (ec 3.1.1.23) (oxidized phosphatidylserine lipase abhd12) (ec 3.1.-.-)</t>
  </si>
  <si>
    <t>Q8N2K0</t>
  </si>
  <si>
    <t>ABHD16A</t>
  </si>
  <si>
    <t>phosphatidylserine lipase abhd16a (ec 3.1.-.-) (alpha/beta hydrolase domain-containing protein 16a) (abhydrolase domain-containing protein 16a) (hla-b-associated transcript 5) (hbat5) (monoacylglycerol lipase abhd16a) (ec 3.1.1.23) (protein g5)</t>
  </si>
  <si>
    <t>O95870</t>
  </si>
  <si>
    <t>ABI1</t>
  </si>
  <si>
    <t>abl interactor 1 (abelson interactor 1) (abi-1) (abl-binding protein 4) (ablbp4) (eps8 sh3 domain-binding protein) (eps8-binding protein) (nap1-binding protein) (nap1bp) (spectrin sh3 domain-binding protein 1) (e3b1)</t>
  </si>
  <si>
    <t>Q8IZP0</t>
  </si>
  <si>
    <t>ACACA</t>
  </si>
  <si>
    <t>acetyl-coa carboxylase 1 (acc1) (ec 6.4.1.2) (acetyl-coenzyme a carboxylase alpha) (acc-alpha)</t>
  </si>
  <si>
    <t>Q13085</t>
  </si>
  <si>
    <t>ACAD8</t>
  </si>
  <si>
    <t>isobutyryl-coa dehydrogenase, mitochondrial (ibdh) (ec 1.3.8.5) (activator-recruited cofactor 42 kda component) (arc42) (acyl-coa dehydrogenase family member 8) (acad-8)</t>
  </si>
  <si>
    <t>Q9UKU7</t>
  </si>
  <si>
    <t>ACADM</t>
  </si>
  <si>
    <t>medium-chain specific acyl-coa dehydrogenase, mitochondrial (mcad) (ec 1.3.8.7) (medium chain acyl-coa dehydrogenase) (mcadh)</t>
  </si>
  <si>
    <t>P11310</t>
  </si>
  <si>
    <t>ACADS</t>
  </si>
  <si>
    <t>short-chain specific acyl-coa dehydrogenase, mitochondrial (scad) (ec 1.3.8.1) (butyryl-coa dehydrogenase)</t>
  </si>
  <si>
    <t>P16219</t>
  </si>
  <si>
    <t>ACADSB</t>
  </si>
  <si>
    <t>short/branched chain specific acyl-coa dehydrogenase, mitochondrial (sbcad) (ec 1.3.8.5) (2-methyl branched chain acyl-coa dehydrogenase) (2-mebcad) (2-methylbutyryl-coenzyme a dehydrogenase) (2-methylbutyryl-coa dehydrogenase)</t>
  </si>
  <si>
    <t>P45954</t>
  </si>
  <si>
    <t>ACAN</t>
  </si>
  <si>
    <t>aggrecan core protein (cartilage-specific proteoglycan core protein) (cspcp) (chondroitin sulfate proteoglycan core protein 1) (chondroitin sulfate proteoglycan 1) [cleaved into: aggrecan core protein 2]</t>
  </si>
  <si>
    <t>P16112</t>
  </si>
  <si>
    <t>ACAT1</t>
  </si>
  <si>
    <t>acetyl-coa acetyltransferase, mitochondrial (ec 2.3.1.9) (acetoacetyl-coa thiolase) (t2)</t>
  </si>
  <si>
    <t>P24752</t>
  </si>
  <si>
    <t>ACBD5</t>
  </si>
  <si>
    <t>acyl-coa-binding domain-containing protein 5</t>
  </si>
  <si>
    <t>Q5T8D3</t>
  </si>
  <si>
    <t>ACER3</t>
  </si>
  <si>
    <t>alkaline ceramidase 3 (alkcdase 3) (alkaline cdase 3) (ec 3.5.1.-) (ec 3.5.1.23) (alkaline dihydroceramidase sb89) (alkaline phytoceramidase) (aphc)</t>
  </si>
  <si>
    <t>Q9NUN7</t>
  </si>
  <si>
    <t>ACKR3</t>
  </si>
  <si>
    <t>atypical chemokine receptor 3 (c-x-c chemokine receptor type 7) (cxc-r7) (cxcr-7) (chemokine orphan receptor 1) (g-protein coupled receptor 159) (g-protein coupled receptor rdc1 homolog) (rdc-1)</t>
  </si>
  <si>
    <t>P25106</t>
  </si>
  <si>
    <t>ACO2</t>
  </si>
  <si>
    <t>aconitate hydratase, mitochondrial (aconitase) (ec 4.2.1.3) (citrate hydro-lyase)</t>
  </si>
  <si>
    <t>Q99798</t>
  </si>
  <si>
    <t>ACOX2</t>
  </si>
  <si>
    <t>peroxisomal acyl-coenzyme a oxidase 2 (ec 1.17.99.3) (3-alpha,7-alpha,12-alpha-trihydroxy-5-beta-cholestanoyl-coa 24-hydroxylase) (3-alpha,7-alpha,12-alpha-trihydroxy-5-beta-cholestanoyl-coa oxidase) (trihydroxycoprostanoyl-coa oxidase) (thca-coa oxidase) (thccox)</t>
  </si>
  <si>
    <t>Q99424</t>
  </si>
  <si>
    <t>ACP4</t>
  </si>
  <si>
    <t>testicular acid phosphatase (ec 3.1.3.2) (acid phosphatase 4)</t>
  </si>
  <si>
    <t>Q9BZG2</t>
  </si>
  <si>
    <t>ACP5</t>
  </si>
  <si>
    <t>tartrate-resistant acid phosphatase type 5 (tr-ap) (ec 3.1.3.2) (tartrate-resistant acid atpase) (tratpase) (type 5 acid phosphatase)</t>
  </si>
  <si>
    <t>P13686</t>
  </si>
  <si>
    <t>ACSF3</t>
  </si>
  <si>
    <t>malonate--coa ligase acsf3, mitochondrial (ec 6.2.1.76) (acyl-coa synthetase family member 3)</t>
  </si>
  <si>
    <t>Q4G176</t>
  </si>
  <si>
    <t>ACSL4</t>
  </si>
  <si>
    <t>long-chain-fatty-acid--coa ligase 4 (ec 6.2.1.3) (arachidonate--coa ligase) (ec 6.2.1.15) (long-chain acyl-coa synthetase 4) (lacs 4)</t>
  </si>
  <si>
    <t>O60488</t>
  </si>
  <si>
    <t>ACSL6</t>
  </si>
  <si>
    <t>long-chain-fatty-acid--coa ligase 6 (ec 6.2.1.3) (arachidonate--coa ligase) (ec 6.2.1.15) (long-chain acyl-coa synthetase 6) (lacs 6)</t>
  </si>
  <si>
    <t>Q9UKU0</t>
  </si>
  <si>
    <t>ACTA1</t>
  </si>
  <si>
    <t>actin, alpha skeletal muscle (ec 3.6.4.-) (alpha-actin-1) [cleaved into: actin, alpha skeletal muscle, intermediate form]</t>
  </si>
  <si>
    <t>P68133</t>
  </si>
  <si>
    <t>ACTA2</t>
  </si>
  <si>
    <t>actin, aortic smooth muscle (ec 3.6.4.-) (alpha-actin-2) (cell growth-inhibiting gene 46 protein) [cleaved into: actin, aortic smooth muscle, intermediate form]</t>
  </si>
  <si>
    <t>P62736</t>
  </si>
  <si>
    <t>ACTC1</t>
  </si>
  <si>
    <t>actin, alpha cardiac muscle 1 (ec 3.6.4.-) (alpha-cardiac actin) [cleaved into: actin, alpha cardiac muscle 1, intermediate form]</t>
  </si>
  <si>
    <t>P68032</t>
  </si>
  <si>
    <t>ACTG1</t>
  </si>
  <si>
    <t>actin, cytoplasmic 2 (ec 3.6.4.-) (gamma-actin) [cleaved into: actin, cytoplasmic 2, n-terminally processed]</t>
  </si>
  <si>
    <t>P63261</t>
  </si>
  <si>
    <t>ACTG2</t>
  </si>
  <si>
    <t>actin, gamma-enteric smooth muscle (ec 3.6.4.-) (alpha-actin-3) (gamma-2-actin) (smooth muscle gamma-actin) [cleaved into: actin, gamma-enteric smooth muscle, intermediate form]</t>
  </si>
  <si>
    <t>P63267</t>
  </si>
  <si>
    <t>ACTL9</t>
  </si>
  <si>
    <t>actin-like protein 9</t>
  </si>
  <si>
    <t>Q8TC94</t>
  </si>
  <si>
    <t>ACTN1</t>
  </si>
  <si>
    <t>alpha-actinin-1 (alpha-actinin cytoskeletal isoform) (f-actin cross-linking protein) (non-muscle alpha-actinin-1)</t>
  </si>
  <si>
    <t>P12814</t>
  </si>
  <si>
    <t>ACTN2</t>
  </si>
  <si>
    <t>alpha-actinin-2 (alpha-actinin skeletal muscle isoform 2) (f-actin cross-linking protein)</t>
  </si>
  <si>
    <t>P35609</t>
  </si>
  <si>
    <t>ACTN4</t>
  </si>
  <si>
    <t>alpha-actinin-4 (non-muscle alpha-actinin 4)</t>
  </si>
  <si>
    <t>O43707</t>
  </si>
  <si>
    <t>ACTRT1</t>
  </si>
  <si>
    <t>actin-related protein t1 (arp-t1)</t>
  </si>
  <si>
    <t>Q8TDG2</t>
  </si>
  <si>
    <t>ACY1</t>
  </si>
  <si>
    <t>aminoacylase-1 (acy-1) (ec 3.5.1.14) (n-acyl-l-amino-acid amidohydrolase)</t>
  </si>
  <si>
    <t>Q03154</t>
  </si>
  <si>
    <t>ADA</t>
  </si>
  <si>
    <t>adenosine deaminase (ec 3.5.4.4) (adenosine aminohydrolase)</t>
  </si>
  <si>
    <t>P00813</t>
  </si>
  <si>
    <t>ADA2</t>
  </si>
  <si>
    <t>adenosine deaminase 2 (ec 3.5.4.4) (cat eye syndrome critical region protein 1)</t>
  </si>
  <si>
    <t>Q9NZK5</t>
  </si>
  <si>
    <t>ADAM9</t>
  </si>
  <si>
    <t>disintegrin and metalloproteinase domain-containing protein 9 (adam 9) (ec 3.4.24.-) (cellular disintegrin-related protein) (meltrin-gamma) (metalloprotease/disintegrin/cysteine-rich protein 9) (myeloma cell metalloproteinase)</t>
  </si>
  <si>
    <t>Q13443</t>
  </si>
  <si>
    <t>ADAM10</t>
  </si>
  <si>
    <t>disintegrin and metalloproteinase domain-containing protein 10 (adam 10) (ec 3.4.24.81) (cdw156) (kuzbanian protein homolog) (mammalian disintegrin-metalloprotease) (cd antigen cd156c)</t>
  </si>
  <si>
    <t>O14672</t>
  </si>
  <si>
    <t>ADAM17</t>
  </si>
  <si>
    <t>disintegrin and metalloproteinase domain-containing protein 17 (adam 17) (ec 3.4.24.86) (snake venom-like protease) (tnf-alpha convertase) (tnf-alpha-converting enzyme) (cd antigen cd156b)</t>
  </si>
  <si>
    <t>P78536</t>
  </si>
  <si>
    <t>ADAM22</t>
  </si>
  <si>
    <t>disintegrin and metalloproteinase domain-containing protein 22 (adam 22) (metalloproteinase-disintegrin adam22-3) (metalloproteinase-like, disintegrin-like, and cysteine-rich protein 2)</t>
  </si>
  <si>
    <t>Q9P0K1</t>
  </si>
  <si>
    <t>ADAM33</t>
  </si>
  <si>
    <t>disintegrin and metalloproteinase domain-containing protein 33 (adam 33) (ec 3.4.24.-)</t>
  </si>
  <si>
    <t>Q9BZ11</t>
  </si>
  <si>
    <t>ADAMTS2</t>
  </si>
  <si>
    <t>a disintegrin and metalloproteinase with thrombospondin motifs 2 (adam-ts 2) (adam-ts2) (adamts-2) (ec 3.4.24.14) (procollagen i n-proteinase) (pc i-np) (procollagen i/ii amino propeptide-processing enzyme) (procollagen n-endopeptidase) (pnpi)</t>
  </si>
  <si>
    <t>O95450</t>
  </si>
  <si>
    <t>a disintegrin and metalloproteinase with thrombospondin motifs 3 (adam-ts 3) (adam-ts3) (adamts-3) (ec 3.4.24.-) (procollagen ii n-proteinase) (pc ii-np) (procollagen ii amino propeptide-processing enzyme)</t>
  </si>
  <si>
    <t>O15072</t>
  </si>
  <si>
    <t>ADAMTS10</t>
  </si>
  <si>
    <t>a disintegrin and metalloproteinase with thrombospondin motifs 10 (adam-ts 10) (adam-ts10) (adamts-10) (ec 3.4.24.-)</t>
  </si>
  <si>
    <t>Q9H324</t>
  </si>
  <si>
    <t>a disintegrin and metalloproteinase with thrombospondin motifs 13 (adam-ts 13) (adam-ts13) (adamts-13) (ec 3.4.24.87) (von willebrand factor-cleaving protease) (vwf-cp) (vwf-cleaving protease)</t>
  </si>
  <si>
    <t>Q76LX8</t>
  </si>
  <si>
    <t>ADAMTS18</t>
  </si>
  <si>
    <t>a disintegrin and metalloproteinase with thrombospondin motifs 18 (adam-ts 18) (adam-ts18) (adamts-18) (ec 3.4.24.-)</t>
  </si>
  <si>
    <t>Q8TE60</t>
  </si>
  <si>
    <t>ADAMTSL2</t>
  </si>
  <si>
    <t>adamts-like protein 2 (adamtsl-2)</t>
  </si>
  <si>
    <t>Q86TH1</t>
  </si>
  <si>
    <t>ADAMTSL4</t>
  </si>
  <si>
    <t>adamts-like protein 4 (adamtsl-4) (thrombospondin repeat-containing protein 1)</t>
  </si>
  <si>
    <t>Q6UY14</t>
  </si>
  <si>
    <t>ADAR</t>
  </si>
  <si>
    <t>double-stranded rna-specific adenosine deaminase (drada) (ec 3.5.4.37) (136 kda double-stranded rna-binding protein) (p136) (interferon-inducible protein 4) (ifi-4) (k88dsrbp)</t>
  </si>
  <si>
    <t>P55265</t>
  </si>
  <si>
    <t>ADARB1</t>
  </si>
  <si>
    <t>double-stranded rna-specific editase 1 (ec 3.5.4.37) (rna-editing deaminase 1) (rna-editing enzyme 1) (dsrna adenosine deaminase)</t>
  </si>
  <si>
    <t>P78563</t>
  </si>
  <si>
    <t>ADCY3</t>
  </si>
  <si>
    <t>adenylate cyclase type 3 (ec 4.6.1.1) (atp pyrophosphate-lyase 3) (adenylate cyclase type iii) (ac-iii) (adenylate cyclase, olfactive type) (adenylyl cyclase 3) (ac3)</t>
  </si>
  <si>
    <t>O60266</t>
  </si>
  <si>
    <t>ADCY5</t>
  </si>
  <si>
    <t>adenylate cyclase type 5 (ec 4.6.1.1) (atp pyrophosphate-lyase 5) (adenylate cyclase type v) (adenylyl cyclase 5) (ac5)</t>
  </si>
  <si>
    <t>O95622</t>
  </si>
  <si>
    <t>ADCY6</t>
  </si>
  <si>
    <t>adenylate cyclase type 6 (ec 4.6.1.1) (atp pyrophosphate-lyase 6) (adenylate cyclase type vi) (adenylyl cyclase 6) (ca(2+)-inhibitable adenylyl cyclase)</t>
  </si>
  <si>
    <t>O43306</t>
  </si>
  <si>
    <t>ADCY10</t>
  </si>
  <si>
    <t>adenylate cyclase type 10 (ec 4.6.1.1) (ah-related protein) (adenylate cyclase homolog) (germ cell soluble adenylyl cyclase) (hsac) (sac) (testicular soluble adenylyl cyclase)</t>
  </si>
  <si>
    <t>Q96PN6</t>
  </si>
  <si>
    <t>ADGRE2</t>
  </si>
  <si>
    <t>adhesion g protein-coupled receptor e2 (egf-like module receptor 2) (egf-like module-containing mucin-like hormone receptor-like 2) (cd antigen cd312)</t>
  </si>
  <si>
    <t>Q9UHX3</t>
  </si>
  <si>
    <t>ADGRG1</t>
  </si>
  <si>
    <t>adhesion g-protein coupled receptor g1 (g-protein coupled receptor 56) (protein tm7xn1) [cleaved into: adgrg1 n-terminal fragment (adgrg1 nt) (gpr56 n-terminal fragment) (gpr56 nt) (gpr56(n)) (gpr56 extracellular subunit) (gpr56 subunit alpha); adgrg1 c-terminal fragment (adgrg1 ct) (gpr56 c-terminal fragment) (gpr56 ct) (gpr56(c)) (gpr56 seven-transmembrane subunit) (gpr56 7tm) (gpr56 subunit beta)]</t>
  </si>
  <si>
    <t>Q9Y653</t>
  </si>
  <si>
    <t>ADGRG2</t>
  </si>
  <si>
    <t>adhesion g-protein coupled receptor g2 (g-protein coupled receptor 64) (human epididymis-specific protein 6) (he6)</t>
  </si>
  <si>
    <t>Q8IZP9</t>
  </si>
  <si>
    <t>ADGRG6</t>
  </si>
  <si>
    <t>adhesion g-protein coupled receptor g6 (developmentally regulated g-protein-coupled receptor) (g-protein coupled receptor 126) (vascular inducible g protein-coupled receptor) [cleaved into: adgrg6 n-terminal fragment (adgrg6-ntf); adgrg6 c-terminal fragment (adgrg6-ctf)]</t>
  </si>
  <si>
    <t>Q86SQ4</t>
  </si>
  <si>
    <t>ADH5</t>
  </si>
  <si>
    <t>alcohol dehydrogenase class-3 (ec 1.1.1.1) (alcohol dehydrogenase 5) (alcohol dehydrogenase class chi chain) (alcohol dehydrogenase class-iii) (glutathione-dependent formaldehyde dehydrogenase) (faldh) (fdh) (gsh-fdh) (ec 1.1.1.-) (s-(hydroxymethyl)glutathione dehydrogenase) (ec 1.1.1.284)</t>
  </si>
  <si>
    <t>P11766</t>
  </si>
  <si>
    <t>ADIPOQ</t>
  </si>
  <si>
    <t>adiponectin (30 kda adipocyte complement-related protein) (adipocyte complement-related 30 kda protein) (acrp30) (adipocyte, c1q and collagen domain-containing protein) (adipose most abundant gene transcript 1 protein) (apm-1) (gelatin-binding protein)</t>
  </si>
  <si>
    <t>Q15848</t>
  </si>
  <si>
    <t>ADNP</t>
  </si>
  <si>
    <t>activity-dependent neuroprotector homeobox protein (activity-dependent neuroprotective protein)</t>
  </si>
  <si>
    <t>Q9H2P0</t>
  </si>
  <si>
    <t>ADSL</t>
  </si>
  <si>
    <t>adenylosuccinate lyase (adsl) (asl) (ec 4.3.2.2) (adenylosuccinase) (asase)</t>
  </si>
  <si>
    <t>P30566</t>
  </si>
  <si>
    <t>ADSS1</t>
  </si>
  <si>
    <t>adenylosuccinate synthetase isozyme 1 (ampsase 1) (adss 1) (ec 6.3.4.4) (adenylosuccinate synthetase, basic isozyme) (adenylosuccinate synthetase, muscle isozyme) (m-type adenylosuccinate synthetase) (adenylosuccinate synthetase-like 1) (adssl1) (imp--aspartate ligase 1)</t>
  </si>
  <si>
    <t>Q8N142</t>
  </si>
  <si>
    <t>AEBP1</t>
  </si>
  <si>
    <t>adipocyte enhancer-binding protein 1 (ae-binding protein 1) (aortic carboxypeptidase-like protein)</t>
  </si>
  <si>
    <t>Q8IUX7</t>
  </si>
  <si>
    <t>AFDN</t>
  </si>
  <si>
    <t>afadin (all1-fused gene from chromosome 6 protein) (protein af-6) (afadin adherens junction formation factor)</t>
  </si>
  <si>
    <t>P55196</t>
  </si>
  <si>
    <t>AFF1</t>
  </si>
  <si>
    <t>af4/fmr2 family member 1 (all1-fused gene from chromosome 4 protein) (protein af-4) (protein fel) (proto-oncogene af4)</t>
  </si>
  <si>
    <t>P51825</t>
  </si>
  <si>
    <t>AFF2</t>
  </si>
  <si>
    <t>af4/fmr2 family member 2 (protein fmr-2) (fmr2p) (protein ox19)</t>
  </si>
  <si>
    <t>P51816</t>
  </si>
  <si>
    <t>AFF3</t>
  </si>
  <si>
    <t>af4/fmr2 family member 3 (lymphoid nuclear protein related to af4) (protein laf-4)</t>
  </si>
  <si>
    <t>P51826</t>
  </si>
  <si>
    <t>AFF4</t>
  </si>
  <si>
    <t>af4/fmr2 family member 4 (all1-fused gene from chromosome 5q31 protein) (protein af-5q31) (major cdk9 elongation factor-associated protein)</t>
  </si>
  <si>
    <t>Q9UHB7</t>
  </si>
  <si>
    <t>AFG3L2</t>
  </si>
  <si>
    <t>mitochondrial inner membrane m-aaa protease component afg3l2 (ec 3.4.24.-) (ec 3.6.-.-) (afg3-like protein 2) (paraplegin-like protein)</t>
  </si>
  <si>
    <t>Q9Y4W6</t>
  </si>
  <si>
    <t>AFP</t>
  </si>
  <si>
    <t>alpha-fetoprotein (alpha-1-fetoprotein) (alpha-fetoglobulin)</t>
  </si>
  <si>
    <t>P02771</t>
  </si>
  <si>
    <t>AGA</t>
  </si>
  <si>
    <t>n(4)-(beta-n-acetylglucosaminyl)-l-asparaginase (ec 3.5.1.26) (aspartylglucosaminidase) (glycosylasparaginase) (n4-(n-acetyl-beta-glucosaminyl)-l-asparagine amidase) [cleaved into: glycosylasparaginase alpha chain; glycosylasparaginase beta chain]</t>
  </si>
  <si>
    <t>P20933</t>
  </si>
  <si>
    <t>AGBL5</t>
  </si>
  <si>
    <t>cytosolic carboxypeptidase-like protein 5 (ec 3.4.17.-) (ec 3.4.17.24) (atp/gtp-binding protein-like 5) (protein deglutamylase ccp5)</t>
  </si>
  <si>
    <t>Q8NDL9</t>
  </si>
  <si>
    <t>AGGF1</t>
  </si>
  <si>
    <t>angiogenic factor with g patch and fha domains 1 (angiogenic factor vg5q) (hvg5q) (g patch domain-containing protein 7) (vasculogenesis gene on 5q protein)</t>
  </si>
  <si>
    <t>Q8N302</t>
  </si>
  <si>
    <t>AGK</t>
  </si>
  <si>
    <t>acylglycerol kinase, mitochondrial (hagk) (ec 2.7.1.107) (ec 2.7.1.138) (ec 2.7.1.94) (multiple substrate lipid kinase) (hsmulk) (mulk) (multi-substrate lipid kinase)</t>
  </si>
  <si>
    <t>Q53H12</t>
  </si>
  <si>
    <t>AGL</t>
  </si>
  <si>
    <t>glycogen debranching enzyme (glycogen debrancher) [includes: 4-alpha-glucanotransferase (ec 2.4.1.25) (oligo-1,4-1,4-glucantransferase); amylo-alpha-1,6-glucosidase (amylo-1,6-glucosidase) (ec 3.2.1.33) (dextrin 6-alpha-d-glucosidase)]</t>
  </si>
  <si>
    <t>P35573</t>
  </si>
  <si>
    <t>AGPAT2</t>
  </si>
  <si>
    <t>1-acyl-sn-glycerol-3-phosphate acyltransferase beta (ec 2.3.1.51) (1-acylglycerol-3-phosphate o-acyltransferase 2) (1-agp acyltransferase 2) (1-agpat 2) (lysophosphatidic acid acyltransferase beta) (lpaat-beta)</t>
  </si>
  <si>
    <t>O15120</t>
  </si>
  <si>
    <t>AGPS</t>
  </si>
  <si>
    <t>alkyldihydroxyacetonephosphate synthase, peroxisomal (alkyl-dhap synthase) (ec 2.5.1.26) (aging-associated gene 5 protein) (alkylglycerone-phosphate synthase)</t>
  </si>
  <si>
    <t>O00116</t>
  </si>
  <si>
    <t>AGRN</t>
  </si>
  <si>
    <t>agrin [cleaved into: agrin n-terminal 110 kda subunit; agrin c-terminal 110 kda subunit; agrin c-terminal 90 kda fragment (c90); agrin c-terminal 22 kda fragment (c22)]</t>
  </si>
  <si>
    <t>O00468</t>
  </si>
  <si>
    <t>AGRP</t>
  </si>
  <si>
    <t>agouti-related protein</t>
  </si>
  <si>
    <t>O00253</t>
  </si>
  <si>
    <t>AGT</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</si>
  <si>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</si>
  <si>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P01019</t>
  </si>
  <si>
    <t>AGXT</t>
  </si>
  <si>
    <t>alanine--glyoxylate aminotransferase (agt) (ec 2.6.1.44) (serine--pyruvate aminotransferase) (spt) (ec 2.6.1.51)</t>
  </si>
  <si>
    <t>P21549</t>
  </si>
  <si>
    <t>AHCY</t>
  </si>
  <si>
    <t>adenosylhomocysteinase (adohcyase) (ec 3.13.2.1) (s-adenosyl-l-homocysteine hydrolase)</t>
  </si>
  <si>
    <t>P23526</t>
  </si>
  <si>
    <t>AHDC1</t>
  </si>
  <si>
    <t>transcription factor gibbin (at-hook dna-binding motif-containing protein 1)</t>
  </si>
  <si>
    <t>Q5TGY3</t>
  </si>
  <si>
    <t>AHSG</t>
  </si>
  <si>
    <t>alpha-2-hs-glycoprotein (alpha-2-z-globulin) (ba-alpha-2-glycoprotein) (fetuin-a) [cleaved into: alpha-2-hs-glycoprotein chain a; alpha-2-hs-glycoprotein chain b]</t>
  </si>
  <si>
    <t>P02765</t>
  </si>
  <si>
    <t>AICDA</t>
  </si>
  <si>
    <t>single-stranded dna cytosine deaminase (ec 3.5.4.38) (activation-induced cytidine deaminase) (aid) (cytidine aminohydrolase)</t>
  </si>
  <si>
    <t>Q9GZX7</t>
  </si>
  <si>
    <t>AIFM1</t>
  </si>
  <si>
    <t>apoptosis-inducing factor 1, mitochondrial (ec 1.6.99.-) (programmed cell death protein 8)</t>
  </si>
  <si>
    <t>O95831</t>
  </si>
  <si>
    <t>AIP</t>
  </si>
  <si>
    <t>ah receptor-interacting protein (aip) (aryl-hydrocarbon receptor-interacting protein) (hbv x-associated protein 2) (xap-2) (immunophilin homolog ara9)</t>
  </si>
  <si>
    <t>O00170</t>
  </si>
  <si>
    <t>AIPL1</t>
  </si>
  <si>
    <t>aryl-hydrocarbon-interacting protein-like 1</t>
  </si>
  <si>
    <t>Q9NZN9</t>
  </si>
  <si>
    <t>AIRE</t>
  </si>
  <si>
    <t>autoimmune regulator (autoimmune polyendocrinopathy candidiasis ectodermal dystrophy protein) (apeced protein)</t>
  </si>
  <si>
    <t>O43918</t>
  </si>
  <si>
    <t>AK1</t>
  </si>
  <si>
    <t>adenylate kinase isoenzyme 1 (ak 1) (ec 2.7.4.10) (ec 2.7.4.3) (ec 2.7.4.6) (atp-amp transphosphorylase 1) (atp:amp phosphotransferase) (adenylate monophosphate kinase) (myokinase)</t>
  </si>
  <si>
    <t>P00568</t>
  </si>
  <si>
    <t>AK7</t>
  </si>
  <si>
    <t>adenylate kinase 7 (ak 7) (ec 2.7.4.3) (ec 2.7.4.6) (atp-amp transphosphorylase 7)</t>
  </si>
  <si>
    <t>Q96M32</t>
  </si>
  <si>
    <t>AKAP9</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</si>
  <si>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t>
  </si>
  <si>
    <t>Q99996</t>
  </si>
  <si>
    <t>aldo-keto reductase family 1 member d1 (ec 1.3.1.3) (3-oxo-5-beta-steroid 4-dehydrogenase) (delta(4)-3-ketosteroid 5-beta-reductase) (delta(4)-3-oxosteroid 5-beta-reductase)</t>
  </si>
  <si>
    <t>P51857</t>
  </si>
  <si>
    <t>ALAD</t>
  </si>
  <si>
    <t>delta-aminolevulinic acid dehydratase (aladh) (ec 4.2.1.24) (porphobilinogen synthase)</t>
  </si>
  <si>
    <t>P13716</t>
  </si>
  <si>
    <t>ALAS2</t>
  </si>
  <si>
    <t>5-aminolevulinate synthase, erythroid-specific, mitochondrial (alas-e) (ec 2.3.1.37) (5-aminolevulinic acid synthase 2) (delta-ala synthase 2) (delta-aminolevulinate synthase 2)</t>
  </si>
  <si>
    <t>P22557</t>
  </si>
  <si>
    <t>aldehyde dehydrogenase family 3 member a2 (ec 1.2.1.3) (ec 1.2.1.94) (aldehyde dehydrogenase 10) (fatty aldehyde dehydrogenase) (microsomal aldehyde dehydrogenase)</t>
  </si>
  <si>
    <t>P51648</t>
  </si>
  <si>
    <t>ALDH4A1</t>
  </si>
  <si>
    <t>delta-1-pyrroline-5-carboxylate dehydrogenase, mitochondrial (p5c dehydrogenase) (ec 1.2.1.88) (aldehyde dehydrogenase family 4 member a1) (l-glutamate gamma-semialdehyde dehydrogenase)</t>
  </si>
  <si>
    <t>P30038</t>
  </si>
  <si>
    <t>ALDH6A1</t>
  </si>
  <si>
    <t>methylmalonate-semialdehyde/malonate-semialdehyde dehydrogenase [acylating], mitochondrial (mmsdh) (ec 1.2.1.27) (aldehyde dehydrogenase family 6 member a1) (malonate-semialdehyde dehydrogenase [acylating])</t>
  </si>
  <si>
    <t>Q02252</t>
  </si>
  <si>
    <t>ALDH7A1</t>
  </si>
  <si>
    <t>alpha-aminoadipic semialdehyde dehydrogenase (alpha-aasa dehydrogenase) (ec 1.2.1.31) (aldehyde dehydrogenase family 7 member a1) (ec 1.2.1.3) (antiquitin-1) (betaine aldehyde dehydrogenase) (ec 1.2.1.8) (delta1-piperideine-6-carboxylate dehydrogenase) (p6c dehydrogenase)</t>
  </si>
  <si>
    <t>P49419</t>
  </si>
  <si>
    <t>ALDH18A1</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</si>
  <si>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</si>
  <si>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P54886</t>
  </si>
  <si>
    <t>ALDOA</t>
  </si>
  <si>
    <t>fructose-bisphosphate aldolase a (ec 4.1.2.13) (lung cancer antigen ny-lu-1) (muscle-type aldolase)</t>
  </si>
  <si>
    <t>P04075</t>
  </si>
  <si>
    <t>ALDOB</t>
  </si>
  <si>
    <t>fructose-bisphosphate aldolase b (ec 4.1.2.13) (liver-type aldolase)</t>
  </si>
  <si>
    <t>P05062</t>
  </si>
  <si>
    <t>ALG1</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</si>
  <si>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</si>
  <si>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Q9BT22</t>
  </si>
  <si>
    <t>ALG2</t>
  </si>
  <si>
    <t>alpha-1,3/1,6-mannosyltransferase alg2 (ec 2.4.1.132) (ec 2.4.1.257) (asparagine-linked glycosylation protein 2 homolog) (gdp-man:man(1)glcnac(2)-pp-dol alpha-1,3-mannosyltransferase) (gdp-man:man(1)glcnac(2)-pp-dolichol mannosyltransferase) (gdp-man:man(2)glcnac(2)-pp-dol alpha-1,6-mannosyltransferase)</t>
  </si>
  <si>
    <t>Q9H553</t>
  </si>
  <si>
    <t>ALG3</t>
  </si>
  <si>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</si>
  <si>
    <t>Q92685</t>
  </si>
  <si>
    <t>ALG8</t>
  </si>
  <si>
    <t>dolichyl pyrophosphate glc1man9glcnac2 alpha-1,3-glucosyltransferase (ec 2.4.1.265) (asparagine-linked glycosylation protein 8 homolog) (dol-p-glc:glc(1)man(9)glcnac(2)-pp-dolichyl alpha-1,3-glucosyltransferase) (dolichyl-p-glc:glc1man9glcnac2-pp-dolichyl glucosyltransferase)</t>
  </si>
  <si>
    <t>Q9BVK2</t>
  </si>
  <si>
    <t>ALG11</t>
  </si>
  <si>
    <t>gdp-man:man(3)glcnac(2)-pp-dol alpha-1,2-mannosyltransferase (ec 2.4.1.131) (asparagine-linked glycosylation protein 11 homolog) (glycolipid 2-alpha-mannosyltransferase)</t>
  </si>
  <si>
    <t>Q2TAA5</t>
  </si>
  <si>
    <t>ALG12</t>
  </si>
  <si>
    <t>dol-p-man:man(7)glcnac(2)-pp-dol alpha-1,6-mannosyltransferase (ec 2.4.1.260) (asparagine-linked glycosylation protein 12 homolog) (halg12) (dolichyl-p-man:man(7)glcnac(2)-pp-dolichyl-alpha-1,6-mannosyltransferase) (mannosyltransferase alg12 homolog) (membrane protein sb87)</t>
  </si>
  <si>
    <t>Q9BV10</t>
  </si>
  <si>
    <t>ALG13</t>
  </si>
  <si>
    <t>udp-n-acetylglucosamine transferase subunit alg13 (ec 2.4.1.141) (asparagine-linked glycosylation 13 homolog) (glycosyltransferase 28 domain-containing protein 1)</t>
  </si>
  <si>
    <t>Q9NP73</t>
  </si>
  <si>
    <t>ALG14</t>
  </si>
  <si>
    <t>udp-n-acetylglucosamine transferase subunit alg14 (asparagine-linked glycosylation 14 homolog)</t>
  </si>
  <si>
    <t>Q96F25</t>
  </si>
  <si>
    <t>ALMS1</t>
  </si>
  <si>
    <t>centrosome-associated protein alms1 (alstrom syndrome protein 1)</t>
  </si>
  <si>
    <t>Q8TCU4</t>
  </si>
  <si>
    <t>ALOX5AP</t>
  </si>
  <si>
    <t>arachidonate 5-lipoxygenase-activating protein (flap) (mk-886-binding protein)</t>
  </si>
  <si>
    <t>P20292</t>
  </si>
  <si>
    <t>ALOX12B</t>
  </si>
  <si>
    <t>arachidonate 12-lipoxygenase, 12r-type (12r-lox) (12r-lipoxygenase) (ec 1.13.11.-) (epidermis-type lipoxygenase 12)</t>
  </si>
  <si>
    <t>O75342</t>
  </si>
  <si>
    <t>ALPK1</t>
  </si>
  <si>
    <t>alpha-protein kinase 1 (ec 2.7.11.1) (chromosome 4 kinase) (lymphocyte alpha-protein kinase)</t>
  </si>
  <si>
    <t>Q96QP1</t>
  </si>
  <si>
    <t>ALPK3</t>
  </si>
  <si>
    <t>alpha-protein kinase 3 (ec 2.7.11.1) (muscle alpha-protein kinase)</t>
  </si>
  <si>
    <t>Q96L96</t>
  </si>
  <si>
    <t>ALS2</t>
  </si>
  <si>
    <t>alsin (amyotrophic lateral sclerosis 2 chromosomal region candidate gene 6 protein) (amyotrophic lateral sclerosis 2 protein)</t>
  </si>
  <si>
    <t>Q96Q42</t>
  </si>
  <si>
    <t>ALX4</t>
  </si>
  <si>
    <t>homeobox protein aristaless-like 4</t>
  </si>
  <si>
    <t>Q9H161</t>
  </si>
  <si>
    <t>AMACR</t>
  </si>
  <si>
    <t>alpha-methylacyl-coa racemase (ec 5.1.99.4) (2-methylacyl-coa racemase)</t>
  </si>
  <si>
    <t>Q9UHK6</t>
  </si>
  <si>
    <t>AMBN</t>
  </si>
  <si>
    <t>ameloblastin</t>
  </si>
  <si>
    <t>Q9NP70</t>
  </si>
  <si>
    <t>AMELX</t>
  </si>
  <si>
    <t>amelogenin, x isoform</t>
  </si>
  <si>
    <t>Q99217</t>
  </si>
  <si>
    <t>AMER1</t>
  </si>
  <si>
    <t>apc membrane recruitment protein 1 (amer1) (protein fam123b) (wilms tumor gene on the x chromosome protein)</t>
  </si>
  <si>
    <t>Q5JTC6</t>
  </si>
  <si>
    <t>AMH</t>
  </si>
  <si>
    <t>muellerian-inhibiting factor (anti-muellerian hormone) (amh) (muellerian-inhibiting substance) (mis)</t>
  </si>
  <si>
    <t>P03971</t>
  </si>
  <si>
    <t>AMHR2</t>
  </si>
  <si>
    <t>anti-muellerian hormone type-2 receptor (ec 2.7.11.30) (anti-muellerian hormone type ii receptor) (amh type ii receptor) (mis type ii receptor) (misrii) (mrii)</t>
  </si>
  <si>
    <t>Q16671</t>
  </si>
  <si>
    <t>AMMECR1</t>
  </si>
  <si>
    <t>nuclear protein ammecr1 (amme syndrome candidate gene 1 protein)</t>
  </si>
  <si>
    <t>Q9Y4X0</t>
  </si>
  <si>
    <t>AMPD1</t>
  </si>
  <si>
    <t>amp deaminase 1 (ec 3.5.4.6) (amp deaminase isoform m) (myoadenylate deaminase)</t>
  </si>
  <si>
    <t>P23109</t>
  </si>
  <si>
    <t>AMPD2</t>
  </si>
  <si>
    <t>amp deaminase 2 (ec 3.5.4.6) (amp deaminase isoform l)</t>
  </si>
  <si>
    <t>Q01433</t>
  </si>
  <si>
    <t>AMPD3</t>
  </si>
  <si>
    <t>amp deaminase 3 (ec 3.5.4.6) (amp deaminase isoform e) (erythrocyte amp deaminase)</t>
  </si>
  <si>
    <t>Q01432</t>
  </si>
  <si>
    <t>AMT</t>
  </si>
  <si>
    <t>aminomethyltransferase, mitochondrial (ec 2.1.2.10) (glycine cleavage system t protein) (gcvt)</t>
  </si>
  <si>
    <t>P48728</t>
  </si>
  <si>
    <t>ANG</t>
  </si>
  <si>
    <t>angiogenin (ec 3.1.27.-) (ribonuclease 5) (rnase 5)</t>
  </si>
  <si>
    <t>P03950</t>
  </si>
  <si>
    <t>ANGPTL3</t>
  </si>
  <si>
    <t>angiopoietin-related protein 3 (angiopoietin-5) (ang-5) (angiopoietin-like protein 3) [cleaved into: angptl3(17-221); angptl3(17-224)]</t>
  </si>
  <si>
    <t>Q9Y5C1</t>
  </si>
  <si>
    <t>ANK1</t>
  </si>
  <si>
    <t>ankyrin-1 (ank-1) (ankyrin-r) (erythrocyte ankyrin)</t>
  </si>
  <si>
    <t>P16157</t>
  </si>
  <si>
    <t>ANK2</t>
  </si>
  <si>
    <t>ankyrin-2 (ank-2) (ankyrin-b) (brain ankyrin) (non-erythroid ankyrin)</t>
  </si>
  <si>
    <t>Q01484</t>
  </si>
  <si>
    <t>ANK3</t>
  </si>
  <si>
    <t>ankyrin-3 (ank-3) (ankyrin-g)</t>
  </si>
  <si>
    <t>Q12955</t>
  </si>
  <si>
    <t>ANKH</t>
  </si>
  <si>
    <t>mineralization regulator ankh (atp carrier protein ankh) (progressive ankylosis protein homolog) (ank)</t>
  </si>
  <si>
    <t>Q9HCJ1</t>
  </si>
  <si>
    <t>ANKLE2</t>
  </si>
  <si>
    <t>ankyrin repeat and lem domain-containing protein 2 (lem domain-containing protein 4)</t>
  </si>
  <si>
    <t>Q86XL3</t>
  </si>
  <si>
    <t>ANKRD11</t>
  </si>
  <si>
    <t>ankyrin repeat domain-containing protein 11 (ankyrin repeat-containing cofactor 1)</t>
  </si>
  <si>
    <t>Q6UB99</t>
  </si>
  <si>
    <t>ANKRD17</t>
  </si>
  <si>
    <t>ankyrin repeat domain-containing protein 17 (gene trap ankyrin repeat protein) (serologically defined breast cancer antigen ny-br-16)</t>
  </si>
  <si>
    <t>O75179</t>
  </si>
  <si>
    <t>ANKRD26</t>
  </si>
  <si>
    <t>ankyrin repeat domain-containing protein 26</t>
  </si>
  <si>
    <t>Q9UPS8</t>
  </si>
  <si>
    <t>ANKS6</t>
  </si>
  <si>
    <t>ankyrin repeat and sam domain-containing protein 6 (ankyrin repeat domain-containing protein 14) (samcystin) (sterile alpha motif domain-containing protein 6) (sam domain-containing protein 6)</t>
  </si>
  <si>
    <t>Q68DC2</t>
  </si>
  <si>
    <t>ANLN</t>
  </si>
  <si>
    <t>anillin</t>
  </si>
  <si>
    <t>Q9NQW6</t>
  </si>
  <si>
    <t>ANO1</t>
  </si>
  <si>
    <t>anoctamin-1 (discovered on gastrointestinal stromal tumors protein 1) (oral cancer overexpressed protein 2) (transmembrane protein 16a) (tumor-amplified and overexpressed sequence 2)</t>
  </si>
  <si>
    <t>Q5XXA6</t>
  </si>
  <si>
    <t>ANO5</t>
  </si>
  <si>
    <t>anoctamin-5 (gnathodiaphyseal dysplasia 1 protein) (transmembrane protein 16e)</t>
  </si>
  <si>
    <t>Q75V66</t>
  </si>
  <si>
    <t>ANO6</t>
  </si>
  <si>
    <t>anoctamin-6 (small-conductance calcium-activated nonselective cation channel) (scan channel) (transmembrane protein 16f)</t>
  </si>
  <si>
    <t>Q4KMQ2</t>
  </si>
  <si>
    <t>ANO10</t>
  </si>
  <si>
    <t>anoctamin-10 (transmembrane protein 16k)</t>
  </si>
  <si>
    <t>Q9NW15</t>
  </si>
  <si>
    <t>ANOS1</t>
  </si>
  <si>
    <t>anosmin-1 (adhesion molecule-like x-linked) (kallmann syndrome protein)</t>
  </si>
  <si>
    <t>P23352</t>
  </si>
  <si>
    <t>ANTXR1</t>
  </si>
  <si>
    <t>anthrax toxin receptor 1 (tumor endothelial marker 8)</t>
  </si>
  <si>
    <t>Q9H6X2</t>
  </si>
  <si>
    <t>ANXA5</t>
  </si>
  <si>
    <t>annexin a5 (anchorin cii) (annexin v) (annexin-5) (calphobindin i) (cpb-i) (endonexin ii) (lipocortin v) (placental anticoagulant protein 4) (pp4) (placental anticoagulant protein i) (pap-i) (thromboplastin inhibitor) (vascular anticoagulant-alpha) (vac-alpha)</t>
  </si>
  <si>
    <t>P08758</t>
  </si>
  <si>
    <t>ANXA11</t>
  </si>
  <si>
    <t>annexin a11 (56 kda autoantigen) (annexin xi) (annexin-11) (calcyclin-associated annexin 50) (cap-50)</t>
  </si>
  <si>
    <t>P50995</t>
  </si>
  <si>
    <t>AOPEP</t>
  </si>
  <si>
    <t>aminopeptidase o (ap-o) (ec 3.4.11.-)</t>
  </si>
  <si>
    <t>Q8N6M6</t>
  </si>
  <si>
    <t>APCDD1</t>
  </si>
  <si>
    <t>protein apcdd1 (adenomatosis polyposis coli down-regulated 1 protein)</t>
  </si>
  <si>
    <t>Q8J025</t>
  </si>
  <si>
    <t>APCS</t>
  </si>
  <si>
    <t>serum amyloid p-component (sap) (9.5s alpha-1-glycoprotein) [cleaved into: serum amyloid p-component(1-203)]</t>
  </si>
  <si>
    <t>P02743</t>
  </si>
  <si>
    <t>APOA1</t>
  </si>
  <si>
    <t>apolipoprotein a-i (apo-ai) (apoa-i) (apolipoprotein a1) [cleaved into: proapolipoprotein a-i (proapoa-i); truncated apolipoprotein a-i (apolipoprotein a-i(1-242))]</t>
  </si>
  <si>
    <t>P02647</t>
  </si>
  <si>
    <t>APOA5</t>
  </si>
  <si>
    <t>apolipoprotein a-v (apo-av) (apoa-v) (apolipoprotein a5) (regeneration-associated protein 3)</t>
  </si>
  <si>
    <t>Q6Q788</t>
  </si>
  <si>
    <t>APOB</t>
  </si>
  <si>
    <t>apolipoprotein b-100 (apo b-100) [cleaved into: apolipoprotein b-48 (apo b-48)]</t>
  </si>
  <si>
    <t>P04114</t>
  </si>
  <si>
    <t>APOC2</t>
  </si>
  <si>
    <t>apolipoprotein c-ii (apo-cii) (apoc-ii) (apolipoprotein c2) [cleaved into: proapolipoprotein c-ii (proapoc-ii)]</t>
  </si>
  <si>
    <t>P02655</t>
  </si>
  <si>
    <t>APOC3</t>
  </si>
  <si>
    <t>apolipoprotein c-iii (apo-ciii) (apoc-iii) (apolipoprotein c3)</t>
  </si>
  <si>
    <t>P02656</t>
  </si>
  <si>
    <t>APOE</t>
  </si>
  <si>
    <t>apolipoprotein e (apo-e)</t>
  </si>
  <si>
    <t>P02649</t>
  </si>
  <si>
    <t>APOL1</t>
  </si>
  <si>
    <t>apolipoprotein l1 (apolipoprotein l) (apo-l) (apol) (apolipoprotein l-i) (apol-i)</t>
  </si>
  <si>
    <t>O14791</t>
  </si>
  <si>
    <t>APPL1</t>
  </si>
  <si>
    <t>dcc-interacting protein 13-alpha (dip13-alpha) (adapter protein containing ph domain, ptb domain and leucine zipper motif 1)</t>
  </si>
  <si>
    <t>Q9UKG1</t>
  </si>
  <si>
    <t>APPL2</t>
  </si>
  <si>
    <t>dcc-interacting protein 13-beta (dip13-beta) (adapter protein containing ph domain, ptb domain and leucine zipper motif 2)</t>
  </si>
  <si>
    <t>Q8NEU8</t>
  </si>
  <si>
    <t>AQP5</t>
  </si>
  <si>
    <t>aquaporin-5 (aqp-5)</t>
  </si>
  <si>
    <t>P55064</t>
  </si>
  <si>
    <t>ARF1</t>
  </si>
  <si>
    <t>adp-ribosylation factor 1 (ec 3.6.5.2)</t>
  </si>
  <si>
    <t>P84077</t>
  </si>
  <si>
    <t>ARFGEF1</t>
  </si>
  <si>
    <t>brefeldin a-inhibited guanine nucleotide-exchange protein 1 (brefeldin a-inhibited gep 1) (adp-ribosylation factor guanine nucleotide-exchange factor 1) (p200 arf guanine nucleotide exchange factor) (p200 arf-gep1)</t>
  </si>
  <si>
    <t>Q9Y6D6</t>
  </si>
  <si>
    <t>ARFGEF2</t>
  </si>
  <si>
    <t>brefeldin a-inhibited guanine nucleotide-exchange protein 2 (brefeldin a-inhibited gep 2) (adp-ribosylation factor guanine nucleotide-exchange factor 2)</t>
  </si>
  <si>
    <t>Q9Y6D5</t>
  </si>
  <si>
    <t>ARG1</t>
  </si>
  <si>
    <t>arginase-1 (ec 3.5.3.1) (liver-type arginase) (type i arginase)</t>
  </si>
  <si>
    <t>P05089</t>
  </si>
  <si>
    <t>ARHGAP20</t>
  </si>
  <si>
    <t>rho gtpase-activating protein 20 (rho-type gtpase-activating protein 20)</t>
  </si>
  <si>
    <t>Q9P2F6</t>
  </si>
  <si>
    <t>ARHGAP26</t>
  </si>
  <si>
    <t>rho gtpase-activating protein 26 (gtpase regulator associated with focal adhesion kinase) (graf1) (oligophrenin-1-like protein) (rho-type gtpase-activating protein 26)</t>
  </si>
  <si>
    <t>Q9UNA1</t>
  </si>
  <si>
    <t>ARHGAP31</t>
  </si>
  <si>
    <t>rho gtpase-activating protein 31 (cdc42 gtpase-activating protein)</t>
  </si>
  <si>
    <t>Q2M1Z3</t>
  </si>
  <si>
    <t>ARHGDIA</t>
  </si>
  <si>
    <t>rho gdp-dissociation inhibitor 1 (rho gdi 1) (rho-gdi alpha)</t>
  </si>
  <si>
    <t>P52565</t>
  </si>
  <si>
    <t>ARHGEF1</t>
  </si>
  <si>
    <t>rho guanine nucleotide exchange factor 1 (115 kda guanine nucleotide exchange factor) (p115-rhogef) (p115rhogef) (sub1.5)</t>
  </si>
  <si>
    <t>Q92888</t>
  </si>
  <si>
    <t>ARHGEF2</t>
  </si>
  <si>
    <t>rho guanine nucleotide exchange factor 2 (guanine nucleotide exchange factor h1) (gef-h1) (microtubule-regulated rho-gef) (proliferating cell nucleolar antigen p40)</t>
  </si>
  <si>
    <t>Q92974</t>
  </si>
  <si>
    <t>ARHGEF9</t>
  </si>
  <si>
    <t>rho guanine nucleotide exchange factor 9 (collybistin) (pem-2 homolog) (rac/cdc42 guanine nucleotide exchange factor 9)</t>
  </si>
  <si>
    <t>O43307</t>
  </si>
  <si>
    <t>ARHGEF10</t>
  </si>
  <si>
    <t>rho guanine nucleotide exchange factor 10</t>
  </si>
  <si>
    <t>O15013</t>
  </si>
  <si>
    <t>ARHGEF18</t>
  </si>
  <si>
    <t>rho guanine nucleotide exchange factor 18 (114 kda rho-specific guanine nucleotide exchange factor) (p114-rho-gef) (p114rhogef) (septin-associated rhogef) (sa-rhogef)</t>
  </si>
  <si>
    <t>Q6ZSZ5</t>
  </si>
  <si>
    <t>ARIH1</t>
  </si>
  <si>
    <t>e3 ubiquitin-protein ligase arih1 (ec 2.3.2.31) (h7-ap2) (hhari) (monocyte protein 6) (mop-6) (protein ariadne-1 homolog) (ari-1) (ubch7-binding protein) (ubcm4-interacting protein) (ubiquitin-conjugating enzyme e2-binding protein 1)</t>
  </si>
  <si>
    <t>Q9Y4X5</t>
  </si>
  <si>
    <t>ARL2</t>
  </si>
  <si>
    <t>adp-ribosylation factor-like protein 2</t>
  </si>
  <si>
    <t>P36404</t>
  </si>
  <si>
    <t>ARL3</t>
  </si>
  <si>
    <t>adp-ribosylation factor-like protein 3</t>
  </si>
  <si>
    <t>P36405</t>
  </si>
  <si>
    <t>ARL6</t>
  </si>
  <si>
    <t>adp-ribosylation factor-like protein 6 (bardet-biedl syndrome 3 protein)</t>
  </si>
  <si>
    <t>Q9H0F7</t>
  </si>
  <si>
    <t>ARL6IP1</t>
  </si>
  <si>
    <t>adp-ribosylation factor-like protein 6-interacting protein 1 (arl-6-interacting protein 1) (aip-1) (apoptotic regulator in the membrane of the endoplasmic reticulum)</t>
  </si>
  <si>
    <t>Q15041</t>
  </si>
  <si>
    <t>ARL11</t>
  </si>
  <si>
    <t>adp-ribosylation factor-like protein 11 (adp-ribosylation factor-like tumor suppressor protein 1)</t>
  </si>
  <si>
    <t>Q969Q4</t>
  </si>
  <si>
    <t>ARL13B</t>
  </si>
  <si>
    <t>adp-ribosylation factor-like protein 13b (adp-ribosylation factor-like protein 2-like 1) (arl2-like protein 1)</t>
  </si>
  <si>
    <t>Q3SXY8</t>
  </si>
  <si>
    <t>ARMC5</t>
  </si>
  <si>
    <t>armadillo repeat-containing protein 5</t>
  </si>
  <si>
    <t>Q96C12</t>
  </si>
  <si>
    <t>ARNT2</t>
  </si>
  <si>
    <t>aryl hydrocarbon receptor nuclear translocator 2 (arnt protein 2) (class e basic helix-loop-helix protein 1) (bhlhe1)</t>
  </si>
  <si>
    <t>Q9HBZ2</t>
  </si>
  <si>
    <t>ARR3</t>
  </si>
  <si>
    <t>arrestin-c (cone arrestin) (c-arrestin) (carr) (retinal cone arrestin-3) (x-arrestin)</t>
  </si>
  <si>
    <t>P36575</t>
  </si>
  <si>
    <t>arylsulfatase b (asb) (ec 3.1.6.12) (n-acetylgalactosamine-4-sulfatase) (g4s)</t>
  </si>
  <si>
    <t>P15848</t>
  </si>
  <si>
    <t>ARSG</t>
  </si>
  <si>
    <t>arylsulfatase g (asg) (ec 3.1.6.1) (n-sulfoglucosamine-3-sulfatase) (ec 3.1.6.15)</t>
  </si>
  <si>
    <t>Q96EG1</t>
  </si>
  <si>
    <t>ARSK</t>
  </si>
  <si>
    <t>arylsulfatase k (ask) (ec 3.1.6.1) (glucuronate-2-sulfatase) (ec 3.1.6.18) (telethon sulfatase)</t>
  </si>
  <si>
    <t>Q6UWY0</t>
  </si>
  <si>
    <t>ARSL</t>
  </si>
  <si>
    <t>arylsulfatase l (ec 3.1.6.1) (arylsulfatase e) (ase)</t>
  </si>
  <si>
    <t>P51690</t>
  </si>
  <si>
    <t>ARX</t>
  </si>
  <si>
    <t>homeobox protein arx (aristaless-related homeobox)</t>
  </si>
  <si>
    <t>Q96QS3</t>
  </si>
  <si>
    <t>ASAH1</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</si>
  <si>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</si>
  <si>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Q13510</t>
  </si>
  <si>
    <t>ASB10</t>
  </si>
  <si>
    <t>ankyrin repeat and socs box protein 10 (asb-10)</t>
  </si>
  <si>
    <t>Q8WXI3</t>
  </si>
  <si>
    <t>ASH1L</t>
  </si>
  <si>
    <t>histone-lysine n-methyltransferase ash1l (ec 2.1.1.359) (ec 2.1.1.367) (ash1-like protein) (huash1) (absent small and homeotic disks protein 1 homolog) (lysine n-methyltransferase 2h)</t>
  </si>
  <si>
    <t>Q9NR48</t>
  </si>
  <si>
    <t>ASL</t>
  </si>
  <si>
    <t>argininosuccinate lyase (asal) (ec 4.3.2.1) (arginosuccinase)</t>
  </si>
  <si>
    <t>P04424</t>
  </si>
  <si>
    <t>ASNS</t>
  </si>
  <si>
    <t>asparagine synthetase [glutamine-hydrolyzing] (ec 6.3.5.4) (cell cycle control protein ts11) (glutamine-dependent asparagine synthetase)</t>
  </si>
  <si>
    <t>P08243</t>
  </si>
  <si>
    <t>ASPA</t>
  </si>
  <si>
    <t>aspartoacylase (ec 3.5.1.15) (aminoacylase-2) (acy-2)</t>
  </si>
  <si>
    <t>P45381</t>
  </si>
  <si>
    <t>ASPH</t>
  </si>
  <si>
    <t>aspartyl/asparaginyl beta-hydroxylase (ec 1.14.11.16) (aspartate beta-hydroxylase) (asp beta-hydroxylase) (peptide-aspartate beta-dioxygenase)</t>
  </si>
  <si>
    <t>Q12797</t>
  </si>
  <si>
    <t>ASPM</t>
  </si>
  <si>
    <t>abnormal spindle-like microcephaly-associated protein (abnormal spindle protein homolog) (asp homolog)</t>
  </si>
  <si>
    <t>Q8IZT6</t>
  </si>
  <si>
    <t>ASPN</t>
  </si>
  <si>
    <t>asporin (periodontal ligament-associated protein 1) (plap-1)</t>
  </si>
  <si>
    <t>Q9BXN1</t>
  </si>
  <si>
    <t>ASPSCR1</t>
  </si>
  <si>
    <t>tether containing ubx domain for glut4 (alveolar soft part sarcoma chromosomal region candidate gene 1 protein) (alveolar soft part sarcoma locus) (renal papillary cell carcinoma protein 17) (ubx domain-containing protein 9)</t>
  </si>
  <si>
    <t>Q9BZE9</t>
  </si>
  <si>
    <t>ASS1</t>
  </si>
  <si>
    <t>argininosuccinate synthase (ec 6.3.4.5) (citrulline--aspartate ligase)</t>
  </si>
  <si>
    <t>P00966</t>
  </si>
  <si>
    <t>ASTL</t>
  </si>
  <si>
    <t>astacin-like metalloendopeptidase (ec 3.4.-.-) (oocyte astacin) (ovastacin) (zp2-proteinase)</t>
  </si>
  <si>
    <t>Q6HA08</t>
  </si>
  <si>
    <t>ASXL2</t>
  </si>
  <si>
    <t>putative polycomb group protein asxl2 (additional sex combs-like protein 2)</t>
  </si>
  <si>
    <t>Q76L83</t>
  </si>
  <si>
    <t>ASXL3</t>
  </si>
  <si>
    <t>putative polycomb group protein asxl3 (additional sex combs-like protein 3)</t>
  </si>
  <si>
    <t>Q9C0F0</t>
  </si>
  <si>
    <t>ATAD1</t>
  </si>
  <si>
    <t>outer mitochondrial transmembrane helix translocase (ec 7.4.2.-) (atpase family aaa domain-containing protein 1) (hatad1) (thorase)</t>
  </si>
  <si>
    <t>Q8NBU5</t>
  </si>
  <si>
    <t>ATAD3A</t>
  </si>
  <si>
    <t>atpase family aaa domain-containing protein 3a</t>
  </si>
  <si>
    <t>Q9NVI7</t>
  </si>
  <si>
    <t>ATG7</t>
  </si>
  <si>
    <t>ubiquitin-like modifier-activating enzyme atg7 (atg12-activating enzyme e1 atg7) (autophagy-related protein 7) (apg7-like) (hagp7) (ubiquitin-activating enzyme e1-like protein)</t>
  </si>
  <si>
    <t>O95352</t>
  </si>
  <si>
    <t>ATIC</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</si>
  <si>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</si>
  <si>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P31939</t>
  </si>
  <si>
    <t>ATL1</t>
  </si>
  <si>
    <t>atlastin-1 (ec 3.6.5.-) (brain-specific gtp-binding protein) (gtp-binding protein 3) (gbp-3) (hgbp3) (guanine nucleotide-binding protein 3) (spastic paraplegia 3 protein a)</t>
  </si>
  <si>
    <t>Q8WXF7</t>
  </si>
  <si>
    <t>ATL3</t>
  </si>
  <si>
    <t>atlastin-3 (ec 3.6.5.-)</t>
  </si>
  <si>
    <t>Q6DD88</t>
  </si>
  <si>
    <t>ATN1</t>
  </si>
  <si>
    <t>atrophin-1 (dentatorubral-pallidoluysian atrophy protein)</t>
  </si>
  <si>
    <t>P54259</t>
  </si>
  <si>
    <t>ATOH7</t>
  </si>
  <si>
    <t>transcription factor atoh7 (atonal bhlh transcription factor 7) (class a basic helix-loop-helix protein 13) (bhlha13) (protein atonal homolog 7)</t>
  </si>
  <si>
    <t>Q8N100</t>
  </si>
  <si>
    <t>ATP1A2</t>
  </si>
  <si>
    <t>sodium/potassium-transporting atpase subunit alpha-2 (na(+)/k(+) atpase alpha-2 subunit) (ec 7.2.2.13) (sodium pump subunit alpha-2)</t>
  </si>
  <si>
    <t>P50993</t>
  </si>
  <si>
    <t>ATP1A3</t>
  </si>
  <si>
    <t>sodium/potassium-transporting atpase subunit alpha-3 (na(+)/k(+) atpase alpha-3 subunit) (ec 7.2.2.13) (na(+)/k(+) atpase alpha(iii) subunit) (sodium pump subunit alpha-3)</t>
  </si>
  <si>
    <t>P13637</t>
  </si>
  <si>
    <t>ATP2A1</t>
  </si>
  <si>
    <t>sarcoplasmic/endoplasmic reticulum calcium atpase 1 (serca1) (sr ca(2+)-atpase 1) (ec 7.2.2.10) (calcium pump 1) (calcium-transporting atpase sarcoplasmic reticulum type, fast twitch skeletal muscle isoform) (endoplasmic reticulum class 1/2 ca(2+) atpase)</t>
  </si>
  <si>
    <t>O14983</t>
  </si>
  <si>
    <t>ATP2A2</t>
  </si>
  <si>
    <t>sarcoplasmic/endoplasmic reticulum calcium atpase 2 (serca2) (sr ca(2+)-atpase 2) (ec 7.2.2.10) (calcium pump 2) (calcium-transporting atpase sarcoplasmic reticulum type, slow twitch skeletal muscle isoform) (endoplasmic reticulum class 1/2 ca(2+) atpase)</t>
  </si>
  <si>
    <t>P16615</t>
  </si>
  <si>
    <t>ATP2B1</t>
  </si>
  <si>
    <t>plasma membrane calcium-transporting atpase 1 (ec 7.2.2.10) (plasma membrane calcium atpase isoform 1) (pmca1) (plasma membrane calcium pump isoform 1)</t>
  </si>
  <si>
    <t>P20020</t>
  </si>
  <si>
    <t>ATP2B2</t>
  </si>
  <si>
    <t>plasma membrane calcium-transporting atpase 2 (pmca2) (ec 7.2.2.10) (plasma membrane calcium atpase isoform 2) (plasma membrane calcium pump isoform 2)</t>
  </si>
  <si>
    <t>Q01814</t>
  </si>
  <si>
    <t>ATP2B3</t>
  </si>
  <si>
    <t>plasma membrane calcium-transporting atpase 3 (pmca3) (ec 7.2.2.10) (plasma membrane calcium atpase isoform 3) (plasma membrane calcium pump isoform 3)</t>
  </si>
  <si>
    <t>Q16720</t>
  </si>
  <si>
    <t>ATP2C1</t>
  </si>
  <si>
    <t>calcium-transporting atpase type 2c member 1 (atpase 2c1) (ec 7.2.2.10) (atp-dependent ca(2+) pump pmr1) (ca(2+)/mn(2+)-atpase 2c1) (secretory pathway ca(2+)-transporting atpase type 1) (spca1)</t>
  </si>
  <si>
    <t>P98194</t>
  </si>
  <si>
    <t>ATP6V1B1</t>
  </si>
  <si>
    <t>v-type proton atpase subunit b, kidney isoform (v-atpase subunit b 1) (endomembrane proton pump 58 kda subunit) (vacuolar proton pump subunit b 1)</t>
  </si>
  <si>
    <t>P15313</t>
  </si>
  <si>
    <t>ATP6V1B2</t>
  </si>
  <si>
    <t>v-type proton atpase subunit b, brain isoform (v-atpase subunit b 2) (endomembrane proton pump 58 kda subunit) (ho57) (vacuolar proton pump subunit b 2)</t>
  </si>
  <si>
    <t>P21281</t>
  </si>
  <si>
    <t>ATP6V1E1</t>
  </si>
  <si>
    <t>v-type proton atpase subunit e 1 (v-atpase subunit e 1) (v-atpase 31 kda subunit) (p31) (vacuolar proton pump subunit e 1)</t>
  </si>
  <si>
    <t>P36543</t>
  </si>
  <si>
    <t>ATP7A</t>
  </si>
  <si>
    <t>copper-transporting atpase 1 (ec 7.2.2.8) (copper pump 1) (menkes disease-associated protein)</t>
  </si>
  <si>
    <t>Q04656</t>
  </si>
  <si>
    <t>ATP7B</t>
  </si>
  <si>
    <t>copper-transporting atpase 2 (ec 7.2.2.8) (copper pump 2) (wilson disease-associated protein) [cleaved into: wnd/140 kda]</t>
  </si>
  <si>
    <t>P35670</t>
  </si>
  <si>
    <t>ATP13A2</t>
  </si>
  <si>
    <t>polyamine-transporting atpase 13a2 (ec 7.6.2.-)</t>
  </si>
  <si>
    <t>Q9NQ11</t>
  </si>
  <si>
    <t>ATP13A3</t>
  </si>
  <si>
    <t>polyamine-transporting atpase 13a3 (atpase family homolog up-regulated in senescence cells 1) (putrescine transporting atpase) (ec 7.6.2.16)</t>
  </si>
  <si>
    <t>Q9H7F0</t>
  </si>
  <si>
    <t>ATRX</t>
  </si>
  <si>
    <t>transcriptional regulator atrx (ec 3.6.4.12) (atp-dependent helicase atrx) (x-linked helicase ii) (x-linked nuclear protein) (xnp) (znf-hx)</t>
  </si>
  <si>
    <t>P46100</t>
  </si>
  <si>
    <t>ATXN1</t>
  </si>
  <si>
    <t>ataxin-1 (spinocerebellar ataxia type 1 protein)</t>
  </si>
  <si>
    <t>P54253</t>
  </si>
  <si>
    <t>ATXN3</t>
  </si>
  <si>
    <t>ataxin-3 (ec 3.4.19.12) (machado-joseph disease protein 1) (spinocerebellar ataxia type 3 protein)</t>
  </si>
  <si>
    <t>P54252</t>
  </si>
  <si>
    <t>ATXN7L3B</t>
  </si>
  <si>
    <t>ataxin-7-like protein 3b</t>
  </si>
  <si>
    <t>Q96GX2</t>
  </si>
  <si>
    <t>ATXN10</t>
  </si>
  <si>
    <t>ataxin-10 (brain protein e46 homolog) (spinocerebellar ataxia type 10 protein)</t>
  </si>
  <si>
    <t>Q9UBB4</t>
  </si>
  <si>
    <t>AUH</t>
  </si>
  <si>
    <t>methylglutaconyl-coa hydratase, mitochondrial (3-mg-coa hydratase) (ec 4.2.1.18) (au-specific rna-binding enoyl-coa hydratase) (au-binding protein/enoyl-coa hydratase) (itaconyl-coa hydratase) (ec 4.2.1.56)</t>
  </si>
  <si>
    <t>Q13825</t>
  </si>
  <si>
    <t>AVIL</t>
  </si>
  <si>
    <t>advillin (p92)</t>
  </si>
  <si>
    <t>O75366</t>
  </si>
  <si>
    <t>AVP</t>
  </si>
  <si>
    <t>vasopressin-neurophysin 2-copeptin (avp-npii) [cleaved into: arg-vasopressin (arginine-vasopressin); neurophysin 2 (neurophysin-ii); copeptin]</t>
  </si>
  <si>
    <t>P01185</t>
  </si>
  <si>
    <t>B2M</t>
  </si>
  <si>
    <t>beta-2-microglobulin [cleaved into: beta-2-microglobulin form pi 5.3]</t>
  </si>
  <si>
    <t>P61769</t>
  </si>
  <si>
    <t>B3GAT3</t>
  </si>
  <si>
    <t>galactosylgalactosylxylosylprotein 3-beta-glucuronosyltransferase 3 (ec 2.4.1.135) (beta-1,3-glucuronyltransferase 3) (glucuronosyltransferase i) (glcat-i) (udp-glcua:gal beta-1,3-gal-r glucuronyltransferase) (glcuat-i)</t>
  </si>
  <si>
    <t>O94766</t>
  </si>
  <si>
    <t>B3GLCT</t>
  </si>
  <si>
    <t>beta-1,3-glucosyltransferase (beta3glc-t) (ec 2.4.1.-) (beta 3-glucosyltransferase) (beta-3-glycosyltransferase-like)</t>
  </si>
  <si>
    <t>Q6Y288</t>
  </si>
  <si>
    <t>beta-1,4 n-acetylgalactosaminyltransferase 1 (ec 2.4.1.92) ((n-acetylneuraminyl)-galactosylglucosylceramide) (gm2/gd2 synthase) (galnac-t)</t>
  </si>
  <si>
    <t>Q00973</t>
  </si>
  <si>
    <t>B4GALNT2</t>
  </si>
  <si>
    <t>beta-1,4 n-acetylgalactosaminyltransferase 2 (ec 2.4.1.-) (sd(a) beta-1,4-galnac transferase) (udp-galnac:neu5aca2-3galb-r b1,4-n-acetylgalactosaminyltransferase)</t>
  </si>
  <si>
    <t>Q8NHY0</t>
  </si>
  <si>
    <t>B4GALT1</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</si>
  <si>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</si>
  <si>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P15291</t>
  </si>
  <si>
    <t>B4GAT1</t>
  </si>
  <si>
    <t>beta-1,4-glucuronyltransferase 1 (ec 2.4.1.-) (i-beta-1,3-n-acetylglucosaminyltransferase) (ignt) (n-acetyllactosaminide beta-1,3-n-acetylglucosaminyltransferase) (poly-n-acetyllactosamine extension enzyme) (udp-glcnac:betagal beta-1,3-n-acetylglucosaminyltransferase 1)</t>
  </si>
  <si>
    <t>O43505</t>
  </si>
  <si>
    <t>BAAT</t>
  </si>
  <si>
    <t>bile acid-coa:amino acid n-acyltransferase (bacat) (bat) (ec 2.3.1.65) (bile acid-coa thioesterase) (choloyl-coa hydrolase) (ec 3.1.2.27) (glycine n-choloyltransferase) (long-chain fatty-acyl-coa hydrolase) (ec 3.1.2.2)</t>
  </si>
  <si>
    <t>Q14032</t>
  </si>
  <si>
    <t>BAG3</t>
  </si>
  <si>
    <t>bag family molecular chaperone regulator 3 (bag-3) (bcl-2-associated athanogene 3) (bcl-2-binding protein bis) (docking protein cair-1)</t>
  </si>
  <si>
    <t>O95817</t>
  </si>
  <si>
    <t>BAG5</t>
  </si>
  <si>
    <t>bag family molecular chaperone regulator 5 (bag-5) (bcl-2-associated athanogene 5)</t>
  </si>
  <si>
    <t>Q9UL15</t>
  </si>
  <si>
    <t>BANF1</t>
  </si>
  <si>
    <t>barrier-to-autointegration factor (breakpoint cluster region protein 1) [cleaved into: barrier-to-autointegration factor, n-terminally processed]</t>
  </si>
  <si>
    <t>O75531</t>
  </si>
  <si>
    <t>BANK1</t>
  </si>
  <si>
    <t>b-cell scaffold protein with ankyrin repeats</t>
  </si>
  <si>
    <t>Q8NDB2</t>
  </si>
  <si>
    <t>BAZ1B</t>
  </si>
  <si>
    <t>tyrosine-protein kinase baz1b (ec 2.7.10.2) (bromodomain adjacent to zinc finger domain protein 1b) (williams syndrome transcription factor) (williams-beuren syndrome chromosomal region 10 protein) (williams-beuren syndrome chromosomal region 9 protein) (hwalp2)</t>
  </si>
  <si>
    <t>Q9UIG0</t>
  </si>
  <si>
    <t>BBS10</t>
  </si>
  <si>
    <t>bardet-biedl syndrome 10 protein</t>
  </si>
  <si>
    <t>Q8TAM1</t>
  </si>
  <si>
    <t>BBS12</t>
  </si>
  <si>
    <t>bardet-biedl syndrome 12 protein</t>
  </si>
  <si>
    <t>Q6ZW61</t>
  </si>
  <si>
    <t>BCAP31</t>
  </si>
  <si>
    <t>b-cell receptor-associated protein 31 (bcr-associated protein 31) (bap31) (6c6-ag tumor-associated antigen) (protein cdm) (p28)</t>
  </si>
  <si>
    <t>P51572</t>
  </si>
  <si>
    <t>BCAS3</t>
  </si>
  <si>
    <t>bcas3 microtubule associated cell migration factor (breast carcinoma-amplified sequence 3) (gaob1)</t>
  </si>
  <si>
    <t>Q9H6U6</t>
  </si>
  <si>
    <t>BCAS4</t>
  </si>
  <si>
    <t>breast carcinoma-amplified sequence 4</t>
  </si>
  <si>
    <t>Q8TDM0</t>
  </si>
  <si>
    <t>BCAT2</t>
  </si>
  <si>
    <t>branched-chain-amino-acid aminotransferase, mitochondrial (bcat(m)) (ec 2.6.1.42) (placental protein 18) (pp18)</t>
  </si>
  <si>
    <t>O15382</t>
  </si>
  <si>
    <t>BCKDK</t>
  </si>
  <si>
    <t>branched-chain alpha-ketoacid dehydrogenase kinase (bckdh kinase) (bckdhkin) (bdk) (ec 2.7.11.1) ([3-methyl-2-oxobutanoate dehydrogenase [lipoamide]] kinase, mitochondrial) (ec 2.7.11.4)</t>
  </si>
  <si>
    <t>O14874</t>
  </si>
  <si>
    <t>BCL3</t>
  </si>
  <si>
    <t>b-cell lymphoma 3 protein (bcl-3) (proto-oncogene bcl3)</t>
  </si>
  <si>
    <t>P20749</t>
  </si>
  <si>
    <t>BCL6</t>
  </si>
  <si>
    <t>b-cell lymphoma 6 protein (bcl-6) (b-cell lymphoma 5 protein) (bcl-5) (protein laz-3) (zinc finger and btb domain-containing protein 27) (zinc finger protein 51)</t>
  </si>
  <si>
    <t>P41182</t>
  </si>
  <si>
    <t>BCL9</t>
  </si>
  <si>
    <t>b-cell cll/lymphoma 9 protein (b-cell lymphoma 9 protein) (bcl-9) (protein legless homolog)</t>
  </si>
  <si>
    <t>O00512</t>
  </si>
  <si>
    <t>BCL10</t>
  </si>
  <si>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</si>
  <si>
    <t>O95999</t>
  </si>
  <si>
    <t>BCL11A</t>
  </si>
  <si>
    <t>b-cell lymphoma/leukemia 11a (bcl-11a) (b-cell cll/lymphoma 11a) (coup-tf-interacting protein 1) (ecotropic viral integration site 9 protein homolog) (evi-9) (zinc finger protein 856)</t>
  </si>
  <si>
    <t>Q9H165</t>
  </si>
  <si>
    <t>BCL11B</t>
  </si>
  <si>
    <t>b-cell lymphoma/leukemia 11b (bcl-11b) (b-cell cll/lymphoma 11b) (coup-tf-interacting protein 2) (radiation-induced tumor suppressor gene 1 protein) (hrit1)</t>
  </si>
  <si>
    <t>Q9C0K0</t>
  </si>
  <si>
    <t>BCO1</t>
  </si>
  <si>
    <t>beta,beta-carotene 15,15'-dioxygenase (ec 1.13.11.63) (beta-carotene dioxygenase 1) (beta-carotene oxygenase 1)</t>
  </si>
  <si>
    <t>Q9HAY6</t>
  </si>
  <si>
    <t>BCS1L</t>
  </si>
  <si>
    <t>mitochondrial chaperone bcs1 (h-bcs1) (bcs1-like protein)</t>
  </si>
  <si>
    <t>Q9Y276</t>
  </si>
  <si>
    <t>BEAN1</t>
  </si>
  <si>
    <t>protein bean1 (brain-expressed protein associating with nedd4 homolog) (bean)</t>
  </si>
  <si>
    <t>Q3B7T3</t>
  </si>
  <si>
    <t>BEST1</t>
  </si>
  <si>
    <t>bestrophin-1 (tu15b) (vitelliform macular dystrophy protein 2)</t>
  </si>
  <si>
    <t>O76090</t>
  </si>
  <si>
    <t>BFSP1</t>
  </si>
  <si>
    <t>filensin (beaded filament structural protein 1) (lens fiber cell beaded-filament structural protein cp 115) (cp115) (lens intermediate filament-like heavy) (lifl-h) [cleaved into: filensin c-terminal fragment; filensin n-terminal fragment]</t>
  </si>
  <si>
    <t>Q12934</t>
  </si>
  <si>
    <t>BFSP2</t>
  </si>
  <si>
    <t>phakinin (49 kda cytoskeletal protein) (beaded filament structural protein 2) (lens fiber cell beaded filament protein cp 47) (cp47) (lens fiber cell beaded filament protein cp 49) (cp49) (lens intermediate filament-like light) (lifl-l)</t>
  </si>
  <si>
    <t>Q13515</t>
  </si>
  <si>
    <t>biglycan (bone/cartilage proteoglycan i) (pg-s1)</t>
  </si>
  <si>
    <t>P21810</t>
  </si>
  <si>
    <t>BICC1</t>
  </si>
  <si>
    <t>protein bicaudal c homolog 1 (bic-c)</t>
  </si>
  <si>
    <t>Q9H694</t>
  </si>
  <si>
    <t>BICD2</t>
  </si>
  <si>
    <t>protein bicaudal d homolog 2 (bic-d 2)</t>
  </si>
  <si>
    <t>Q8TD16</t>
  </si>
  <si>
    <t>BIRC3</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</si>
  <si>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</si>
  <si>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Q13489</t>
  </si>
  <si>
    <t>BLNK</t>
  </si>
  <si>
    <t>b-cell linker protein (b-cell adapter containing a sh2 domain protein) (b-cell adapter containing a src homology 2 domain protein) (cytoplasmic adapter protein) (src homology 2 domain-containing leukocyte protein of 65 kda) (slp-65)</t>
  </si>
  <si>
    <t>Q8WV28</t>
  </si>
  <si>
    <t>biliverdin reductase a (bvr a) (ec 1.3.1.24) (biliverdin-ix alpha-reductase)</t>
  </si>
  <si>
    <t>P53004</t>
  </si>
  <si>
    <t>BMP1</t>
  </si>
  <si>
    <t>bone morphogenetic protein 1 (bmp-1) (ec 3.4.24.19) (mammalian tolloid protein) (mtld) (procollagen c-proteinase) (pcp)</t>
  </si>
  <si>
    <t>P13497</t>
  </si>
  <si>
    <t>BMP2</t>
  </si>
  <si>
    <t>bone morphogenetic protein 2 (bmp-2) (bone morphogenetic protein 2a) (bmp-2a)</t>
  </si>
  <si>
    <t>P12643</t>
  </si>
  <si>
    <t>BMP4</t>
  </si>
  <si>
    <t>bone morphogenetic protein 4 (bmp-4) (bone morphogenetic protein 2b) (bmp-2b)</t>
  </si>
  <si>
    <t>P12644</t>
  </si>
  <si>
    <t>BMP15</t>
  </si>
  <si>
    <t>bone morphogenetic protein 15 (bmp-15) (growth/differentiation factor 9b) (gdf-9b)</t>
  </si>
  <si>
    <t>O95972</t>
  </si>
  <si>
    <t>BMPER</t>
  </si>
  <si>
    <t>bmp-binding endothelial regulator protein (bone morphogenetic protein-binding endothelial cell precursor-derived regulator) (protein crossveinless-2) (hcv2)</t>
  </si>
  <si>
    <t>Q8N8U9</t>
  </si>
  <si>
    <t>BNC2</t>
  </si>
  <si>
    <t>zinc finger protein basonuclin-2</t>
  </si>
  <si>
    <t>Q6ZN30</t>
  </si>
  <si>
    <t>BPGM</t>
  </si>
  <si>
    <t>bisphosphoglycerate mutase (bpgm) (ec 5.4.2.4) (2,3-bisphosphoglycerate mutase, erythrocyte) (2,3-bisphosphoglycerate synthase) (ec 5.4.2.11) (2,3-diphosphoglycerate mutase) (dpgm) (bpg-dependent pgam)</t>
  </si>
  <si>
    <t>P07738</t>
  </si>
  <si>
    <t>BRAT1</t>
  </si>
  <si>
    <t>brca1-associated atm activator 1 (brca1-associated protein required for atm activation protein 1)</t>
  </si>
  <si>
    <t>Q6PJG6</t>
  </si>
  <si>
    <t>BRWD3</t>
  </si>
  <si>
    <t>bromodomain and wd repeat-containing protein 3</t>
  </si>
  <si>
    <t>Q6RI45</t>
  </si>
  <si>
    <t>BSCL2</t>
  </si>
  <si>
    <t>seipin (bernardinelli-seip congenital lipodystrophy type 2 protein)</t>
  </si>
  <si>
    <t>Q96G97</t>
  </si>
  <si>
    <t>BSND</t>
  </si>
  <si>
    <t>barttin</t>
  </si>
  <si>
    <t>Q8WZ55</t>
  </si>
  <si>
    <t>BTBD9</t>
  </si>
  <si>
    <t>btb/poz domain-containing protein 9</t>
  </si>
  <si>
    <t>Q96Q07</t>
  </si>
  <si>
    <t>BTD</t>
  </si>
  <si>
    <t>biotinidase (biotinase) (ec 3.5.1.12)</t>
  </si>
  <si>
    <t>P43251</t>
  </si>
  <si>
    <t>BTG1</t>
  </si>
  <si>
    <t>protein btg1 (b-cell translocation gene 1 protein)</t>
  </si>
  <si>
    <t>P62324</t>
  </si>
  <si>
    <t>BTG4</t>
  </si>
  <si>
    <t>protein btg4 (btg family member 4) (protein pc3b)</t>
  </si>
  <si>
    <t>Q9NY30</t>
  </si>
  <si>
    <t>BVES</t>
  </si>
  <si>
    <t>blood vessel epicardial substance (hbves) (popeye domain-containing protein 1) (popeye protein 1)</t>
  </si>
  <si>
    <t>Q8NE79</t>
  </si>
  <si>
    <t>C1QBP</t>
  </si>
  <si>
    <t>complement component 1 q subcomponent-binding protein, mitochondrial (asf/sf2-associated protein p32) (glycoprotein gc1qbp) (c1qbp) (hyaluronan-binding protein 1) (mitochondrial matrix protein p32) (gc1q-r protein) (p33) (sf2ap32)</t>
  </si>
  <si>
    <t>Q07021</t>
  </si>
  <si>
    <t>C2CD3</t>
  </si>
  <si>
    <t>c2 domain-containing protein 3</t>
  </si>
  <si>
    <t>Q4AC94</t>
  </si>
  <si>
    <t>C4B</t>
  </si>
  <si>
    <t>complement c4b (chido blood group)</t>
  </si>
  <si>
    <t>A0A3B3ISA6</t>
  </si>
  <si>
    <t>C12orf57</t>
  </si>
  <si>
    <t>protein c10</t>
  </si>
  <si>
    <t>Q99622</t>
  </si>
  <si>
    <t>C14orf39</t>
  </si>
  <si>
    <t>chromosome 14 open reading frame 39</t>
  </si>
  <si>
    <t>H0YJQ0</t>
  </si>
  <si>
    <t>CA8</t>
  </si>
  <si>
    <t>carbonic anhydrase-related protein (carp) (carbonic anhydrase viii) (ca-viii)</t>
  </si>
  <si>
    <t>P35219</t>
  </si>
  <si>
    <t>calcium-binding protein 2 (cabp2)</t>
  </si>
  <si>
    <t>Q9NPB3</t>
  </si>
  <si>
    <t>CABP4</t>
  </si>
  <si>
    <t>calcium-binding protein 4 (cabp4)</t>
  </si>
  <si>
    <t>P57796</t>
  </si>
  <si>
    <t>CACNA1A</t>
  </si>
  <si>
    <t>voltage-dependent p/q-type calcium channel subunit alpha-1a (brain calcium channel i) (bi) (calcium channel, l type, alpha-1 polypeptide isoform 4) (voltage-gated calcium channel subunit alpha cav2.1)</t>
  </si>
  <si>
    <t>O00555</t>
  </si>
  <si>
    <t>CACNA1E</t>
  </si>
  <si>
    <t>voltage-dependent r-type calcium channel subunit alpha-1e (brain calcium channel ii) (bii) (calcium channel, l type, alpha-1 polypeptide, isoform 6) (voltage-gated calcium channel subunit alpha cav2.3)</t>
  </si>
  <si>
    <t>Q15878</t>
  </si>
  <si>
    <t>CACNA1F</t>
  </si>
  <si>
    <t>voltage-dependent l-type calcium channel subunit alpha-1f (voltage-gated calcium channel subunit alpha cav1.4)</t>
  </si>
  <si>
    <t>O60840</t>
  </si>
  <si>
    <t>CACNA1G</t>
  </si>
  <si>
    <t>voltage-dependent t-type calcium channel subunit alpha-1g (cav3.1c) (nbr13) (voltage-gated calcium channel subunit alpha cav3.1)</t>
  </si>
  <si>
    <t>O43497</t>
  </si>
  <si>
    <t>CACNA1H</t>
  </si>
  <si>
    <t>voltage-dependent t-type calcium channel subunit alpha-1h (low-voltage-activated calcium channel alpha1 3.2 subunit) (voltage-gated calcium channel subunit alpha cav3.2)</t>
  </si>
  <si>
    <t>O95180</t>
  </si>
  <si>
    <t>CACNG2</t>
  </si>
  <si>
    <t>voltage-dependent calcium channel gamma-2 subunit (neuronal voltage-gated calcium channel gamma-2 subunit) (transmembrane ampar regulatory protein gamma-2) (tarp gamma-2)</t>
  </si>
  <si>
    <t>Q9Y698</t>
  </si>
  <si>
    <t>CALM1</t>
  </si>
  <si>
    <t>calmodulin-1</t>
  </si>
  <si>
    <t>P0DP23</t>
  </si>
  <si>
    <t>CALM2</t>
  </si>
  <si>
    <t>calmodulin-2</t>
  </si>
  <si>
    <t>P0DP24</t>
  </si>
  <si>
    <t>CALR</t>
  </si>
  <si>
    <t>calreticulin (crp55) (calregulin) (endoplasmic reticulum resident protein 60) (erp60) (hacbp) (grp60)</t>
  </si>
  <si>
    <t>P27797</t>
  </si>
  <si>
    <t>CAMKMT</t>
  </si>
  <si>
    <t>calmodulin-lysine n-methyltransferase (clnmt) (cam kmt) (ec 2.1.1.60)</t>
  </si>
  <si>
    <t>Q7Z624</t>
  </si>
  <si>
    <t>CAMTA1</t>
  </si>
  <si>
    <t>calmodulin-binding transcription activator 1</t>
  </si>
  <si>
    <t>Q9Y6Y1</t>
  </si>
  <si>
    <t>CANT1</t>
  </si>
  <si>
    <t>soluble calcium-activated nucleotidase 1 (scan-1) (ec 3.6.1.6) (apyrase homolog) (putative mapk-activating protein pm09) (putative nf-kappa-b-activating protein 107)</t>
  </si>
  <si>
    <t>Q8WVQ1</t>
  </si>
  <si>
    <t>CAPN3</t>
  </si>
  <si>
    <t>calpain-3 (ec 3.4.22.54) (calcium-activated neutral proteinase 3) (canp 3) (calpain l3) (calpain p94) (muscle-specific calcium-activated neutral protease 3) (new calpain 1) (ncl-1)</t>
  </si>
  <si>
    <t>P20807</t>
  </si>
  <si>
    <t>CAPN10</t>
  </si>
  <si>
    <t>calpain-10 (ec 3.4.22.-) (calcium-activated neutral proteinase 10) (canp 10)</t>
  </si>
  <si>
    <t>Q9HC96</t>
  </si>
  <si>
    <t>CARD8</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</si>
  <si>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</si>
  <si>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Q9Y2G2</t>
  </si>
  <si>
    <t>CARD9</t>
  </si>
  <si>
    <t>caspase recruitment domain-containing protein 9 (hcard9)</t>
  </si>
  <si>
    <t>Q9H257</t>
  </si>
  <si>
    <t>CARD10</t>
  </si>
  <si>
    <t>caspase recruitment domain-containing protein 10 (card-containing maguk protein 3) (carma 3)</t>
  </si>
  <si>
    <t>Q9BWT7</t>
  </si>
  <si>
    <t>CARD11</t>
  </si>
  <si>
    <t>caspase recruitment domain-containing protein 11 (card-containing maguk protein 1) (carma 1)</t>
  </si>
  <si>
    <t>Q9BXL7</t>
  </si>
  <si>
    <t>CARD14</t>
  </si>
  <si>
    <t>caspase recruitment domain-containing protein 14 (card-containing maguk protein 2) (carma 2)</t>
  </si>
  <si>
    <t>Q9BXL6</t>
  </si>
  <si>
    <t>CARMIL2</t>
  </si>
  <si>
    <t>capping protein, arp2/3 and myosin-i linker protein 2 (capping protein regulator and myosin 1 linker 2) (f-actin-uncapping protein rltpr) (leucine-rich repeat-containing protein 16c) (rgd, leucine-rich repeat, tropomodulin and proline-rich-containing protein)</t>
  </si>
  <si>
    <t>Q6F5E8</t>
  </si>
  <si>
    <t>CARS2</t>
  </si>
  <si>
    <t>probable cysteine--trna ligase, mitochondrial (ec 6.1.1.16) (cysteinyl-trna synthetase) (cysrs)</t>
  </si>
  <si>
    <t>Q9HA77</t>
  </si>
  <si>
    <t>CASP10</t>
  </si>
  <si>
    <t>caspase-10 (casp-10) (ec 3.4.22.63) (apoptotic protease mch-4) (fas-associated death domain protein interleukin-1b-converting enzyme 2) (flice2) (ice-like apoptotic protease 4) [cleaved into: caspase-10 subunit p23/17; caspase-10 subunit p12]</t>
  </si>
  <si>
    <t>Q92851</t>
  </si>
  <si>
    <t>CASP14</t>
  </si>
  <si>
    <t>caspase-14 (casp-14) (ec 3.4.22.-) [cleaved into: caspase-14 subunit p17, mature form; caspase-14 subunit p10, mature form; caspase-14 subunit p20, intermediate form; caspase-14 subunit p8, intermediate form]</t>
  </si>
  <si>
    <t>P31944</t>
  </si>
  <si>
    <t>CASQ1</t>
  </si>
  <si>
    <t>calsequestrin-1 (calmitine) (calsequestrin, skeletal muscle isoform)</t>
  </si>
  <si>
    <t>P31415</t>
  </si>
  <si>
    <t>CASQ2</t>
  </si>
  <si>
    <t>calsequestrin-2 (calsequestrin, cardiac muscle isoform)</t>
  </si>
  <si>
    <t>O14958</t>
  </si>
  <si>
    <t>CASR</t>
  </si>
  <si>
    <t>extracellular calcium-sensing receptor (car) (casr) (hcasr) (parathyroid cell calcium-sensing receptor 1) (pcar1)</t>
  </si>
  <si>
    <t>P41180</t>
  </si>
  <si>
    <t>CAST</t>
  </si>
  <si>
    <t>calpastatin (calpain inhibitor) (sperm bs-17 component)</t>
  </si>
  <si>
    <t>P20810</t>
  </si>
  <si>
    <t>CATSPER1</t>
  </si>
  <si>
    <t>cation channel sperm-associated protein 1 (catsper1) (hcatsper)</t>
  </si>
  <si>
    <t>Q8NEC5</t>
  </si>
  <si>
    <t>CATSPER2</t>
  </si>
  <si>
    <t>cation channel sperm-associated protein 2 (catsper2)</t>
  </si>
  <si>
    <t>Q96P56</t>
  </si>
  <si>
    <t>CAV1</t>
  </si>
  <si>
    <t>caveolin-1</t>
  </si>
  <si>
    <t>Q03135</t>
  </si>
  <si>
    <t>CAV3</t>
  </si>
  <si>
    <t>caveolin-3 (m-caveolin)</t>
  </si>
  <si>
    <t>P56539</t>
  </si>
  <si>
    <t>CAVIN1</t>
  </si>
  <si>
    <t>caveolae-associated protein 1 (cavin-1) (polymerase i and transcript release factor)</t>
  </si>
  <si>
    <t>Q6NZI2</t>
  </si>
  <si>
    <t>CBFA2T2</t>
  </si>
  <si>
    <t>protein cbfa2t2 (eto homologous on chromosome 20) (mtg8-like protein) (mtg8-related protein 1) (myeloid translocation-related protein 1) (p85)</t>
  </si>
  <si>
    <t>O43439</t>
  </si>
  <si>
    <t>CBFA2T3</t>
  </si>
  <si>
    <t>protein cbfa2t3 (mtg8-related protein 2) (myeloid translocation gene on chromosome 16 protein) (hmtg16) (zinc finger mynd domain-containing protein 4)</t>
  </si>
  <si>
    <t>O75081</t>
  </si>
  <si>
    <t>CBFB</t>
  </si>
  <si>
    <t>core-binding factor subunit beta (cbf-beta) (polyomavirus enhancer-binding protein 2 beta subunit) (pea2-beta) (pebp2-beta) (sl3-3 enhancer factor 1 subunit beta) (sl3/akv core-binding factor beta subunit)</t>
  </si>
  <si>
    <t>Q13951</t>
  </si>
  <si>
    <t>CBL</t>
  </si>
  <si>
    <t>e3 ubiquitin-protein ligase cbl (ec 2.3.2.27) (casitas b-lineage lymphoma proto-oncogene) (proto-oncogene c-cbl) (ring finger protein 55) (ring-type e3 ubiquitin transferase cbl) (signal transduction protein cbl)</t>
  </si>
  <si>
    <t>P22681</t>
  </si>
  <si>
    <t>CBLIF</t>
  </si>
  <si>
    <t>cobalamin binding intrinsic factor (gastric intrinsic factor) (intrinsic factor) (if) (inf)</t>
  </si>
  <si>
    <t>P27352</t>
  </si>
  <si>
    <t>CBS</t>
  </si>
  <si>
    <t>cystathionine beta-synthase (ec 4.2.1.22) (beta-thionase) (serine sulfhydrase)</t>
  </si>
  <si>
    <t>P35520</t>
  </si>
  <si>
    <t>CC2D1A</t>
  </si>
  <si>
    <t>coiled-coil and c2 domain-containing protein 1a (akt kinase-interacting protein 1) (five prime repressor element under dual repression-binding protein 1) (fre under dual repression-binding protein 1) (freud-1) (putative nf-kappa-b-activating protein 023n)</t>
  </si>
  <si>
    <t>Q6P1N0</t>
  </si>
  <si>
    <t>CCBE1</t>
  </si>
  <si>
    <t>collagen and calcium-binding egf domain-containing protein 1 (full of fluid protein homolog)</t>
  </si>
  <si>
    <t>Q6UXH8</t>
  </si>
  <si>
    <t>CCDC6</t>
  </si>
  <si>
    <t>coiled-coil domain-containing protein 6 (papillary thyroid carcinoma-encoded protein) (protein h4)</t>
  </si>
  <si>
    <t>Q16204</t>
  </si>
  <si>
    <t>CCDC40</t>
  </si>
  <si>
    <t>coiled-coil domain-containing protein 40</t>
  </si>
  <si>
    <t>Q4G0X9</t>
  </si>
  <si>
    <t>CCDC50</t>
  </si>
  <si>
    <t>coiled-coil domain-containing protein 50 (protein ymer)</t>
  </si>
  <si>
    <t>Q8IVM0</t>
  </si>
  <si>
    <t>CCDC62</t>
  </si>
  <si>
    <t>coiled-coil domain-containing protein 62 (protein tsp-ny) (protein aaa)</t>
  </si>
  <si>
    <t>Q6P9F0</t>
  </si>
  <si>
    <t>CCDC88A</t>
  </si>
  <si>
    <t>girdin (akt phosphorylation enhancer) (ape) (coiled-coil domain-containing protein 88a) (g alpha-interacting vesicle-associated protein) (giv) (girders of actin filament) (hook-related protein 1) (hkrp1)</t>
  </si>
  <si>
    <t>Q3V6T2</t>
  </si>
  <si>
    <t>CCDC88C</t>
  </si>
  <si>
    <t>protein daple (coiled-coil domain-containing protein 88c) (dvl-associating protein with a high frequency of leucine residues) (hdaple) (hook-related protein 2) (hkrp2)</t>
  </si>
  <si>
    <t>Q9P219</t>
  </si>
  <si>
    <t>CCDC103</t>
  </si>
  <si>
    <t>coiled-coil domain-containing protein 103</t>
  </si>
  <si>
    <t>Q8IW40</t>
  </si>
  <si>
    <t>CCDC174</t>
  </si>
  <si>
    <t>coiled-coil domain-containing protein 174</t>
  </si>
  <si>
    <t>Q6PII3</t>
  </si>
  <si>
    <t>CCNO</t>
  </si>
  <si>
    <t>cyclin-o</t>
  </si>
  <si>
    <t>P22674</t>
  </si>
  <si>
    <t>CD2AP</t>
  </si>
  <si>
    <t>cd2-associated protein (adapter protein cms) (cas ligand with multiple sh3 domains)</t>
  </si>
  <si>
    <t>Q9Y5K6</t>
  </si>
  <si>
    <t>CD4</t>
  </si>
  <si>
    <t>t-cell surface glycoprotein cd4 (t-cell surface antigen t4/leu-3) (cd antigen cd4)</t>
  </si>
  <si>
    <t>P01730</t>
  </si>
  <si>
    <t>CD19</t>
  </si>
  <si>
    <t>b-lymphocyte antigen cd19 (b-lymphocyte surface antigen b4) (differentiation antigen cd19) (t-cell surface antigen leu-12) (cd antigen cd19)</t>
  </si>
  <si>
    <t>P15391</t>
  </si>
  <si>
    <t>CD24</t>
  </si>
  <si>
    <t>signal transducer cd24 (small cell lung carcinoma cluster 4 antigen) (cd antigen cd24)</t>
  </si>
  <si>
    <t>P25063</t>
  </si>
  <si>
    <t>CD27</t>
  </si>
  <si>
    <t>cd27 antigen (cd27l receptor) (t-cell activation antigen cd27) (t14) (tumor necrosis factor receptor superfamily member 7) (cd antigen cd27)</t>
  </si>
  <si>
    <t>P26842</t>
  </si>
  <si>
    <t>CD36</t>
  </si>
  <si>
    <t>platelet glycoprotein 4 (fatty acid translocase) (fat) (glycoprotein iiib) (gpiiib) (leukocyte differentiation antigen cd36) (pas iv) (pas-4) (platelet collagen receptor) (platelet glycoprotein iv) (gpiv) (thrombospondin receptor) (cd antigen cd36)</t>
  </si>
  <si>
    <t>P16671</t>
  </si>
  <si>
    <t>CD40</t>
  </si>
  <si>
    <t>tumor necrosis factor receptor superfamily member 5 (b-cell surface antigen cd40) (bp50) (cd40l receptor) (cdw40) (cd antigen cd40)</t>
  </si>
  <si>
    <t>P25942</t>
  </si>
  <si>
    <t>CD40LG</t>
  </si>
  <si>
    <t>cd40 ligand (cd40-l) (t-cell antigen gp39) (tnf-related activation protein) (trap) (tumor necrosis factor ligand superfamily member 5) (cd antigen cd154) [cleaved into: cd40 ligand, membrane form; cd40 ligand, soluble form (scd40l)]</t>
  </si>
  <si>
    <t>P29965</t>
  </si>
  <si>
    <t>CD46</t>
  </si>
  <si>
    <t>membrane cofactor protein (tlx) (trophoblast leukocyte common antigen) (cd antigen cd46)</t>
  </si>
  <si>
    <t>P15529</t>
  </si>
  <si>
    <t>CD55</t>
  </si>
  <si>
    <t>complement decay-accelerating factor (cd antigen cd55)</t>
  </si>
  <si>
    <t>P08174</t>
  </si>
  <si>
    <t>CD59</t>
  </si>
  <si>
    <t>cd59 glycoprotein (1f5 antigen) (20 kda homologous restriction factor) (hrf-20) (hrf20) (mac-inhibitory protein) (mac-ip) (mem43 antigen) (membrane attack complex inhibition factor) (macif) (membrane inhibitor of reactive lysis) (mirl) (protectin) (cd antigen cd59)</t>
  </si>
  <si>
    <t>P13987</t>
  </si>
  <si>
    <t>CD70</t>
  </si>
  <si>
    <t>cd70 antigen (cd27 ligand) (cd27-l) (tumor necrosis factor ligand superfamily member 7) (cd antigen cd70)</t>
  </si>
  <si>
    <t>P32970</t>
  </si>
  <si>
    <t>CD74</t>
  </si>
  <si>
    <t>hla class ii histocompatibility antigen gamma chain (hla-dr antigens-associated invariant chain) (ia antigen-associated invariant chain) (ii) (cd antigen cd74) [cleaved into: class-ii-associated invariant chain peptide (clip)]</t>
  </si>
  <si>
    <t>P04233</t>
  </si>
  <si>
    <t>CD79A</t>
  </si>
  <si>
    <t>b-cell antigen receptor complex-associated protein alpha chain (ig-alpha) (mb-1 membrane glycoprotein) (membrane-bound immunoglobulin-associated protein) (surface igm-associated protein) (cd antigen cd79a)</t>
  </si>
  <si>
    <t>P11912</t>
  </si>
  <si>
    <t>CD79B</t>
  </si>
  <si>
    <t>b-cell antigen receptor complex-associated protein beta chain (b-cell-specific glycoprotein b29) (ig-beta) (immunoglobulin-associated b29 protein) (cd antigen cd79b)</t>
  </si>
  <si>
    <t>P40259</t>
  </si>
  <si>
    <t>CD81</t>
  </si>
  <si>
    <t>cd81 antigen (26 kda cell surface protein tapa-1) (target of the antiproliferative antibody 1) (tetraspanin-28) (tspan-28) (cd antigen cd81)</t>
  </si>
  <si>
    <t>P60033</t>
  </si>
  <si>
    <t>CD96</t>
  </si>
  <si>
    <t>t-cell surface protein tactile (cell surface antigen cd96) (t cell-activated increased late expression protein) (cd antigen cd96)</t>
  </si>
  <si>
    <t>P40200</t>
  </si>
  <si>
    <t>CD151</t>
  </si>
  <si>
    <t>cd151 antigen (gp27) (membrane glycoprotein sfa-1) (platelet-endothelial tetraspan antigen 3) (peta-3) (tetraspanin-24) (tspan-24) (cd antigen cd151)</t>
  </si>
  <si>
    <t>P48509</t>
  </si>
  <si>
    <t>CD164</t>
  </si>
  <si>
    <t>sialomucin core protein 24 (muc-24) (endolyn) (multi-glycosylated core protein 24) (mgc-24) (mgc-24v) (cd antigen cd164)</t>
  </si>
  <si>
    <t>Q04900</t>
  </si>
  <si>
    <t>CD207</t>
  </si>
  <si>
    <t>c-type lectin domain family 4 member k (langerin) (cd antigen cd207)</t>
  </si>
  <si>
    <t>Q9UJ71</t>
  </si>
  <si>
    <t>CD274</t>
  </si>
  <si>
    <t>programmed cell death 1 ligand 1 (pd-l1) (pdcd1 ligand 1) (programmed death ligand 1) (hpd-l1) (b7 homolog 1) (b7-h1) (cd antigen cd274)</t>
  </si>
  <si>
    <t>Q9NZQ7</t>
  </si>
  <si>
    <t>CD320</t>
  </si>
  <si>
    <t>cd320 antigen (8d6 antigen) (fdc-signaling molecule 8d6) (fdc-sm-8d6) (transcobalamin receptor) (tcblr) (cd antigen cd320)</t>
  </si>
  <si>
    <t>Q9NPF0</t>
  </si>
  <si>
    <t>CDC6</t>
  </si>
  <si>
    <t>cell division control protein 6 homolog (cdc6-related protein) (cdc18-related protein) (hscdc18) (p62(cdc6)) (hscdc6)</t>
  </si>
  <si>
    <t>Q99741</t>
  </si>
  <si>
    <t>CDC14A</t>
  </si>
  <si>
    <t>dual specificity protein phosphatase cdc14a (ec 3.1.3.16) (ec 3.1.3.48) (cdc14 cell division cycle 14 homolog a)</t>
  </si>
  <si>
    <t>Q9UNH5</t>
  </si>
  <si>
    <t>CDC40</t>
  </si>
  <si>
    <t>pre-mrna-processing factor 17 (cell division cycle 40 homolog) (eh-binding protein 3) (ehb3) (prp17 homolog) (hprp17)</t>
  </si>
  <si>
    <t>O60508</t>
  </si>
  <si>
    <t>CDC42</t>
  </si>
  <si>
    <t>cell division control protein 42 homolog (ec 3.6.5.2) (g25k gtp-binding protein)</t>
  </si>
  <si>
    <t>P60953</t>
  </si>
  <si>
    <t>CDCA7</t>
  </si>
  <si>
    <t>cell division cycle-associated protein 7 (protein jpo1)</t>
  </si>
  <si>
    <t>Q9BWT1</t>
  </si>
  <si>
    <t>CDH1</t>
  </si>
  <si>
    <t>cadherin-1 (cam 120/80) (epithelial cadherin) (e-cadherin) (uvomorulin) (cd antigen cd324) [cleaved into: e-cad/ctf1; e-cad/ctf2; e-cad/ctf3]</t>
  </si>
  <si>
    <t>P12830</t>
  </si>
  <si>
    <t>CDH2</t>
  </si>
  <si>
    <t>cadherin-2 (cdw325) (neural cadherin) (n-cadherin) (cd antigen cd325)</t>
  </si>
  <si>
    <t>P19022</t>
  </si>
  <si>
    <t>CDH3</t>
  </si>
  <si>
    <t>cadherin-3 (placental cadherin) (p-cadherin)</t>
  </si>
  <si>
    <t>P22223</t>
  </si>
  <si>
    <t>CDH11</t>
  </si>
  <si>
    <t>cadherin-11 (osf-4) (osteoblast cadherin) (ob-cadherin)</t>
  </si>
  <si>
    <t>P55287</t>
  </si>
  <si>
    <t>CDH15</t>
  </si>
  <si>
    <t>cadherin-15 (cadherin-14) (muscle cadherin) (m-cadherin)</t>
  </si>
  <si>
    <t>P55291</t>
  </si>
  <si>
    <t>cadherin-23 (otocadherin)</t>
  </si>
  <si>
    <t>Q9H251</t>
  </si>
  <si>
    <t>CDHR1</t>
  </si>
  <si>
    <t>cadherin-related family member 1 (photoreceptor cadherin) (prcad) (protocadherin-21)</t>
  </si>
  <si>
    <t>Q96JP9</t>
  </si>
  <si>
    <t>CDHR3</t>
  </si>
  <si>
    <t>cadherin-related family member 3 (cadherin-like protein 28)</t>
  </si>
  <si>
    <t>Q6ZTQ4</t>
  </si>
  <si>
    <t>CDK5RAP2</t>
  </si>
  <si>
    <t>cdk5 regulatory subunit-associated protein 2 (cdk5 activator-binding protein c48) (centrosome-associated protein 215)</t>
  </si>
  <si>
    <t>Q96SN8</t>
  </si>
  <si>
    <t>CDKAL1</t>
  </si>
  <si>
    <t>threonylcarbamoyladenosine trna methylthiotransferase (ec 2.8.4.5) (cdk5 regulatory subunit-associated protein 1-like 1) (trna-t(6)a37 methylthiotransferase)</t>
  </si>
  <si>
    <t>Q5VV42</t>
  </si>
  <si>
    <t>CDKN1B</t>
  </si>
  <si>
    <t>cyclin-dependent kinase inhibitor 1b (cyclin-dependent kinase inhibitor p27) (p27kip1)</t>
  </si>
  <si>
    <t>P46527</t>
  </si>
  <si>
    <t>CDKN1C</t>
  </si>
  <si>
    <t>cyclin-dependent kinase inhibitor 1c (cyclin-dependent kinase inhibitor p57) (p57kip2)</t>
  </si>
  <si>
    <t>P49918</t>
  </si>
  <si>
    <t>CDKN2A</t>
  </si>
  <si>
    <t>cyclin-dependent kinase inhibitor 2a (cyclin-dependent kinase 4 inhibitor a) (cdk4i) (multiple tumor suppressor 1) (mts-1) (p16-ink4a) (p16-ink4) (p16ink4a)</t>
  </si>
  <si>
    <t>P42771</t>
  </si>
  <si>
    <t>CDKN3</t>
  </si>
  <si>
    <t>cyclin-dependent kinase inhibitor 3 (ec 3.1.3.16) (ec 3.1.3.48) (cdk2-associated dual-specificity phosphatase) (cyclin-dependent kinase interactor 1) (cyclin-dependent kinase-interacting protein 2) (kinase-associated phosphatase)</t>
  </si>
  <si>
    <t>Q16667</t>
  </si>
  <si>
    <t>CDON</t>
  </si>
  <si>
    <t>cell adhesion molecule-related/down-regulated by oncogenes</t>
  </si>
  <si>
    <t>Q4KMG0</t>
  </si>
  <si>
    <t>CEACAM16</t>
  </si>
  <si>
    <t>carcinoembryonic antigen-related cell adhesion molecule 16 (carcinoembryonic antigen-like 2)</t>
  </si>
  <si>
    <t>Q2WEN9</t>
  </si>
  <si>
    <t>CEL</t>
  </si>
  <si>
    <t>bile salt-activated lipase (bal) (ec 3.1.1.13) (ec 3.1.1.3) (ec 3.1.1.6) (bile salt-stimulated lipase) (bssl) (bucelipase) (carboxyl ester lipase) (cholesterol esterase) (pancreatic lysophospholipase) (sterol esterase)</t>
  </si>
  <si>
    <t>P19835</t>
  </si>
  <si>
    <t>CELF2</t>
  </si>
  <si>
    <t>cugbp elav-like family member 2 (celf-2) (bruno-like protein 3) (cug triplet repeat rna-binding protein 2) (cug-bp2) (cug-bp- and etr-3-like factor 2) (elav-type rna-binding protein 3) (etr-3) (neuroblastoma apoptosis-related rna-binding protein) (hnapor) (rna-binding protein brunol-3)</t>
  </si>
  <si>
    <t>O95319</t>
  </si>
  <si>
    <t>CENPE</t>
  </si>
  <si>
    <t>centromere-associated protein e (centromere protein e) (cenp-e) (kinesin-7) (kinesin-related protein cenpe)</t>
  </si>
  <si>
    <t>Q02224</t>
  </si>
  <si>
    <t>CENPF</t>
  </si>
  <si>
    <t>centromere protein f (cenp-f) (ah antigen) (kinetochore protein cenpf) (mitosin)</t>
  </si>
  <si>
    <t>P49454</t>
  </si>
  <si>
    <t>CEP19</t>
  </si>
  <si>
    <t>centrosomal protein of 19 kda (cep19)</t>
  </si>
  <si>
    <t>Q96LK0</t>
  </si>
  <si>
    <t>CEP41</t>
  </si>
  <si>
    <t>centrosomal protein of 41 kda (cep41) (testis-specific gene a14 protein)</t>
  </si>
  <si>
    <t>Q9BYV8</t>
  </si>
  <si>
    <t>CEP55</t>
  </si>
  <si>
    <t>centrosomal protein of 55 kda (cep55) (up-regulated in colon cancer 6)</t>
  </si>
  <si>
    <t>Q53EZ4</t>
  </si>
  <si>
    <t>CEP57</t>
  </si>
  <si>
    <t>centrosomal protein of 57 kda (cep57) (fgf2-interacting protein) (testis-specific protein 57) (translokin)</t>
  </si>
  <si>
    <t>Q86XR8</t>
  </si>
  <si>
    <t>CEP63</t>
  </si>
  <si>
    <t>centrosomal protein of 63 kda (cep63)</t>
  </si>
  <si>
    <t>Q96MT8</t>
  </si>
  <si>
    <t>CEP78</t>
  </si>
  <si>
    <t>centrosomal protein of 78 kda (cep78)</t>
  </si>
  <si>
    <t>Q5JTW2</t>
  </si>
  <si>
    <t>CEP83</t>
  </si>
  <si>
    <t>centrosomal protein of 83 kda (cep83) (coiled-coil domain-containing protein 41) (renal carcinoma antigen ny-ren-58)</t>
  </si>
  <si>
    <t>Q9Y592</t>
  </si>
  <si>
    <t>CEP85L</t>
  </si>
  <si>
    <t>centrosomal protein of 85 kda-like (serologically defined breast cancer antigen ny-br-15)</t>
  </si>
  <si>
    <t>Q5SZL2</t>
  </si>
  <si>
    <t>CEP89</t>
  </si>
  <si>
    <t>centrosomal protein of 89 kda (cep89) (centrosomal protein 123) (cep123) (coiled-coil domain-containing protein 123)</t>
  </si>
  <si>
    <t>Q96ST8</t>
  </si>
  <si>
    <t>CEP104</t>
  </si>
  <si>
    <t>centrosomal protein of 104 kda (cep104)</t>
  </si>
  <si>
    <t>O60308</t>
  </si>
  <si>
    <t>CEP120</t>
  </si>
  <si>
    <t>centrosomal protein of 120 kda (cep120) (coiled-coil domain-containing protein 100)</t>
  </si>
  <si>
    <t>Q8N960</t>
  </si>
  <si>
    <t>CEP135</t>
  </si>
  <si>
    <t>centrosomal protein of 135 kda (cep135) (centrosomal protein 4)</t>
  </si>
  <si>
    <t>Q66GS9</t>
  </si>
  <si>
    <t>CEP164</t>
  </si>
  <si>
    <t>centrosomal protein of 164 kda (cep164)</t>
  </si>
  <si>
    <t>Q9UPV0</t>
  </si>
  <si>
    <t>CEP250</t>
  </si>
  <si>
    <t>centrosome-associated protein cep250 (250 kda centrosomal protein) (cep250) (centrosomal nek2-associated protein 1) (c-nap1) (centrosomal protein 2)</t>
  </si>
  <si>
    <t>Q9BV73</t>
  </si>
  <si>
    <t>CERKL</t>
  </si>
  <si>
    <t>ceramide kinase-like protein</t>
  </si>
  <si>
    <t>Q49MI3</t>
  </si>
  <si>
    <t>CERS1</t>
  </si>
  <si>
    <t>ceramide synthase 1 (cers1) (lag1 longevity assurance homolog 1) (longevity assurance gene 1 protein homolog 1) (protein uog-1) (sphingoid base n-stearoyltransferase cers1) (ec 2.3.1.299)</t>
  </si>
  <si>
    <t>P27544</t>
  </si>
  <si>
    <t>CERS3</t>
  </si>
  <si>
    <t>ceramide synthase 3 (cers3) (dihydroceramide synthase 3) (lag1 longevity assurance homolog 3) (sphingosine n-acyltransferase cers3) (ec 2.3.1.24) (ultra-long-chain ceramide synthase cers3) (ec 2.3.1.298) (very-long-chain ceramide synthase cers3) (ec 2.3.1.297)</t>
  </si>
  <si>
    <t>Q8IU89</t>
  </si>
  <si>
    <t>CERT1</t>
  </si>
  <si>
    <t>ceramide transfer protein (hcert) (collagen type iv alpha-3-binding protein) (goodpasture antigen-binding protein) (gpbp) (start domain-containing protein 11) (stard11) (star-related lipid transfer protein 11)</t>
  </si>
  <si>
    <t>Q9Y5P4</t>
  </si>
  <si>
    <t>CETP</t>
  </si>
  <si>
    <t>cholesteryl ester transfer protein (lipid transfer protein i)</t>
  </si>
  <si>
    <t>P11597</t>
  </si>
  <si>
    <t>CFAP45</t>
  </si>
  <si>
    <t>cilia- and flagella-associated protein 45 (coiled-coil domain-containing protein 19) (nasopharyngeal epithelium-specific protein 1)</t>
  </si>
  <si>
    <t>Q9UL16</t>
  </si>
  <si>
    <t>CFAP52</t>
  </si>
  <si>
    <t>cilia- and flagella-associated protein 52 (wd repeat-containing protein 16) (wd40-repeat protein up-regulated in hcc)</t>
  </si>
  <si>
    <t>Q8N1V2</t>
  </si>
  <si>
    <t>CFAP53</t>
  </si>
  <si>
    <t>cilia- and flagella-associated protein 53 (coiled-coil domain-containing protein 11)</t>
  </si>
  <si>
    <t>Q96M91</t>
  </si>
  <si>
    <t>CFAP410</t>
  </si>
  <si>
    <t>cilia- and flagella-associated protein 410 (c21orf-humf09g8.5) (leucine-rich repeat-containing protein 76) (yf5/a2)</t>
  </si>
  <si>
    <t>O43822</t>
  </si>
  <si>
    <t>CFC1</t>
  </si>
  <si>
    <t>cryptic protein (cryptic family protein 1)</t>
  </si>
  <si>
    <t>P0CG37</t>
  </si>
  <si>
    <t>CFD</t>
  </si>
  <si>
    <t>complement factor d (ec 3.4.21.46) (adipsin) (c3 convertase activator) (properdin factor d)</t>
  </si>
  <si>
    <t>P00746</t>
  </si>
  <si>
    <t>CFHR1</t>
  </si>
  <si>
    <t>complement factor h-related protein 1 (fhr-1) (h factor-like protein 1) (fhl-1) (h-factor-like 1) (h36)</t>
  </si>
  <si>
    <t>Q03591</t>
  </si>
  <si>
    <t>CFHR3</t>
  </si>
  <si>
    <t>complement factor h-related protein 3 (fhr-3) (down16) (h factor-like protein 3)</t>
  </si>
  <si>
    <t>Q02985</t>
  </si>
  <si>
    <t>CFHR5</t>
  </si>
  <si>
    <t>complement factor h-related protein 5 (fhr-5)</t>
  </si>
  <si>
    <t>Q9BXR6</t>
  </si>
  <si>
    <t>CFL2</t>
  </si>
  <si>
    <t>cofilin-2 (cofilin, muscle isoform)</t>
  </si>
  <si>
    <t>Q9Y281</t>
  </si>
  <si>
    <t>CGNL1</t>
  </si>
  <si>
    <t>cingulin-like protein 1 (junction-associated coiled-coil protein) (paracingulin)</t>
  </si>
  <si>
    <t>Q0VF96</t>
  </si>
  <si>
    <t>CHAT</t>
  </si>
  <si>
    <t>choline o-acetyltransferase (choactase) (chat) (choline acetylase) (ec 2.3.1.6)</t>
  </si>
  <si>
    <t>P28329</t>
  </si>
  <si>
    <t>CHCHD2</t>
  </si>
  <si>
    <t>coiled-coil-helix-coiled-coil-helix domain-containing protein 2 (aging-associated gene 10 protein) (hcv ns2 trans-regulated protein) (ns2tp)</t>
  </si>
  <si>
    <t>Q9Y6H1</t>
  </si>
  <si>
    <t>CHCHD7</t>
  </si>
  <si>
    <t>coiled-coil-helix-coiled-coil-helix domain-containing protein 7</t>
  </si>
  <si>
    <t>Q9BUK0</t>
  </si>
  <si>
    <t>CHCHD10</t>
  </si>
  <si>
    <t>coiled-coil-helix-coiled-coil-helix domain-containing protein 10, mitochondrial (protein n27c7-4)</t>
  </si>
  <si>
    <t>Q8WYQ3</t>
  </si>
  <si>
    <t>CHD1</t>
  </si>
  <si>
    <t>chromodomain-helicase-dna-binding protein 1 (chd-1) (ec 3.6.4.12) (atp-dependent helicase chd1)</t>
  </si>
  <si>
    <t>O14646</t>
  </si>
  <si>
    <t>CHD2</t>
  </si>
  <si>
    <t>chromodomain-helicase-dna-binding protein 2 (chd-2) (ec 3.6.4.12) (atp-dependent helicase chd2)</t>
  </si>
  <si>
    <t>O14647</t>
  </si>
  <si>
    <t>CHD5</t>
  </si>
  <si>
    <t>chromodomain-helicase-dna-binding protein 5 (chd-5) (ec 3.6.4.12) (atp-dependent helicase chd5)</t>
  </si>
  <si>
    <t>Q8TDI0</t>
  </si>
  <si>
    <t>CHD6</t>
  </si>
  <si>
    <t>chromodomain-helicase-dna-binding protein 6 (chd-6) (ec 3.6.4.12) (atp-dependent helicase chd6) (radiation-induced gene b protein)</t>
  </si>
  <si>
    <t>Q8TD26</t>
  </si>
  <si>
    <t>CHD7</t>
  </si>
  <si>
    <t>chromodomain-helicase-dna-binding protein 7 (chd-7) (ec 3.6.4.12) (atp-dependent helicase chd7)</t>
  </si>
  <si>
    <t>Q9P2D1</t>
  </si>
  <si>
    <t>CHD8</t>
  </si>
  <si>
    <t>chromodomain-helicase-dna-binding protein 8 (chd-8) (ec 3.6.4.12) (atp-dependent helicase chd8) (helicase with snf2 domain 1)</t>
  </si>
  <si>
    <t>Q9HCK8</t>
  </si>
  <si>
    <t>CHI3L1</t>
  </si>
  <si>
    <t>chitinase-3-like protein 1 (39 kda synovial protein) (cartilage glycoprotein 39) (cgp-39) (gp-39) (hcgp-39) (ykl-40)</t>
  </si>
  <si>
    <t>P36222</t>
  </si>
  <si>
    <t>CHIC2</t>
  </si>
  <si>
    <t>cysteine-rich hydrophobic domain-containing protein 2 (brx-like translocated in leukemia)</t>
  </si>
  <si>
    <t>Q9UKJ5</t>
  </si>
  <si>
    <t>CHKB</t>
  </si>
  <si>
    <t>choline/ethanolamine kinase (choline kinase beta) (ck) (ckb) (ec 2.7.1.32) (choline kinase-like protein) (ethanolamine kinase) (ek) (ec 2.7.1.82) (ethanolamine kinase beta) (ekb) (choline/ethanolamine kinase beta) (ckekb)</t>
  </si>
  <si>
    <t>Q9Y259</t>
  </si>
  <si>
    <t>CHM</t>
  </si>
  <si>
    <t>rab proteins geranylgeranyltransferase component a 1 (choroideremia protein) (rab escort protein 1) (rep-1) (tcd protein)</t>
  </si>
  <si>
    <t>P24386</t>
  </si>
  <si>
    <t>CHN1</t>
  </si>
  <si>
    <t>n-chimaerin (a-chimaerin) (alpha-chimerin) (n-chimerin) (nc) (rho gtpase-activating protein 2)</t>
  </si>
  <si>
    <t>P15882</t>
  </si>
  <si>
    <t>CHP1</t>
  </si>
  <si>
    <t>calcineurin b homologous protein 1 (calcineurin b-like protein) (calcium-binding protein chp) (calcium-binding protein p22) (ef-hand calcium-binding domain-containing protein p22)</t>
  </si>
  <si>
    <t>Q99653</t>
  </si>
  <si>
    <t>CHST6</t>
  </si>
  <si>
    <t>carbohydrate sulfotransferase 6 (corneal n-acetylglucosamine-6-o-sulfotransferase) (c-glcnac6st) (hcgn6st) (ec 2.8.2.21) (galactose/n-acetylglucosamine/n-acetylglucosamine 6-o-sulfotransferase 4-beta) (gst4-beta) (n-acetylglucosamine 6-o-sulfotransferase 5) (glcnac6st-5) (gn6st-5)</t>
  </si>
  <si>
    <t>Q9GZX3</t>
  </si>
  <si>
    <t>CHST8</t>
  </si>
  <si>
    <t>carbohydrate sulfotransferase 8 (ec 2.8.2.-) (galnac-4-o-sulfotransferase 1) (galnac-4-st1) (galnac4st-1) (n-acetylgalactosamine-4-o-sulfotransferase 1)</t>
  </si>
  <si>
    <t>Q9H2A9</t>
  </si>
  <si>
    <t>CHST14</t>
  </si>
  <si>
    <t>carbohydrate sulfotransferase 14 (ec 2.8.2.35) (dermatan 4-sulfotransferase 1) (d4st-1) (hd4st1)</t>
  </si>
  <si>
    <t>Q8NCH0</t>
  </si>
  <si>
    <t>CIB1</t>
  </si>
  <si>
    <t>calcium and integrin-binding protein 1 (cib) (calcium- and integrin-binding protein) (cibp) (calmyrin) (dna-pkcs-interacting protein) (kinase-interacting protein) (kip) (snk-interacting protein 2-28) (sip2-28)</t>
  </si>
  <si>
    <t>Q99828</t>
  </si>
  <si>
    <t>CIB2</t>
  </si>
  <si>
    <t>calcium and integrin-binding family member 2 (kinase-interacting protein 2) (kip 2)</t>
  </si>
  <si>
    <t>O75838</t>
  </si>
  <si>
    <t>CIC</t>
  </si>
  <si>
    <t>protein capicua homolog</t>
  </si>
  <si>
    <t>Q96RK0</t>
  </si>
  <si>
    <t>CIDEA</t>
  </si>
  <si>
    <t>lipid transferase cidea (cell death activator cide-a) (cell death-inducing dffa-like effector a)</t>
  </si>
  <si>
    <t>O60543</t>
  </si>
  <si>
    <t>CIDEC</t>
  </si>
  <si>
    <t>lipid transferase cidec (cell death activator cide-3) (cell death-inducing dffa-like effector protein c) (fat-specific protein fsp27 homolog)</t>
  </si>
  <si>
    <t>Q96AQ7</t>
  </si>
  <si>
    <t>CIITA</t>
  </si>
  <si>
    <t>mhc class ii transactivator (ciita) (ec 2.3.1.-) (ec 2.7.11.1)</t>
  </si>
  <si>
    <t>P33076</t>
  </si>
  <si>
    <t>CILP</t>
  </si>
  <si>
    <t>cartilage intermediate layer protein 1 (cilp-1) (cartilage intermediate-layer protein) [cleaved into: cartilage intermediate layer protein 1 c1; cartilage intermediate layer protein 1 c2]</t>
  </si>
  <si>
    <t>O75339</t>
  </si>
  <si>
    <t>CITED2</t>
  </si>
  <si>
    <t>cbp/p300-interacting transactivator 2 (msg-related protein 1) (mrg-1) (p35srj)</t>
  </si>
  <si>
    <t>Q99967</t>
  </si>
  <si>
    <t>CIZ1</t>
  </si>
  <si>
    <t>cip1-interacting zinc finger protein (cdkn1a-interacting zinc finger protein 1) (nuclear protein np94) (zinc finger protein 356)</t>
  </si>
  <si>
    <t>Q9ULV3</t>
  </si>
  <si>
    <t>CKAP2L</t>
  </si>
  <si>
    <t>cytoskeleton-associated protein 2-like (radial fiber and mitotic spindle protein) (radmis)</t>
  </si>
  <si>
    <t>Q8IYA6</t>
  </si>
  <si>
    <t>CLCC1</t>
  </si>
  <si>
    <t>chloride channel clic-like protein 1 (mid-1-related chloride channel protein 1)</t>
  </si>
  <si>
    <t>Q96S66</t>
  </si>
  <si>
    <t>CLCF1</t>
  </si>
  <si>
    <t>cardiotrophin-like cytokine factor 1 (b-cell-stimulating factor 3) (bsf-3) (novel neurotrophin-1) (nnt-1)</t>
  </si>
  <si>
    <t>Q9UBD9</t>
  </si>
  <si>
    <t>CLCN1</t>
  </si>
  <si>
    <t>chloride channel protein 1 (clc-1) (chloride channel protein, skeletal muscle)</t>
  </si>
  <si>
    <t>P35523</t>
  </si>
  <si>
    <t>CLCN2</t>
  </si>
  <si>
    <t>chloride channel protein 2 (clc-2)</t>
  </si>
  <si>
    <t>P51788</t>
  </si>
  <si>
    <t>CLCN3</t>
  </si>
  <si>
    <t>h(+)/cl(-) exchange transporter 3 (chloride channel protein 3) (clc-3) (chloride transporter clc-3)</t>
  </si>
  <si>
    <t>P51790</t>
  </si>
  <si>
    <t>CLCN4</t>
  </si>
  <si>
    <t>h(+)/cl(-) exchange transporter 4 (chloride channel protein 4) (clc-4) (chloride transporter clc-4)</t>
  </si>
  <si>
    <t>P51793</t>
  </si>
  <si>
    <t>CLCN5</t>
  </si>
  <si>
    <t>h(+)/cl(-) exchange transporter 5 (chloride channel protein 5) (clc-5) (chloride transporter clc-5)</t>
  </si>
  <si>
    <t>P51795</t>
  </si>
  <si>
    <t>CLCN6</t>
  </si>
  <si>
    <t>h(+)/cl(-) exchange transporter 6 (chloride channel protein 6) (clc-6) (chloride transport protein 6)</t>
  </si>
  <si>
    <t>P51797</t>
  </si>
  <si>
    <t>CLCNKA</t>
  </si>
  <si>
    <t>chloride channel protein clc-ka (chloride channel ka) (clc-k1)</t>
  </si>
  <si>
    <t>P51800</t>
  </si>
  <si>
    <t>CLCNKB</t>
  </si>
  <si>
    <t>chloride channel protein clc-kb (chloride channel kb) (clc-k2)</t>
  </si>
  <si>
    <t>P51801</t>
  </si>
  <si>
    <t>CLDN1</t>
  </si>
  <si>
    <t>claudin-1 (senescence-associated epithelial membrane protein)</t>
  </si>
  <si>
    <t>O95832</t>
  </si>
  <si>
    <t>CLDN2</t>
  </si>
  <si>
    <t>claudin-2 (sp82)</t>
  </si>
  <si>
    <t>P57739</t>
  </si>
  <si>
    <t>CLDN3</t>
  </si>
  <si>
    <t>claudin-3 (clostridium perfringens enterotoxin receptor 2) (cpe-r 2) (cpe-receptor 2) (rat ventral prostate.1 protein homolog) (hrvp1)</t>
  </si>
  <si>
    <t>O15551</t>
  </si>
  <si>
    <t>CLDN4</t>
  </si>
  <si>
    <t>claudin-4 (clostridium perfringens enterotoxin receptor) (cpe-r) (cpe-receptor) (williams-beuren syndrome chromosomal region 8 protein)</t>
  </si>
  <si>
    <t>O14493</t>
  </si>
  <si>
    <t>CLDN9</t>
  </si>
  <si>
    <t>claudin-9</t>
  </si>
  <si>
    <t>O95484</t>
  </si>
  <si>
    <t>CLDN11</t>
  </si>
  <si>
    <t>claudin-11 (oligodendrocyte-specific protein)</t>
  </si>
  <si>
    <t>O75508</t>
  </si>
  <si>
    <t>CLDN14</t>
  </si>
  <si>
    <t>claudin-14</t>
  </si>
  <si>
    <t>O95500</t>
  </si>
  <si>
    <t>CLDN16</t>
  </si>
  <si>
    <t>claudin-16 (paracellin-1) (pcln-1)</t>
  </si>
  <si>
    <t>Q9Y5I7</t>
  </si>
  <si>
    <t>CLDN19</t>
  </si>
  <si>
    <t>claudin-19</t>
  </si>
  <si>
    <t>Q8N6F1</t>
  </si>
  <si>
    <t>CLEC3B</t>
  </si>
  <si>
    <t>tetranectin (tn) (c-type lectin domain family 3 member b) (plasminogen kringle 4-binding protein)</t>
  </si>
  <si>
    <t>P05452</t>
  </si>
  <si>
    <t>CLEC7A</t>
  </si>
  <si>
    <t>c-type lectin domain family 7 member a (beta-glucan receptor) (c-type lectin superfamily member 12) (dendritic cell-associated c-type lectin 1) (dc-associated c-type lectin 1) (dectin-1) (cd antigen cd369)</t>
  </si>
  <si>
    <t>Q9BXN2</t>
  </si>
  <si>
    <t>CLEC16A</t>
  </si>
  <si>
    <t>protein clec16a (c-type lectin domain family 16 member a)</t>
  </si>
  <si>
    <t>Q2KHT3</t>
  </si>
  <si>
    <t>CLIC2</t>
  </si>
  <si>
    <t>chloride intracellular channel protein 2 (glutaredoxin-like oxidoreductase clic2) (ec 1.8.-.-) (glutaredoxin-like peroxidase clic2) (ec 1.11.1.-) (xap121)</t>
  </si>
  <si>
    <t>O15247</t>
  </si>
  <si>
    <t>CLIC5</t>
  </si>
  <si>
    <t>chloride intracellular channel protein 5 (glutaredoxin-like oxidoreductase clic5) (ec 1.8.-.-)</t>
  </si>
  <si>
    <t>Q9NZA1</t>
  </si>
  <si>
    <t>CLIP2</t>
  </si>
  <si>
    <t>cap-gly domain-containing linker protein 2 (cytoplasmic linker protein 115) (clip-115) (cytoplasmic linker protein 2) (williams-beuren syndrome chromosomal region 3 protein) (williams-beuren syndrome chromosomal region 4 protein)</t>
  </si>
  <si>
    <t>Q9UDT6</t>
  </si>
  <si>
    <t>CLMP</t>
  </si>
  <si>
    <t>cxadr-like membrane protein (adipocyte adhesion molecule) (coxsackie- and adenovirus receptor-like membrane protein) (car-like membrane protein)</t>
  </si>
  <si>
    <t>Q9H6B4</t>
  </si>
  <si>
    <t>CLN3</t>
  </si>
  <si>
    <t>battenin (batten disease protein) (protein cln3)</t>
  </si>
  <si>
    <t>Q13286</t>
  </si>
  <si>
    <t>CLN5</t>
  </si>
  <si>
    <t>bis(monoacylglycero)phosphate synthase cln5 (bmp synthase cln5) (ec 2.3.1.-) (ceroid-lipofuscinosis neuronal protein 5) (protein cln5) (palmitoyl protein thioesterase cln5) (ec 3.1.2.22) (s-depalmitoylase cln5) [cleaved into: bis(monoacylglycero)phosphate synthase cln5, secreted form]</t>
  </si>
  <si>
    <t>O75503</t>
  </si>
  <si>
    <t>CLN6</t>
  </si>
  <si>
    <t>ceroid-lipofuscinosis neuronal protein 6 (protein cln6)</t>
  </si>
  <si>
    <t>Q9NWW5</t>
  </si>
  <si>
    <t>CLN8</t>
  </si>
  <si>
    <t>protein cln8</t>
  </si>
  <si>
    <t>Q9UBY8</t>
  </si>
  <si>
    <t>CLP1</t>
  </si>
  <si>
    <t>polyribonucleotide 5'-hydroxyl-kinase clp1 (ec 2.7.1.78) (polyadenylation factor clp1) (polynucleotide kinase clp1) (pre-mrna cleavage complex ii protein clp1)</t>
  </si>
  <si>
    <t>Q92989</t>
  </si>
  <si>
    <t>CLPB</t>
  </si>
  <si>
    <t>mitochondrial disaggregase (ec 3.6.1.-) (suppressor of potassium transport defect 3) [cleaved into: mitochondrial disaggregase, cleaved form]</t>
  </si>
  <si>
    <t>Q9H078</t>
  </si>
  <si>
    <t>CLRN1</t>
  </si>
  <si>
    <t>clarin-1 (usher syndrome type-3 protein)</t>
  </si>
  <si>
    <t>P58418</t>
  </si>
  <si>
    <t>CLTC</t>
  </si>
  <si>
    <t>clathrin heavy chain 1 (clathrin heavy chain on chromosome 17) (clh-17)</t>
  </si>
  <si>
    <t>Q00610</t>
  </si>
  <si>
    <t>CMC4</t>
  </si>
  <si>
    <t>cx9c motif-containing protein 4 (mature t-cell proliferation 1 neighbor protein) (mature t-cell proliferation-1 type a) (mtcp-1 type a) (protein p8 mtcp-1) (p8mtcp1)</t>
  </si>
  <si>
    <t>P56277</t>
  </si>
  <si>
    <t>CNBP</t>
  </si>
  <si>
    <t>cchc-type zinc finger nucleic acid binding protein (cellular nucleic acid-binding protein) (cnbp) (zinc finger protein 9)</t>
  </si>
  <si>
    <t>P62633</t>
  </si>
  <si>
    <t>cyclic nucleotide-gated channel alpha-1 (cng channel alpha-1) (cng-1) (cng1) (cyclic nucleotide-gated channel, photoreceptor) (rod photoreceptor cgmp-gated cation channel subunit alpha) (cgmp-gated cation channel alpha-1)</t>
  </si>
  <si>
    <t>P29973</t>
  </si>
  <si>
    <t>CNGA3</t>
  </si>
  <si>
    <t>cyclic nucleotide-gated channel alpha-3 (cng channel alpha-3) (cng-3) (cng3) (cone photoreceptor cgmp-gated channel subunit alpha-3)</t>
  </si>
  <si>
    <t>Q16281</t>
  </si>
  <si>
    <t>cyclic nucleotide-gated channel beta-1 (cng channel beta-1) (cyclic nucleotide-gated cation channel 4) (cng channel 4) (cng-4) (cng4) (cyclic nucleotide-gated cation channel gamma) (cyclic nucleotide-gated cation channel modulatory subunit) (glutamic acid-rich protein) (garp)</t>
  </si>
  <si>
    <t>Q14028</t>
  </si>
  <si>
    <t>CNGB3</t>
  </si>
  <si>
    <t>cyclic nucleotide-gated channel beta-3 (cng channel beta-3) (cone photoreceptor cgmp-gated channel subunit beta) (cyclic nucleotide-gated cation channel beta-3) (cyclic nucleotide-gated cation channel modulatory subunit)</t>
  </si>
  <si>
    <t>Q9NQW8</t>
  </si>
  <si>
    <t>CNKSR2</t>
  </si>
  <si>
    <t>connector enhancer of kinase suppressor of ras 2 (connector enhancer of ksr 2) (cnk homolog protein 2) (cnk2)</t>
  </si>
  <si>
    <t>Q8WXI2</t>
  </si>
  <si>
    <t>CNNM2</t>
  </si>
  <si>
    <t>metal transporter cnnm2 (ancient conserved domain-containing protein 2) (cyclin-m2)</t>
  </si>
  <si>
    <t>Q9H8M5</t>
  </si>
  <si>
    <t>CNNM4</t>
  </si>
  <si>
    <t>metal transporter cnnm4 (ancient conserved domain-containing protein 4) (cyclin-m4)</t>
  </si>
  <si>
    <t>Q6P4Q7</t>
  </si>
  <si>
    <t>CNP</t>
  </si>
  <si>
    <t>2',3'-cyclic-nucleotide 3'-phosphodiesterase (cnp) (cnpase) (ec 3.1.4.37)</t>
  </si>
  <si>
    <t>P09543</t>
  </si>
  <si>
    <t>CNPY3</t>
  </si>
  <si>
    <t>protein canopy homolog 3 (ctg repeat protein 4a) (expanded repeat-domain protein cag/ctg 5) (protein associated with tlr4) (trinucleotide repeat-containing gene 5 protein)</t>
  </si>
  <si>
    <t>Q9BT09</t>
  </si>
  <si>
    <t>CNTN1</t>
  </si>
  <si>
    <t>contactin-1 (glycoprotein gp135) (neural cell surface protein f3)</t>
  </si>
  <si>
    <t>Q12860</t>
  </si>
  <si>
    <t>CNTN2</t>
  </si>
  <si>
    <t>contactin-2 (axonal glycoprotein tag-1) (axonin-1) (transient axonal glycoprotein 1) (tax-1)</t>
  </si>
  <si>
    <t>Q02246</t>
  </si>
  <si>
    <t>CNTN4</t>
  </si>
  <si>
    <t>contactin-4 (brain-derived immunoglobulin superfamily protein 2) (big-2)</t>
  </si>
  <si>
    <t>Q8IWV2</t>
  </si>
  <si>
    <t>CNTNAP1</t>
  </si>
  <si>
    <t>contactin-associated protein 1 (caspr) (caspr1) (neurexin iv) (neurexin-4) (p190)</t>
  </si>
  <si>
    <t>P78357</t>
  </si>
  <si>
    <t>CNTNAP2</t>
  </si>
  <si>
    <t>contactin-associated protein-like 2 (cell recognition molecule caspr2)</t>
  </si>
  <si>
    <t>Q9UHC6</t>
  </si>
  <si>
    <t>CNTRL</t>
  </si>
  <si>
    <t>centriolin (centrosomal protein 1) (centrosomal protein of 110 kda) (cep110)</t>
  </si>
  <si>
    <t>Q7Z7A1</t>
  </si>
  <si>
    <t>COA3</t>
  </si>
  <si>
    <t>cytochrome c oxidase assembly factor 3 homolog, mitochondrial (coiled-coil domain-containing protein 56) (mitochondrial translation regulation assembly intermediate of cytochrome c oxidase protein of 12 kda)</t>
  </si>
  <si>
    <t>Q9Y2R0</t>
  </si>
  <si>
    <t>COA5</t>
  </si>
  <si>
    <t>cytochrome c oxidase assembly factor 5</t>
  </si>
  <si>
    <t>Q86WW8</t>
  </si>
  <si>
    <t>COA6</t>
  </si>
  <si>
    <t>cytochrome c oxidase assembly factor 6 homolog</t>
  </si>
  <si>
    <t>Q5JTJ3</t>
  </si>
  <si>
    <t>COASY</t>
  </si>
  <si>
    <t>bifunctional coenzyme a synthase (coa synthase) (nbp) (pov-2) [includes: phosphopantetheine adenylyltransferase (ec 2.7.7.3) (dephospho-coa pyrophosphorylase) (pantetheine-phosphate adenylyltransferase) (ppat); dephospho-coa kinase (dpck) (ec 2.7.1.24) (dephosphocoenzyme a kinase) (dpcoak)]</t>
  </si>
  <si>
    <t>Q13057</t>
  </si>
  <si>
    <t>COCH</t>
  </si>
  <si>
    <t>cochlin (coch-5b2)</t>
  </si>
  <si>
    <t>O43405</t>
  </si>
  <si>
    <t>COLQ</t>
  </si>
  <si>
    <t>acetylcholinesterase collagenic tail peptide (ache q subunit) (acetylcholinesterase-associated collagen)</t>
  </si>
  <si>
    <t>Q9Y215</t>
  </si>
  <si>
    <t>COMT</t>
  </si>
  <si>
    <t>catechol o-methyltransferase (ec 2.1.1.6)</t>
  </si>
  <si>
    <t>P21964</t>
  </si>
  <si>
    <t>COQ2</t>
  </si>
  <si>
    <t>4-hydroxybenzoate polyprenyltransferase, mitochondrial (4-hb polyprenyltransferase) (ec 2.5.1.39) (4-hydroxybenzoate decaprenyltransferase) (coq2 homolog) (hcoq2) (para-hydroxybenzoate--polyprenyltransferase) (phb:ppt) (phb:polyprenyltransferase)</t>
  </si>
  <si>
    <t>Q96H96</t>
  </si>
  <si>
    <t>CORIN</t>
  </si>
  <si>
    <t>atrial natriuretic peptide-converting enzyme (ec 3.4.21.-) (corin) (heart-specific serine proteinase atc2) (pro-anp-converting enzyme) (transmembrane protease serine 10) [cleaved into: atrial natriuretic peptide-converting enzyme, n-terminal propeptide; atrial natriuretic peptide-converting enzyme, activated protease fragment; atrial natriuretic peptide-converting enzyme, 180 kda soluble fragment; atrial natriuretic peptide-converting enzyme, 160 kda soluble fragment; atrial natriuretic peptide-converting enzyme, 100 kda soluble fragment]</t>
  </si>
  <si>
    <t>Q9Y5Q5</t>
  </si>
  <si>
    <t>CORO1A</t>
  </si>
  <si>
    <t>coronin-1a (coronin-like protein a) (clipin-a) (coronin-like protein p57) (tryptophan aspartate-containing coat protein) (taco)</t>
  </si>
  <si>
    <t>P31146</t>
  </si>
  <si>
    <t>COX4I2</t>
  </si>
  <si>
    <t>cytochrome c oxidase subunit 4 isoform 2, mitochondrial (cytochrome c oxidase subunit iv isoform 2) (cox iv-2)</t>
  </si>
  <si>
    <t>Q96KJ9</t>
  </si>
  <si>
    <t>COX6A2</t>
  </si>
  <si>
    <t>cytochrome c oxidase subunit 6a2, mitochondrial (cytochrome c oxidase polypeptide via-heart) (coxviah) (cytochrome c oxidase subunit via-muscle) (cox via-m)</t>
  </si>
  <si>
    <t>Q02221</t>
  </si>
  <si>
    <t>COX10</t>
  </si>
  <si>
    <t>protoheme ix farnesyltransferase, mitochondrial (ec 2.5.1.141) (heme o synthase)</t>
  </si>
  <si>
    <t>Q12887</t>
  </si>
  <si>
    <t>COX14</t>
  </si>
  <si>
    <t>cytochrome c oxidase assembly protein cox14</t>
  </si>
  <si>
    <t>Q96I36</t>
  </si>
  <si>
    <t>COX15</t>
  </si>
  <si>
    <t>heme a synthase cox15 (has) (ec 1.17.99.9) (cytochrome c oxidase assembly protein cox15 homolog)</t>
  </si>
  <si>
    <t>Q7KZN9</t>
  </si>
  <si>
    <t>COX16</t>
  </si>
  <si>
    <t>cytochrome c oxidase assembly protein cox16 homolog, mitochondrial (hcox16)</t>
  </si>
  <si>
    <t>Q9P0S2</t>
  </si>
  <si>
    <t>COX20</t>
  </si>
  <si>
    <t>cytochrome c oxidase assembly protein cox20, mitochondrial</t>
  </si>
  <si>
    <t>Q5RI15</t>
  </si>
  <si>
    <t>CP</t>
  </si>
  <si>
    <t>ceruloplasmin (cuproxidase ceruloplasmin) (ec 1.16.3.4) (ferroxidase ceruloplasmin) (ec 1.16.3.1) (glutathione peroxidase ceruloplasmin) (ec 1.11.1.9) (glutathione-dependent peroxiredoxin ceruloplasmin) (ec 1.11.1.27)</t>
  </si>
  <si>
    <t>P00450</t>
  </si>
  <si>
    <t>CPA6</t>
  </si>
  <si>
    <t>carboxypeptidase a6 (ec 3.4.17.-)</t>
  </si>
  <si>
    <t>Q8N4T0</t>
  </si>
  <si>
    <t>CPAMD8</t>
  </si>
  <si>
    <t>c3 and pzp-like alpha-2-macroglobulin domain-containing protein 8</t>
  </si>
  <si>
    <t>Q8IZJ3</t>
  </si>
  <si>
    <t>CPE</t>
  </si>
  <si>
    <t>carboxypeptidase e (cpe) (ec 3.4.17.10) (carboxypeptidase h) (cph) (enkephalin convertase) (prohormone-processing carboxypeptidase)</t>
  </si>
  <si>
    <t>P16870</t>
  </si>
  <si>
    <t>CPLX1</t>
  </si>
  <si>
    <t>complexin-1 (complexin i) (cpx i) (synaphin-2)</t>
  </si>
  <si>
    <t>O14810</t>
  </si>
  <si>
    <t>CPN1</t>
  </si>
  <si>
    <t>carboxypeptidase n catalytic chain (cpn) (ec 3.4.17.3) (anaphylatoxin inactivator) (arginine carboxypeptidase) (carboxypeptidase n polypeptide 1) (carboxypeptidase n small subunit) (kininase-1) (lysine carboxypeptidase) (plasma carboxypeptidase b) (serum carboxypeptidase n) (scpn)</t>
  </si>
  <si>
    <t>P15169</t>
  </si>
  <si>
    <t>CPOX</t>
  </si>
  <si>
    <t>oxygen-dependent coproporphyrinogen-iii oxidase, mitochondrial (cox) (coprogen oxidase) (coproporphyrinogenase) (ec 1.3.3.3)</t>
  </si>
  <si>
    <t>P36551</t>
  </si>
  <si>
    <t>CPS1</t>
  </si>
  <si>
    <t>carbamoyl-phosphate synthase [ammonia], mitochondrial (ec 6.3.4.16) (carbamoyl-phosphate synthetase i) (cpsase i)</t>
  </si>
  <si>
    <t>P31327</t>
  </si>
  <si>
    <t>CPT1C</t>
  </si>
  <si>
    <t>palmitoyl thioesterase cpt1c (ec 3.1.2.22) (carnitine o-palmitoyltransferase 1, brain isoform) (cpti-b) (carnitine palmitoyltransferase 1c) (carnitine palmitoyltransferase i) (cpt i-c)</t>
  </si>
  <si>
    <t>Q8TCG5</t>
  </si>
  <si>
    <t>CPX-8</t>
  </si>
  <si>
    <t>cyclic amp-responsive element-binding protein 1 (creb-1) (camp-responsive element-binding protein 1)</t>
  </si>
  <si>
    <t>ATF4,CREB1</t>
  </si>
  <si>
    <t>P18848, P16220</t>
  </si>
  <si>
    <t>CPX-9</t>
  </si>
  <si>
    <t>cyclic amp-dependent transcription factor atf-1 (camp-dependent transcription factor atf-1) (activating transcription factor 1) (protein treb36)</t>
  </si>
  <si>
    <t>ATF4,ATF1</t>
  </si>
  <si>
    <t>P18848, P18846</t>
  </si>
  <si>
    <t>CPX-51</t>
  </si>
  <si>
    <t>cardiac phospholamban (plb)</t>
  </si>
  <si>
    <t>PLN</t>
  </si>
  <si>
    <t>P26678</t>
  </si>
  <si>
    <t>CPX-54</t>
  </si>
  <si>
    <t>mothers against decapentaplegic homolog 1 (mad homolog 1) (mothers against dpp homolog 1) (jv4-1) (mad-related protein 1) (smad family member 1) (smad 1) (smad1) (hsmad1) (transforming growth factor-beta-signaling protein 1) (bsp-1)</t>
  </si>
  <si>
    <t>SMAD4,SMAD1</t>
  </si>
  <si>
    <t>Q13485, Q15797</t>
  </si>
  <si>
    <t>CPX-56</t>
  </si>
  <si>
    <t>suppressor of fused homolog (sufuh)</t>
  </si>
  <si>
    <t>GLI1,SUFU</t>
  </si>
  <si>
    <t>P08151, Q9UMX1</t>
  </si>
  <si>
    <t>CPX-61</t>
  </si>
  <si>
    <t>homeobox protein nkx-2.5 (cardiac-specific homeobox) (homeobox protein csx) (homeobox protein nk-2 homolog e)</t>
  </si>
  <si>
    <t>NKX2-5</t>
  </si>
  <si>
    <t>P52952</t>
  </si>
  <si>
    <t>CPX-69</t>
  </si>
  <si>
    <t>ccaat/enhancer-binding protein alpha (c/ebp alpha)</t>
  </si>
  <si>
    <t>DDIT3,CEBPA</t>
  </si>
  <si>
    <t>P35638, P49715</t>
  </si>
  <si>
    <t>CPX-70</t>
  </si>
  <si>
    <t>dna damage-inducible transcript 3 protein (ddit-3) (c/ebp zeta) (c/ebp-homologous protein) (chop) (c/ebp-homologous protein 10) (chop-10) (ccaat/enhancer-binding protein homologous protein) (growth arrest and dna damage-inducible protein gadd153)</t>
  </si>
  <si>
    <t>DDIT3,CEBPB</t>
  </si>
  <si>
    <t>P35638, P17676</t>
  </si>
  <si>
    <t>CPX-71</t>
  </si>
  <si>
    <t>CEBPA</t>
  </si>
  <si>
    <t>P49715</t>
  </si>
  <si>
    <t>CPX-74</t>
  </si>
  <si>
    <t>uv radiation resistance-associated gene protein (p63)</t>
  </si>
  <si>
    <t>PIK3C3,PIK3R4,BECN1,UVRAG</t>
  </si>
  <si>
    <t>Q8NEB9, Q99570, Q14457, Q9P2Y5</t>
  </si>
  <si>
    <t>CPX-77</t>
  </si>
  <si>
    <t>dna mismatch repair protein msh2 (hmsh2) (muts protein homolog 2)</t>
  </si>
  <si>
    <t>MSH2,MSH3</t>
  </si>
  <si>
    <t>P43246, P20585</t>
  </si>
  <si>
    <t>CPX-80</t>
  </si>
  <si>
    <t>MSH2,MSH6</t>
  </si>
  <si>
    <t>P43246, P52701</t>
  </si>
  <si>
    <t>CPX-82</t>
  </si>
  <si>
    <t>mitotic spindle assembly checkpoint protein mad1 (mitotic arrest deficient 1-like protein 1) (mad1-like protein 1) (mitotic checkpoint mad1 protein homolog) (hsmad1) (hmad1) (tax-binding protein 181)</t>
  </si>
  <si>
    <t>MAD1L1</t>
  </si>
  <si>
    <t>Q9Y6D9</t>
  </si>
  <si>
    <t>CPX-85</t>
  </si>
  <si>
    <t>MAD2L1,MAD1L1</t>
  </si>
  <si>
    <t>Q13257, Q9Y6D9</t>
  </si>
  <si>
    <t>CPX-99</t>
  </si>
  <si>
    <t>adenomatous polyposis coli protein 2 (adenomatous polyposis coli protein-like) (apc-like)</t>
  </si>
  <si>
    <t>GSK3B,AXIN1,APC2,CSNK1A1</t>
  </si>
  <si>
    <t>P49841, O15169, O95996, P48729</t>
  </si>
  <si>
    <t>CPX-101</t>
  </si>
  <si>
    <t>telethonin (titin cap protein)</t>
  </si>
  <si>
    <t>TTN,TCAP</t>
  </si>
  <si>
    <t>Q8WZ42, O15273</t>
  </si>
  <si>
    <t>CPX-102</t>
  </si>
  <si>
    <t>DAPK1,calm_human</t>
  </si>
  <si>
    <t>P53355, P62158</t>
  </si>
  <si>
    <t>protein max (class d basic helix-loop-helix protein 4) (bhlhd4) (myc-associated factor x)</t>
  </si>
  <si>
    <t>MXD1,MAX</t>
  </si>
  <si>
    <t>Q05195, P61244</t>
  </si>
  <si>
    <t>CPX-107</t>
  </si>
  <si>
    <t>adenomatous polyposis coli protein (protein apc) (deleted in polyposis 2.5)</t>
  </si>
  <si>
    <t>AXIN1,GSK3A,APC,CSNK1A1</t>
  </si>
  <si>
    <t>O15169, P49840, P25054, P48729</t>
  </si>
  <si>
    <t>CPX-109</t>
  </si>
  <si>
    <t>GSK3B,AXIN1,APC,CSNK1A1</t>
  </si>
  <si>
    <t>P49841, O15169, P25054, P48729</t>
  </si>
  <si>
    <t>CPX-114</t>
  </si>
  <si>
    <t>platelet glycoprotein ib alpha chain (gp-ib alpha) (gpib-alpha) (gpiba) (glycoprotein ibalpha) (antigen cd42b-alpha) (cd antigen cd42b) [cleaved into: glycocalicin]</t>
  </si>
  <si>
    <t>GP1BB,GP9,GP5,GP1BA</t>
  </si>
  <si>
    <t>P13224, P14770, P40197, P07359</t>
  </si>
  <si>
    <t>CPX-125</t>
  </si>
  <si>
    <t>sodium/potassium-transporting atpase subunit gamma (na(+)/k(+) atpase subunit gamma) (fxyd domain-containing ion transport regulator 2) (sodium pump gamma chain)</t>
  </si>
  <si>
    <t>ATP1A1,ATP1B1,FXYD2</t>
  </si>
  <si>
    <t>P05023, P05026, P54710</t>
  </si>
  <si>
    <t>CPX-128</t>
  </si>
  <si>
    <t>low-density lipoprotein receptor (ldl receptor)</t>
  </si>
  <si>
    <t>LDLR,Q8NBP7-PRO_0000027120,Q8NBP7-PRO_0000027121</t>
  </si>
  <si>
    <t>P01130, Q8NBP7, Q8NBP7</t>
  </si>
  <si>
    <t>CPX-130</t>
  </si>
  <si>
    <t>annexin a2 (annexin ii) (annexin-2) (calpactin i heavy chain) (calpactin-1 heavy chain) (chromobindin-8) (lipocortin ii) (placental anticoagulant protein iv) (pap-iv) (protein i) (p36)</t>
  </si>
  <si>
    <t>ANXA2,PCSK9</t>
  </si>
  <si>
    <t>P07355, Q8NBP7</t>
  </si>
  <si>
    <t>CPX-131</t>
  </si>
  <si>
    <t>potassium/sodium hyperpolarization-activated cyclic nucleotide-gated channel 4</t>
  </si>
  <si>
    <t>HCN4</t>
  </si>
  <si>
    <t>Q9Y3Q4</t>
  </si>
  <si>
    <t>CPX-134</t>
  </si>
  <si>
    <t>endoribonuclease dicer (ec 3.1.26.3) (helicase with rnase motif) (helicase moi)</t>
  </si>
  <si>
    <t>TARBP2,DICER1</t>
  </si>
  <si>
    <t>Q15633, Q9UPY3</t>
  </si>
  <si>
    <t>CPX-137</t>
  </si>
  <si>
    <t>transitional endoplasmic reticulum atpase (ter atpase) (ec 3.6.4.6) (15s mg(2+)-atpase p97 subunit) (valosin-containing protein) (vcp)</t>
  </si>
  <si>
    <t>VCP,UFD1,NPLOC4</t>
  </si>
  <si>
    <t>P55072, Q92890, Q8TAT6</t>
  </si>
  <si>
    <t>CPX-144</t>
  </si>
  <si>
    <t>SMAD1</t>
  </si>
  <si>
    <t>Q15797</t>
  </si>
  <si>
    <t>CPX-148</t>
  </si>
  <si>
    <t>GLI2,SUFU</t>
  </si>
  <si>
    <t>P10070, Q9UMX1</t>
  </si>
  <si>
    <t>CPX-150</t>
  </si>
  <si>
    <t>GLI3,SUFU</t>
  </si>
  <si>
    <t>P10071, Q9UMX1</t>
  </si>
  <si>
    <t>CPX-152</t>
  </si>
  <si>
    <t>adrenocortical dysplasia protein homolog (pot1 and tin2-interacting protein)</t>
  </si>
  <si>
    <t>TERF1,TERF2,TINF2,ACD,TERF2IP,POT1</t>
  </si>
  <si>
    <t>P54274, Q15554, Q9BSI4, Q96AP0, Q9NYB0, Q9NUX5</t>
  </si>
  <si>
    <t>CPX-155</t>
  </si>
  <si>
    <t>retinoblastoma-associated protein (p105-rb) (p110-rb1) (prb) (rb) (pp110)</t>
  </si>
  <si>
    <t>TFDP1,E2F1,RB1</t>
  </si>
  <si>
    <t>Q14186, Q01094, P06400</t>
  </si>
  <si>
    <t>CPX-175</t>
  </si>
  <si>
    <t>TFDP1,E2F2,RB1</t>
  </si>
  <si>
    <t>Q14186, Q14209, P06400</t>
  </si>
  <si>
    <t>CPX-195</t>
  </si>
  <si>
    <t>atp-binding cassette sub-family c member 8 (sulfonylurea receptor 1)</t>
  </si>
  <si>
    <t>ABCC8,KCNJ11</t>
  </si>
  <si>
    <t>Q09428, Q14654</t>
  </si>
  <si>
    <t>CPX-197</t>
  </si>
  <si>
    <t>atp-binding cassette sub-family c member 9 (sulfonylurea receptor 2)</t>
  </si>
  <si>
    <t>KCNJ11,ABCC9</t>
  </si>
  <si>
    <t>Q14654, O60706-1</t>
  </si>
  <si>
    <t>CPX-199</t>
  </si>
  <si>
    <t>Q14654, O60706-2</t>
  </si>
  <si>
    <t>CPX-200</t>
  </si>
  <si>
    <t>autophagy protein 5 (apg5-like) (apoptosis-specific protein)</t>
  </si>
  <si>
    <t>ATG12,ATG5,ATG16L1</t>
  </si>
  <si>
    <t>O94817, Q9H1Y0, Q676U5</t>
  </si>
  <si>
    <t>CPX-256</t>
  </si>
  <si>
    <t>transcriptional coactivator yap1 (yes-associated protein 1) (protein yorkie homolog) (yes-associated protein yap65 homolog)</t>
  </si>
  <si>
    <t>YAP1,TEAD1</t>
  </si>
  <si>
    <t>P46937, P28347</t>
  </si>
  <si>
    <t>CPX-262</t>
  </si>
  <si>
    <t>NSFL1C,VCP</t>
  </si>
  <si>
    <t>Q9UNZ2, P55072</t>
  </si>
  <si>
    <t>CPX-312</t>
  </si>
  <si>
    <t>amiloride-sensitive sodium channel subunit alpha (alpha-nach) (epithelial na(+) channel subunit alpha) (alpha-enac) (enaca) (nonvoltage-gated sodium channel 1 subunit alpha) (scnea)</t>
  </si>
  <si>
    <t>SCNN1B,SCNN1G,SCNN1A,SCNN1D</t>
  </si>
  <si>
    <t>P51168, P51170, P37088, P51172</t>
  </si>
  <si>
    <t>CPX-313</t>
  </si>
  <si>
    <t>amiloride-sensitive sodium channel subunit beta (beta-nach) (epithelial na(+) channel subunit beta) (beta-enac) (enacb) (nonvoltage-gated sodium channel 1 subunit beta) (scneb)</t>
  </si>
  <si>
    <t>SCNN1B,SCNN1G,SCNN1D</t>
  </si>
  <si>
    <t>P51168, P51170, P51172</t>
  </si>
  <si>
    <t>CPX-316</t>
  </si>
  <si>
    <t>catenin beta-1 (beta-catenin)</t>
  </si>
  <si>
    <t>CTNNB1,LEF1</t>
  </si>
  <si>
    <t>P35222, Q9UJU2</t>
  </si>
  <si>
    <t>CPX-326</t>
  </si>
  <si>
    <t>cyclin-q (cdk10-activating cyclin) (cyclin-m) (cyclin-related protein fam58a)</t>
  </si>
  <si>
    <t>CCNQ,CDK10</t>
  </si>
  <si>
    <t>Q8N1B3, Q15131-1</t>
  </si>
  <si>
    <t>CPX-329</t>
  </si>
  <si>
    <t>charged multivesicular body protein 1a (chromatin-modifying protein 1a) (chmp1a) (vacuolar protein sorting-associated protein 46-1) (vps46-1) (hvps46-1)</t>
  </si>
  <si>
    <t>CHMP4B,CHMP2A,CHMP1A,CHMP1B,CHMP2B,CHMP3,CHMP4A,CHMP4C,CHMP5,CHMP6,CHMP7</t>
  </si>
  <si>
    <t>Q9H444, O43633, Q9HD42, Q7LBR1, Q9UQN3, Q9Y3E7, Q9BY43, Q96CF2, Q9NZZ3, Q96FZ7, Q8WUX9</t>
  </si>
  <si>
    <t>CPX-338</t>
  </si>
  <si>
    <t>vacuolar protein sorting-associated protein 4a (ec 3.6.4.6) (protein skd2) (vps4-1) (hvps4)</t>
  </si>
  <si>
    <t>VPS4A,VPS4B</t>
  </si>
  <si>
    <t>Q9UN37, O75351</t>
  </si>
  <si>
    <t>CPX-354</t>
  </si>
  <si>
    <t>ATG12,ATG5,ATG16L2</t>
  </si>
  <si>
    <t>O94817, Q9H1Y0, Q8NAA4</t>
  </si>
  <si>
    <t>CPX-356</t>
  </si>
  <si>
    <t>ATG12,ATG5</t>
  </si>
  <si>
    <t>O94817, Q9H1Y0</t>
  </si>
  <si>
    <t>CPX-358</t>
  </si>
  <si>
    <t>TECPR1,ATG5,ATG12</t>
  </si>
  <si>
    <t>Q7Z6L1, Q9H1Y0, O94817</t>
  </si>
  <si>
    <t>CPX-369</t>
  </si>
  <si>
    <t>ribonucleoside-diphosphate reductase subunit m2 b (ec 1.17.4.1) (tp53-inducible ribonucleotide reductase m2 b) (p53-inducible ribonucleotide reductase small subunit 2-like protein) (p53r2)</t>
  </si>
  <si>
    <t>RRM1,RRM2B</t>
  </si>
  <si>
    <t>P23921, Q7LG56</t>
  </si>
  <si>
    <t>CPX-376</t>
  </si>
  <si>
    <t>pyruvate dehydrogenase e1 component subunit beta, mitochondrial (pdhe1-b) (ec 1.2.4.1)</t>
  </si>
  <si>
    <t>PDHA1,PDHB</t>
  </si>
  <si>
    <t>P08559, P11177</t>
  </si>
  <si>
    <t>CPX-381</t>
  </si>
  <si>
    <t>interleukin-12 subunit beta (il-12b) (cytotoxic lymphocyte maturation factor 40 kda subunit) (clmf p40) (il-12 subunit p40) (nk cell stimulatory factor chain 2) (nksf2)</t>
  </si>
  <si>
    <t>P29460-PRO_0000010930,P29459-PRO_0000015604</t>
  </si>
  <si>
    <t>P29460, P29459</t>
  </si>
  <si>
    <t>interleukin-12 receptor subunit beta-1 (il-12 receptor subunit beta-1) (il-12r subunit beta-1) (il-12r-beta-1) (il-12rb1) (il-12 receptor beta component) (cd antigen cd212)</t>
  </si>
  <si>
    <t>TYK2,JAK2,P29460-PRO_0000010930,P29459-PRO_0000015604,P42701-PRO_0000010917,Q99665-PRO_0000010920</t>
  </si>
  <si>
    <t>P29597, O60674, P29460, P29459, P42701, Q99665</t>
  </si>
  <si>
    <t>TYK2,JAK2,P29460-PRO_0000010930,Q9NPF7-PRO_0000259488,Q5VWK5-PRO_0000268662,P42701-PRO_0000010917</t>
  </si>
  <si>
    <t>P29597, O60674, P29460, Q9NPF7, Q5VWK5, P42701</t>
  </si>
  <si>
    <t>collagen alpha-1(xxv) chain (alzheimer disease amyloid-associated protein) (amy) (clac-p) [cleaved into: collagen-like alzheimer amyloid plaque component (clac)]</t>
  </si>
  <si>
    <t>COL25A1</t>
  </si>
  <si>
    <t>Q9BXS0-2</t>
  </si>
  <si>
    <t>CPX-391</t>
  </si>
  <si>
    <t>Q9BXS0-3</t>
  </si>
  <si>
    <t>CPX-395</t>
  </si>
  <si>
    <t>gtpase hras (ec 3.6.5.2) (h-ras-1) (ha-ras) (transforming protein p21) (c-h-ras) (p21ras) [cleaved into: gtpase hras, n-terminally processed]</t>
  </si>
  <si>
    <t>HRAS,SOS1</t>
  </si>
  <si>
    <t>P01112, Q07889</t>
  </si>
  <si>
    <t>CPX-414</t>
  </si>
  <si>
    <t>polycomb group protein asxl1 (additional sex combs-like protein 1)</t>
  </si>
  <si>
    <t>ASXL1,BAP1</t>
  </si>
  <si>
    <t>Q8IXJ9, Q92560</t>
  </si>
  <si>
    <t>CPX-415</t>
  </si>
  <si>
    <t>replication factor c subunit 1 (activator 1 140 kda subunit) (a1 140 kda subunit) (activator 1 large subunit) (activator 1 subunit 1) (dna-binding protein po-ga) (replication factor c 140 kda subunit) (rf-c 140 kda subunit) (rfc140) (replication factor c large subunit)</t>
  </si>
  <si>
    <t>RFC4,RFC5,RFC2,RFC3,RFC1</t>
  </si>
  <si>
    <t>P35249, P40937, P35250, P40938, P35251</t>
  </si>
  <si>
    <t>CPX-419</t>
  </si>
  <si>
    <t>fact complex subunit spt16 (chromatin-specific transcription elongation factor 140 kda subunit) (fact 140 kda subunit) (factp140) (facilitates chromatin transcription complex subunit spt16) (hspt16)</t>
  </si>
  <si>
    <t>SUPT16H,SSRP1</t>
  </si>
  <si>
    <t>Q9Y5B9, Q08945</t>
  </si>
  <si>
    <t>CPX-439</t>
  </si>
  <si>
    <t>AXIN2,GSK3B,APC,CSNK1A1</t>
  </si>
  <si>
    <t>Q9Y2T1, P49841, P25054, P48729</t>
  </si>
  <si>
    <t>CPX-440</t>
  </si>
  <si>
    <t>APC2,AXIN2,GSK3B,CSNK1A1</t>
  </si>
  <si>
    <t>O95996, Q9Y2T1, P49841, P48729</t>
  </si>
  <si>
    <t>CPX-441</t>
  </si>
  <si>
    <t>APC,AXIN2,GSK3A,CSNK1A1</t>
  </si>
  <si>
    <t>P25054, Q9Y2T1, P49840, P48729</t>
  </si>
  <si>
    <t>CPX-442</t>
  </si>
  <si>
    <t>APC2,AXIN1,GSK3A,CSNK1A1</t>
  </si>
  <si>
    <t>O95996, O15169, P49840, P48729</t>
  </si>
  <si>
    <t>CPX-443</t>
  </si>
  <si>
    <t>GSK3A,CSNK1A1,AXIN2,APC2</t>
  </si>
  <si>
    <t>P49840, P48729, Q9Y2T1, O95996</t>
  </si>
  <si>
    <t>CPX-445</t>
  </si>
  <si>
    <t>multimerin-1 (emilin-4) (elastin microfibril interface located protein 4) (elastin microfibril interfacer 4) (endothelial cell multimerin) [cleaved into: platelet glycoprotein ia*; 155 kda platelet multimerin (p-155) (p155)]</t>
  </si>
  <si>
    <t>MMRN1</t>
  </si>
  <si>
    <t>Q13201</t>
  </si>
  <si>
    <t>CPX-460</t>
  </si>
  <si>
    <t>Q13201-PRO_0000367047</t>
  </si>
  <si>
    <t>CPX-461</t>
  </si>
  <si>
    <t>Q13201-PRO_0000367048</t>
  </si>
  <si>
    <t>CPX-466</t>
  </si>
  <si>
    <t>tenascin (tn) (cytotactin) (gmem) (gp 150-225) (glioma-associated-extracellular matrix antigen) (hexabrachion) (ji) (myotendinous antigen) (neuronectin) (tenascin-c) (tn-c)</t>
  </si>
  <si>
    <t>TNC</t>
  </si>
  <si>
    <t>P24821</t>
  </si>
  <si>
    <t>CPX-476</t>
  </si>
  <si>
    <t>exosome complex component csl4 (exosome component 1)</t>
  </si>
  <si>
    <t>EXOSC1,EXOSC2,EXOSC3,EXOSC4,EXOSC5,EXOSC6,EXOSC7,EXOSC8,EXOSC9,DIS3,EXOSC10</t>
  </si>
  <si>
    <t>Q9Y3B2, Q13868, Q9NQT5, Q9NPD3, Q9NQT4, Q5RKV6, Q15024, Q96B26, Q06265, Q9Y2L1, Q01780</t>
  </si>
  <si>
    <t>CPX-478</t>
  </si>
  <si>
    <t>dna excision repair protein ercc-1</t>
  </si>
  <si>
    <t>ERCC4,ERCC1</t>
  </si>
  <si>
    <t>Q92889, P07992-1</t>
  </si>
  <si>
    <t>CPX-484</t>
  </si>
  <si>
    <t>structure-specific endonuclease subunit slx4 (btb/poz domain-containing protein 12)</t>
  </si>
  <si>
    <t>TERF2,SLX4</t>
  </si>
  <si>
    <t>Q15554, Q8IY92</t>
  </si>
  <si>
    <t>CPX-497</t>
  </si>
  <si>
    <t>menin</t>
  </si>
  <si>
    <t>MEN1,JUND</t>
  </si>
  <si>
    <t>O00255, P17535</t>
  </si>
  <si>
    <t>beta-hexosaminidase subunit alpha (ec 3.2.1.52) (beta-n-acetylhexosaminidase subunit alpha) (hexosaminidase subunit a) (n-acetyl-beta-glucosaminidase subunit alpha)</t>
  </si>
  <si>
    <t>HEXA,HEXB</t>
  </si>
  <si>
    <t>P06865, P07686</t>
  </si>
  <si>
    <t>CPX-509</t>
  </si>
  <si>
    <t>CEBPB,CEBPA</t>
  </si>
  <si>
    <t>P17676, P49715</t>
  </si>
  <si>
    <t>CPX-538</t>
  </si>
  <si>
    <t>proliferating cell nuclear antigen (pcna) (cyclin)</t>
  </si>
  <si>
    <t>PCNA</t>
  </si>
  <si>
    <t>P12004</t>
  </si>
  <si>
    <t>CPX-553</t>
  </si>
  <si>
    <t>isocitrate dehydrogenase [nad] subunit alpha, mitochondrial (ec 1.1.1.41) (isocitric dehydrogenase subunit alpha) (nad(+)-specific icdh subunit alpha)</t>
  </si>
  <si>
    <t>IDH3A,IDH3G,IDH3B</t>
  </si>
  <si>
    <t>P50213, P51553, O43837</t>
  </si>
  <si>
    <t>CPX-561</t>
  </si>
  <si>
    <t>succinate dehydrogenase [ubiquinone] cytochrome b small subunit, mitochondrial (cybs) (cii-4) (malate dehydrogenase [quinone] cytochrome b small subunit) (qps3) (succinate dehydrogenase complex subunit d) (succinate-ubiquinone oxidoreductase cytochrome b small subunit) (succinate-ubiquinone reductase membrane anchor subunit)</t>
  </si>
  <si>
    <t>SDHB,SDHA,SDHD,SDHC</t>
  </si>
  <si>
    <t>P21912, P31040, O14521, Q99643</t>
  </si>
  <si>
    <t>CPX-591</t>
  </si>
  <si>
    <t>EXOSC1,EXOSC2,EXOSC3,EXOSC4,EXOSC5,EXOSC6,EXOSC7,EXOSC8,EXOSC9,EXOSC10</t>
  </si>
  <si>
    <t>Q9Y3B2, Q13868, Q9NQT5, Q9NPD3, Q9NQT4, Q5RKV6, Q15024, Q96B26, Q06265, Q01780</t>
  </si>
  <si>
    <t>CPX-592</t>
  </si>
  <si>
    <t>EXOSC1,EXOSC2,EXOSC3,EXOSC4,EXOSC5,EXOSC6,EXOSC7,EXOSC8,EXOSC9,DIS3L</t>
  </si>
  <si>
    <t>Q9Y3B2, Q13868, Q9NQT5, Q9NPD3, Q9NQT4, Q5RKV6, Q15024, Q96B26, Q06265, Q8TF46</t>
  </si>
  <si>
    <t>CPX-593</t>
  </si>
  <si>
    <t>EXOSC2,EXOSC3,EXOSC1,EXOSC4,EXOSC5,EXOSC6,EXOSC7,EXOSC8,EXOSC9,DIS3</t>
  </si>
  <si>
    <t>Q13868, Q9NQT5, Q9Y3B2, Q9NPD3, Q9NQT4, Q5RKV6, Q15024, Q96B26, Q06265, Q9Y2L1</t>
  </si>
  <si>
    <t>CPX-600</t>
  </si>
  <si>
    <t>EXOSC1,EXOSC2,EXOSC3,EXOSC4,EXOSC5,EXOSC6,EXOSC7,EXOSC8,EXOSC9,DIS3L,EXOSC10</t>
  </si>
  <si>
    <t>Q9Y3B2, Q13868, Q9NQT5, Q9NPD3, Q9NQT4, Q5RKV6, Q15024, Q96B26, Q06265, Q8TF46, Q01780</t>
  </si>
  <si>
    <t>CPX-605</t>
  </si>
  <si>
    <t>transforming growth factor beta-2 proprotein (cetermin) (glioblastoma-derived t-cell suppressor factor) (g-tsf) [cleaved into: latency-associated peptide (lap); transforming growth factor beta-2 (tgf-beta-2)]</t>
  </si>
  <si>
    <t>P61812-PRO_0000033785</t>
  </si>
  <si>
    <t>P61812</t>
  </si>
  <si>
    <t>CPX-606</t>
  </si>
  <si>
    <t>transforming growth factor beta-3 proprotein [cleaved into: latency-associated peptide (lap); transforming growth factor beta-3 (tgf-beta-3)]</t>
  </si>
  <si>
    <t>P10600-PRO_0000033797</t>
  </si>
  <si>
    <t>P10600</t>
  </si>
  <si>
    <t>CPX-618</t>
  </si>
  <si>
    <t>dna ligase 4 (ec 6.5.1.1) (dna ligase iv) (polydeoxyribonucleotide synthase [atp] 4)</t>
  </si>
  <si>
    <t>LIG4,XRCC4</t>
  </si>
  <si>
    <t>P49917, Q13426</t>
  </si>
  <si>
    <t>CPX-624</t>
  </si>
  <si>
    <t>interleukin-4 (il-4) (b-cell stimulatory factor 1) (bsf-1) (binetrakin) (lymphocyte stimulatory factor 1) (pitrakinra)</t>
  </si>
  <si>
    <t>IL4,IL4R,JAK2,TYK2,IL13RA1,JAK1</t>
  </si>
  <si>
    <t>P05112, P24394, O60674, P29597, P78552, P23458</t>
  </si>
  <si>
    <t>CPX-627</t>
  </si>
  <si>
    <t>cytokine receptor common subunit gamma (interleukin-2 receptor subunit gamma) (il-2 receptor subunit gamma) (il-2r subunit gamma) (il-2rg) (gammac) (p64) (cd antigen cd132)</t>
  </si>
  <si>
    <t>JAK1,IL2RG,IL15RA,IL2RB,IL15,JAK3</t>
  </si>
  <si>
    <t>P23458, P31785, Q13261, P14784, P40933, P52333</t>
  </si>
  <si>
    <t>CPX-646</t>
  </si>
  <si>
    <t>JAK1,JAK3,IL2,IL2RG,IL2RA,IL2RB</t>
  </si>
  <si>
    <t>P23458, P52333, P60568, P31785, P01589, P14784</t>
  </si>
  <si>
    <t>CPX-665</t>
  </si>
  <si>
    <t>follitropin subunit beta (follicle-stimulating hormone beta subunit) (fsh-b) (fsh-beta) (follitropin beta chain)</t>
  </si>
  <si>
    <t>CGA,FSHB</t>
  </si>
  <si>
    <t>P01215, P01225</t>
  </si>
  <si>
    <t>CPX-680</t>
  </si>
  <si>
    <t>rna-binding protein 8a (binder of ovca1-1) (bov-1) (rna-binding motif protein 8a) (rna-binding protein y14) (ribonucleoprotein rbm8a)</t>
  </si>
  <si>
    <t>MAGOHB,RBM8A</t>
  </si>
  <si>
    <t>Q96A72, Q9Y5S9</t>
  </si>
  <si>
    <t>CPX-682</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</si>
  <si>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</si>
  <si>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MAGOHB,RBM8A,CASC3,EIF4A3</t>
  </si>
  <si>
    <t>Q96A72, Q9Y5S9, O15234, P38919</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</si>
  <si>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</si>
  <si>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HEXB</t>
  </si>
  <si>
    <t>P07686</t>
  </si>
  <si>
    <t>HEXA</t>
  </si>
  <si>
    <t>P06865</t>
  </si>
  <si>
    <t>CPX-688</t>
  </si>
  <si>
    <t>nucleosome-remodeling factor subunit bptf (bromodomain and phd finger-containing transcription factor) (fetal alz-50 clone 1 protein) (fetal alzheimer antigen)</t>
  </si>
  <si>
    <t>SMARCA1,BPTF,RBBP4,RBBP7</t>
  </si>
  <si>
    <t>P28370, Q12830, Q09028, Q16576</t>
  </si>
  <si>
    <t>CPX-707</t>
  </si>
  <si>
    <t>ccr4-not transcription complex subunit 1 (ccr4-associated factor 1) (negative regulator of transcription subunit 1 homolog) (not1h) (hnot1)</t>
  </si>
  <si>
    <t>CNOT3,CNOT2,CNOT1,CNOT7,CNOT6,CNOT10,CNOT9,CNOT11,TNKS1BP1,CNOT4</t>
  </si>
  <si>
    <t>O75175, Q9NZN8, A5YKK6, Q9UIV1, Q9ULM6, Q9H9A5, Q92600, Q9UKZ1, Q9C0C2, O95628</t>
  </si>
  <si>
    <t>CPX-718</t>
  </si>
  <si>
    <t>chromatin modification-related protein meaf6 (myst/esa1-associated factor 6) (esa1-associated factor 6 homolog) (protein eaf6 homolog) (heaf6) (sarcoma antigen ny-sar-91)</t>
  </si>
  <si>
    <t>KAT7,ING4,MEAF6,JADE1</t>
  </si>
  <si>
    <t>O95251, Q9UNL4, Q9HAF1, Q6IE81</t>
  </si>
  <si>
    <t>CPX-719</t>
  </si>
  <si>
    <t>ING4,MEAF6,KAT7,JADE2</t>
  </si>
  <si>
    <t>Q9UNL4, Q9HAF1, O95251, Q9NQC1</t>
  </si>
  <si>
    <t>CPX-720</t>
  </si>
  <si>
    <t>ING4,MEAF6,KAT7,JADE3</t>
  </si>
  <si>
    <t>Q9UNL4, Q9HAF1, O95251, Q92613</t>
  </si>
  <si>
    <t>CPX-721</t>
  </si>
  <si>
    <t>ING5,MEAF6,KAT7,JADE1</t>
  </si>
  <si>
    <t>Q8WYH8, Q9HAF1, O95251, Q6IE81</t>
  </si>
  <si>
    <t>CPX-722</t>
  </si>
  <si>
    <t>ING5,MEAF6,KAT7,JADE2</t>
  </si>
  <si>
    <t>Q8WYH8, Q9HAF1, O95251, Q9NQC1</t>
  </si>
  <si>
    <t>CPX-723</t>
  </si>
  <si>
    <t>ING5,MEAF6,KAT7,JADE3</t>
  </si>
  <si>
    <t>Q8WYH8, Q9HAF1, O95251, Q92613</t>
  </si>
  <si>
    <t>CPX-727</t>
  </si>
  <si>
    <t>MEAF6,KAT6A,ING5,BRPF1</t>
  </si>
  <si>
    <t>Q9HAF1, Q92794, Q8WYH8, P55201</t>
  </si>
  <si>
    <t>CPX-733</t>
  </si>
  <si>
    <t>MEAF6,KAT6A,ING5,BRD1</t>
  </si>
  <si>
    <t>Q9HAF1, Q92794, Q8WYH8, O95696</t>
  </si>
  <si>
    <t>CPX-736</t>
  </si>
  <si>
    <t>MEAF6,KAT6A,ING5,BRPF3</t>
  </si>
  <si>
    <t>Q9HAF1, Q92794, Q8WYH8, Q9ULD4</t>
  </si>
  <si>
    <t>CPX-738</t>
  </si>
  <si>
    <t>MEAF6,KAT6B,ING5,BRPF1</t>
  </si>
  <si>
    <t>Q9HAF1, Q8WYB5, Q8WYH8, P55201</t>
  </si>
  <si>
    <t>CPX-739</t>
  </si>
  <si>
    <t>MEAF6,KAT6B,ING5,BRD1</t>
  </si>
  <si>
    <t>Q9HAF1, Q8WYB5, Q8WYH8, O95696</t>
  </si>
  <si>
    <t>CPX-740</t>
  </si>
  <si>
    <t>MEAF6,KAT6B,ING5,BRPF3</t>
  </si>
  <si>
    <t>Q9HAF1, Q8WYB5, Q8WYH8, Q9ULD4</t>
  </si>
  <si>
    <t>CPX-742</t>
  </si>
  <si>
    <t>interleukin-10 receptor subunit alpha (il-10 receptor subunit alpha) (il-10r subunit alpha) (il-10ra) (cdw210a) (interleukin-10 receptor subunit 1) (il-10r subunit 1) (il-10r1) (cd antigen cd210)</t>
  </si>
  <si>
    <t>IL10RA,IL10RB,TYK2,JAK1,IL10</t>
  </si>
  <si>
    <t>Q13651, Q08334, P29597, P23458, P22301</t>
  </si>
  <si>
    <t>CPX-745</t>
  </si>
  <si>
    <t>ribonuclease h2 subunit a (rnase h2 subunit a) (ec 3.1.26.4) (aicardi-goutieres syndrome 4 protein) (ags4) (rnase h(35)) (ribonuclease hi large subunit) (rnase hi large subunit) (ribonuclease hi subunit a)</t>
  </si>
  <si>
    <t>RNASEH2A,RNASEH2B,RNASEH2C</t>
  </si>
  <si>
    <t>O75792, Q5TBB1, Q8TDP1</t>
  </si>
  <si>
    <t>CPX-787</t>
  </si>
  <si>
    <t>dna replication complex gins protein psf1 (gins complex subunit 1)</t>
  </si>
  <si>
    <t>GINS2,GINS1,GINS4,GINS3</t>
  </si>
  <si>
    <t>Q9Y248, Q14691, Q9BRT9, Q9BRX5</t>
  </si>
  <si>
    <t>CPX-791</t>
  </si>
  <si>
    <t>vinculin (metavinculin) (mv)</t>
  </si>
  <si>
    <t>VCL,TLN1</t>
  </si>
  <si>
    <t>P18206, Q9Y490</t>
  </si>
  <si>
    <t>IL21,IL21R,IL2RG,JAK1,JAK3</t>
  </si>
  <si>
    <t>Q9HBE4, Q9HBE5, P31785, P23458, P52333</t>
  </si>
  <si>
    <t>CPX-834</t>
  </si>
  <si>
    <t>TGFBR1,TGFBR2,P61812-PRO_0000033785</t>
  </si>
  <si>
    <t>P36897, P37173, P61812</t>
  </si>
  <si>
    <t>CPX-846</t>
  </si>
  <si>
    <t>actin-like protein 6a (53 kda brg1-associated factor a) (actin-related protein baf53a) (arpnbeta) (brg1-associated factor 53a) (baf53a) (ino80 complex subunit k)</t>
  </si>
  <si>
    <t>TFPT,NFRKB,RUVBL1,RUVBL2,INO80,UCHL5,INO80C,ACTR5,YY1,ACTR8,ACTL6A,INO80B,INO80E,MCRS1,INO80D</t>
  </si>
  <si>
    <t>P0C1Z6, Q6P4R8, Q9Y265, Q9Y230, Q9ULG1, Q9Y5K5, Q6PI98, Q9H9F9, P25490, Q9H981, O96019, Q9C086, Q8NBZ0, Q96EZ8, Q53TQ3</t>
  </si>
  <si>
    <t>CPX-848</t>
  </si>
  <si>
    <t>trna (guanine-n(7)-)-methyltransferase non-catalytic subunit wdr4 (protein wuho homolog) (hwh) (wd repeat-containing protein 4)</t>
  </si>
  <si>
    <t>METTL1,WDR4</t>
  </si>
  <si>
    <t>Q9UBP6, P57081</t>
  </si>
  <si>
    <t>CPX-850</t>
  </si>
  <si>
    <t>ANXA2,S100A10,AHNAK</t>
  </si>
  <si>
    <t>P07355, P60903, Q09666</t>
  </si>
  <si>
    <t>CPX-853</t>
  </si>
  <si>
    <t>ANXA2,S100A10</t>
  </si>
  <si>
    <t>P07355, P60903</t>
  </si>
  <si>
    <t>CPX-856</t>
  </si>
  <si>
    <t>ANXA2,S100A10,HLTF</t>
  </si>
  <si>
    <t>P07355, P60903, Q14527</t>
  </si>
  <si>
    <t>CPX-873</t>
  </si>
  <si>
    <t>aladin (adracalin)</t>
  </si>
  <si>
    <t>NUP42,GLE1,RAE1,NUP160,NUP85,SEH1L,SEC13,NUP107,NUP133,RANBP2,NUP43,AHCTF1,NUP37,NUP188,NUP205,NUP155,NUP93,NUP35,NUP62,NUP54,NUP58,NUP88,NUP214,NDC1,NUP210,POM121,TPR,NUP153,NUP50,AAAS,P52948-PRO_0000019930,P52948-PRO_0000019929</t>
  </si>
  <si>
    <t>O15504, Q53GS7, P78406, Q12769, Q9BW27, Q96EE3, P55735, P57740, Q8WUM0, P49792, Q8NFH3, Q8WYP5, Q8NFH4, Q5SRE5, Q92621, O75694, Q8N1F7, Q8NFH5, P37198, Q7Z3B4, Q9BVL2, Q99567, P35658, Q9BTX1, Q8TEM1, Q96HA1, P12270, P49790, Q9UKX7, Q9NRG9, P52948, P52948</t>
  </si>
  <si>
    <t>CPX-876</t>
  </si>
  <si>
    <t>wd repeat-containing protein 26 (cul4- and ddb1-associated wdr protein 2) (myocardial ischemic preconditioning up-regulated protein 2)</t>
  </si>
  <si>
    <t>ARMC8,RANBP9,GID8,MKLN1,MAEA,YPEL5,GID4,RMND5A,WDR26</t>
  </si>
  <si>
    <t>Q8IUR7, Q96S59, Q9NWU2, Q9UL63, Q7L5Y9, P62699, Q8IVV7, Q9H871, Q9H7D7</t>
  </si>
  <si>
    <t>CPX-888</t>
  </si>
  <si>
    <t>keratin, type i cytoskeletal 14 (cytokeratin-14) (ck-14) (keratin-14) (k14)</t>
  </si>
  <si>
    <t>KRT14,KRT5</t>
  </si>
  <si>
    <t>P02533, P13647</t>
  </si>
  <si>
    <t>CPX-889</t>
  </si>
  <si>
    <t>non-pou domain-containing octamer-binding protein (nono protein) (54 kda nuclear rna- and dna-binding protein) (p54(nrb)) (p54nrb) (55 kda nuclear protein) (nmt55) (dna-binding p52/p100 complex, 52 kda subunit)</t>
  </si>
  <si>
    <t>PSPC1,NONO</t>
  </si>
  <si>
    <t>Q8WXF1, Q15233</t>
  </si>
  <si>
    <t>CPX-909</t>
  </si>
  <si>
    <t>neurexin-1-beta (neurexin i-beta)</t>
  </si>
  <si>
    <t>NLGN1,NRXN1</t>
  </si>
  <si>
    <t>Q8N2Q7, P58400-1</t>
  </si>
  <si>
    <t>CPX-912</t>
  </si>
  <si>
    <t>ccaat/enhancer-binding protein epsilon (c/ebp epsilon)</t>
  </si>
  <si>
    <t>CEBPE</t>
  </si>
  <si>
    <t>Q15744</t>
  </si>
  <si>
    <t>CPX-915</t>
  </si>
  <si>
    <t>tata-box-binding protein (tata sequence-binding protein) (tata-binding factor) (tata-box factor) (transcription initiation factor tfiid tbp subunit)</t>
  </si>
  <si>
    <t>TAF12,TAF5,TBP,TAF1,TAF2,TAF3,TAF4,TAF6,TAF7,TAF8,TAF9,TAF10,TAF11,TAF13</t>
  </si>
  <si>
    <t>Q16514, Q15542, P20226, P21675, Q6P1X5, Q5VWG9, O00268, P49848, Q15545, Q7Z7C8, Q16594, Q12962, Q15544, Q15543</t>
  </si>
  <si>
    <t>CPX-929</t>
  </si>
  <si>
    <t>coagulation factor viii (antihemophilic factor) (ahf) (procoagulant component) [cleaved into: factor viiia heavy chain, 200 kda isoform; factor viiia heavy chain, 92 kda isoform; factor viii b chain; factor viiia light chain]</t>
  </si>
  <si>
    <t>P00451-PRO_0000002969,P00451-PRO_0000002971</t>
  </si>
  <si>
    <t>P00451, P00451</t>
  </si>
  <si>
    <t>CPX-930</t>
  </si>
  <si>
    <t>TAF12,TAF5,TBP,TAF1,TAF2,TAF3,TAF4B,TAF6,TAF7,TAF8,TAF9,TAF10,TAF11,TAF13</t>
  </si>
  <si>
    <t>Q16514, Q15542, P20226, P21675, Q6P1X5, Q5VWG9, Q92750, P49848, Q15545, Q7Z7C8, Q16594, Q12962, Q15544, Q15543</t>
  </si>
  <si>
    <t>CPX-937</t>
  </si>
  <si>
    <t>neurogenic locus notch homolog protein 1 (notch 1) (hn1) (translocation-associated notch protein tan-1) [cleaved into: notch 1 extracellular truncation (next); notch 1 intracellular domain (nicd)]</t>
  </si>
  <si>
    <t>MAML1,NOTCH1,RBPJ</t>
  </si>
  <si>
    <t>Q92585, P46531, Q06330</t>
  </si>
  <si>
    <t>CPX-943</t>
  </si>
  <si>
    <t>insulin [cleaved into: insulin b chain; insulin a chain]</t>
  </si>
  <si>
    <t>P01308-PRO_0000015821,P01308-PRO_0000015819</t>
  </si>
  <si>
    <t>P01308, P01308</t>
  </si>
  <si>
    <t>CPX-944</t>
  </si>
  <si>
    <t>dna (cytosine-5)-methyltransferase 3a (dnmt3a) (ec 2.1.1.37) (cysteine methyltransferase dnmt3a) (ec 2.1.1.-) (dna methyltransferase hsaiiia) (dna mtase hsaiiia) (m.hsaiiia)</t>
  </si>
  <si>
    <t>DNMT3L,DNMT3A</t>
  </si>
  <si>
    <t>Q9UJW3, Q9Y6K1</t>
  </si>
  <si>
    <t>CPX-973</t>
  </si>
  <si>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</si>
  <si>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P01024-PRO_0000005908,P01024-PRO_0000005911</t>
  </si>
  <si>
    <t>P01024, P01024</t>
  </si>
  <si>
    <t>CPX-974</t>
  </si>
  <si>
    <t>SRCAP,RUVBL1,RUVBL2,ACTL6A,ACTR6,YEATS4,DMAP1,VPS72,ZNHIT1</t>
  </si>
  <si>
    <t>Q6ZRS2, Q9Y265, Q9Y230, O96019, Q9GZN1, O95619, Q9NPF5, Q15906, O43257</t>
  </si>
  <si>
    <t>CPX-975</t>
  </si>
  <si>
    <t>caspase-8 (casp-8) (ec 3.4.22.61) (apoptotic cysteine protease) (apoptotic protease mch-5) (cap4) (fadd-homologous ice/ced-3-like protease) (fadd-like ice) (flice) (ice-like apoptotic protease 5) (mort1-associated ced-3 homolog) (mach) [cleaved into: caspase-8 subunit p18; caspase-8 subunit p10]</t>
  </si>
  <si>
    <t>Q14790-PRO_0000004629,Q14790-PRO_0000004631</t>
  </si>
  <si>
    <t>Q14790, Q14790</t>
  </si>
  <si>
    <t>CPX-983</t>
  </si>
  <si>
    <t>krev interaction trapped protein 1 (krev interaction trapped 1) (cerebral cavernous malformations 1 protein)</t>
  </si>
  <si>
    <t>ITGB1BP1,KRIT1</t>
  </si>
  <si>
    <t>O14713, O00522</t>
  </si>
  <si>
    <t>CPX-984</t>
  </si>
  <si>
    <t>cerebral cavernous malformations 2 protein (malcavernin)</t>
  </si>
  <si>
    <t>CCM2,PDCD10,KRIT1</t>
  </si>
  <si>
    <t>Q9BSQ5, Q9BUL8, O00522</t>
  </si>
  <si>
    <t>CPX-994</t>
  </si>
  <si>
    <t>mitotic spindle assembly checkpoint protein mad2b (mitotic arrest deficient 2-like protein 2) (mad2-like protein 2) (rev7 homolog) (hrev7)</t>
  </si>
  <si>
    <t>REV3L,MAD2L2,POLD3,POLD2</t>
  </si>
  <si>
    <t>O60673, Q9UI95, Q15054, P49005</t>
  </si>
  <si>
    <t>calm_human,PPP3CB,PPP3R1,AKAP5</t>
  </si>
  <si>
    <t>P62158, P16298, P63098, P24588</t>
  </si>
  <si>
    <t>CPX-1001</t>
  </si>
  <si>
    <t>calm_human,PPP3CC,PPP3R1</t>
  </si>
  <si>
    <t>P62158, P48454, P63098</t>
  </si>
  <si>
    <t>CPX-1002</t>
  </si>
  <si>
    <t>PPP3CB,PPP3R2,calm_human</t>
  </si>
  <si>
    <t>P16298, Q96LZ3, P62158</t>
  </si>
  <si>
    <t>PPP3CB,PPP3R1,calm_human</t>
  </si>
  <si>
    <t>P16298, P63098, P62158</t>
  </si>
  <si>
    <t>CPX-1014</t>
  </si>
  <si>
    <t>tenascin-x (tn-x) (hexabrachion-like protein)</t>
  </si>
  <si>
    <t>TNXB</t>
  </si>
  <si>
    <t>P22105</t>
  </si>
  <si>
    <t>CPX-1019</t>
  </si>
  <si>
    <t>tenascin-r (tn-r) (janusin) (restrictin)</t>
  </si>
  <si>
    <t>TNR</t>
  </si>
  <si>
    <t>Q92752</t>
  </si>
  <si>
    <t>CPX-1050</t>
  </si>
  <si>
    <t>calm_human,PPP3CC,PPP3R2</t>
  </si>
  <si>
    <t>P62158, P48454, Q96LZ3</t>
  </si>
  <si>
    <t>CPX-1072</t>
  </si>
  <si>
    <t>PRKRA,DICER1</t>
  </si>
  <si>
    <t>O75569, Q9UPY3</t>
  </si>
  <si>
    <t>CPX-1080</t>
  </si>
  <si>
    <t>heterogeneous nuclear ribonucleoprotein u (hnrnp u) (grip120) (nuclear p120 ribonucleoprotein) (scaffold-attachment factor a) (saf-a) (p120) (pp120)</t>
  </si>
  <si>
    <t>SYNCRIP,YBX1,IGF2BP1,DHX9,HNRNPU</t>
  </si>
  <si>
    <t>O60506, P67809, Q9NZI8, Q08211, Q00839</t>
  </si>
  <si>
    <t>CPX-1099</t>
  </si>
  <si>
    <t>dna excision repair protein ercc-6 (ec 3.6.4.-) (atp-dependent helicase ercc6) (cockayne syndrome protein csb)</t>
  </si>
  <si>
    <t>BAZ1B,SMARCA5,DDX21,DEK,ERCC6,MYBBP1A,MYO1C,SF3B1</t>
  </si>
  <si>
    <t>Q9UIG0, O60264, Q9NR30, P35659, Q03468, Q9BQG0, O00159-3, O75533</t>
  </si>
  <si>
    <t>calm_human,PPP3CC,PPP3R1,AKAP5</t>
  </si>
  <si>
    <t>P62158, P48454, P63098, P24588</t>
  </si>
  <si>
    <t>CPX-1116</t>
  </si>
  <si>
    <t>calm_human,PPP3CB,PPP3R2,AKAP5</t>
  </si>
  <si>
    <t>P62158, P16298, Q96LZ3, P24588</t>
  </si>
  <si>
    <t>CPX-1118</t>
  </si>
  <si>
    <t>calm_human,PPP3CC,PPP3R2,AKAP5</t>
  </si>
  <si>
    <t>P62158, P48454, Q96LZ3, P24588</t>
  </si>
  <si>
    <t>CPX-1159</t>
  </si>
  <si>
    <t>centromere protein j (cenp-j) (centrosomal p4.1-associated protein) (lag-3-associated protein) (lyst-interacting protein 1)</t>
  </si>
  <si>
    <t>STIL,SASS6,CENPJ</t>
  </si>
  <si>
    <t>Q15468, Q6UVJ0, Q9HC77</t>
  </si>
  <si>
    <t>CPX-1163</t>
  </si>
  <si>
    <t>wash complex subunit 4 (strumpellin and wash-interacting protein) (swip) (wash complex subunit swip)</t>
  </si>
  <si>
    <t>WASHC2C,WASHC3,WASHC4,WASHC5,WASHC1</t>
  </si>
  <si>
    <t>Q9Y4E1, Q9Y3C0, Q2M389, Q12768, A8K0Z3</t>
  </si>
  <si>
    <t>CPX-1164</t>
  </si>
  <si>
    <t>ACTL6A,ACTB,ARID1A,SMARCA2,SMARCB1,SMARCC1,SMARCC2,SMARCD1,SMARCD2,SMARCD3,SMARCE1</t>
  </si>
  <si>
    <t>O96019, P60709, O14497, P51531, Q12824, Q92922, Q8TAQ2, Q96GM5, Q92925, Q6STE5, Q969G3</t>
  </si>
  <si>
    <t>CPX-1168</t>
  </si>
  <si>
    <t>WASHC2C,WASHC3,WASHC4,WASHC5,WASH2P</t>
  </si>
  <si>
    <t>Q9Y4E1, Q9Y3C0, Q2M389, Q12768, Q6VEQ5</t>
  </si>
  <si>
    <t>CPX-1169</t>
  </si>
  <si>
    <t>WASHC2C,WASHC3,WASHC4,WASHC5,WASH3P</t>
  </si>
  <si>
    <t>Q9Y4E1, Q9Y3C0, Q2M389, Q12768, C4AMC7</t>
  </si>
  <si>
    <t>CPX-1170</t>
  </si>
  <si>
    <t>WASHC2C,WASHC3,WASHC4,WASHC5,WASH4P</t>
  </si>
  <si>
    <t>Q9Y4E1, Q9Y3C0, Q2M389, Q12768, A8MWX3</t>
  </si>
  <si>
    <t>CPX-1171</t>
  </si>
  <si>
    <t>WASHC2C,WASHC3,WASHC4,WASHC5,WASH6P</t>
  </si>
  <si>
    <t>Q9Y4E1, Q9Y3C0, Q2M389, Q12768, Q9NQA3</t>
  </si>
  <si>
    <t>CPX-1172</t>
  </si>
  <si>
    <t>WASHC2A,WASHC3,WASHC4,WASHC5,WASHC1</t>
  </si>
  <si>
    <t>Q641Q2, Q9Y3C0, Q2M389, Q12768, A8K0Z3</t>
  </si>
  <si>
    <t>CPX-1173</t>
  </si>
  <si>
    <t>WASH2P,WASHC2A,WASHC3,WASHC4,WASHC5</t>
  </si>
  <si>
    <t>Q6VEQ5, Q641Q2, Q9Y3C0, Q2M389, Q12768</t>
  </si>
  <si>
    <t>CPX-1174</t>
  </si>
  <si>
    <t>WASHC2A,WASHC3,WASHC4,WASHC5,WASH3P</t>
  </si>
  <si>
    <t>Q641Q2, Q9Y3C0, Q2M389, Q12768, C4AMC7</t>
  </si>
  <si>
    <t>CPX-1175</t>
  </si>
  <si>
    <t>WASHC2A,WASHC3,WASHC4,WASHC5,WASH4P</t>
  </si>
  <si>
    <t>Q641Q2, Q9Y3C0, Q2M389, Q12768, A8MWX3</t>
  </si>
  <si>
    <t>CPX-1176</t>
  </si>
  <si>
    <t>WASHC2A,WASHC3,WASHC4,WASHC5,WASH6P</t>
  </si>
  <si>
    <t>Q641Q2, Q9Y3C0, Q2M389, Q12768, Q9NQA3</t>
  </si>
  <si>
    <t>ACTL6A,ACTB,ARID1A,SMARCA2,SMARCB1,SMARCC1,SMARCC2,SMARCD1,SMARCD2,SMARCD3,SMARCE1,DPF3</t>
  </si>
  <si>
    <t>O96019, P60709, O14497, P51531, Q12824, Q92922, Q8TAQ2, Q96GM5, Q92925, Q6STE5, Q969G3, Q92784</t>
  </si>
  <si>
    <t>CPX-1195</t>
  </si>
  <si>
    <t>ARID1A,SMARCA4,SMARCB1,SMARCC1,BCL7A,SMARCD1,BCL7B,SMARCE1,BCL7C,DPF2,ACTL6A,ACTB,PHF10</t>
  </si>
  <si>
    <t>O14497, P51532, Q12824, Q92922, Q4VC05, Q96GM5, Q9BQE9, Q969G3, Q8WUZ0, Q92785, O96019, P60709, Q8WUB8</t>
  </si>
  <si>
    <t>CPX-1201</t>
  </si>
  <si>
    <t>ACTL6A,ACTB,ARID1A,SMARCA2,SMARCB1,SMARCC1,SMARCC2,SMARCD1,PHF10,SMARCD3,SMARCE1</t>
  </si>
  <si>
    <t>O96019, P60709, O14497, P51531, Q12824, Q92922, Q8TAQ2, Q96GM5, Q8WUB8, Q6STE5, Q969G3</t>
  </si>
  <si>
    <t>DPF3,ACTL6B,ACTB,ARID1A,SMARCA2,SMARCB1,SMARCC1,SMARCC2,SMARCD1,DPF1,SMARCD3,SMARCE1</t>
  </si>
  <si>
    <t>Q92784, O94805, P60709, O14497, P51531, Q12824, Q92922, Q8TAQ2, Q96GM5, Q92782, Q6STE5, Q969G3</t>
  </si>
  <si>
    <t>ACTL6B,ACTB,ARID1A,SMARCA2,SMARCB1,SMARCC2,SMARCD2,SMARCE1</t>
  </si>
  <si>
    <t>O94805, P60709, O14497, P51531, Q12824, Q8TAQ2, Q92925, Q969G3</t>
  </si>
  <si>
    <t>CPX-1204</t>
  </si>
  <si>
    <t>ACTL6A,ACTB,ARID1A,SMARCA4,SMARCB1,SMARCC1,SMARCC2,SMARCD1,SMARCD2,SMARCD3,SMARCE1</t>
  </si>
  <si>
    <t>O96019, P60709, O14497, P51532, Q12824, Q92922, Q8TAQ2, Q96GM5, Q92925, Q6STE5, Q969G3</t>
  </si>
  <si>
    <t>CPX-1205</t>
  </si>
  <si>
    <t>ACTL6A,ACTB,ARID1B,SMARCA2,SMARCB1,SMARCC1,SMARCC2,SMARCD1,SMARCD2,SMARCD3,SMARCE1</t>
  </si>
  <si>
    <t>O96019, P60709, Q8NFD5, P51531, Q12824, Q92922, Q8TAQ2, Q96GM5, Q92925, Q6STE5, Q969G3</t>
  </si>
  <si>
    <t>CPX-1206</t>
  </si>
  <si>
    <t>ACTL6A,ACTB,ARID1B,SMARCA4,SMARCB1,SMARCC1,SMARCC2,SMARCD1,SMARCD2,SMARCD3,SMARCE1</t>
  </si>
  <si>
    <t>O96019, P60709, Q8NFD5, P51532, Q12824, Q92922, Q8TAQ2, Q96GM5, Q92925, Q6STE5, Q969G3</t>
  </si>
  <si>
    <t>ACTL6B,ACTB,ARID1A,SMARCA2,SMARCB1,SMARCC1,SMARCC2,SMARCD1,SMARCD2,SMARCD3,SMARCE1</t>
  </si>
  <si>
    <t>O94805, P60709, O14497, P51531, Q12824, Q92922, Q8TAQ2, Q96GM5, Q92925, Q6STE5, Q969G3</t>
  </si>
  <si>
    <t>ACTL6B,ACTB,ARID1A,SMARCA4,SMARCB1,SMARCC1,SMARCC2,SMARCD1,SMARCD2,SMARCD3,SMARCE1</t>
  </si>
  <si>
    <t>O94805, P60709, O14497, P51532, Q12824, Q92922, Q8TAQ2, Q96GM5, Q92925, Q6STE5, Q969G3</t>
  </si>
  <si>
    <t>CPX-1210</t>
  </si>
  <si>
    <t>ACTL6B,ACTB,ARID1B,SMARCA2,SMARCB1,SMARCC1,SMARCC2,SMARCD1,SMARCD2,SMARCD3,SMARCE1</t>
  </si>
  <si>
    <t>O94805, P60709, Q8NFD5, P51531, Q12824, Q92922, Q8TAQ2, Q96GM5, Q92925, Q6STE5, Q969G3</t>
  </si>
  <si>
    <t>CPX-1211</t>
  </si>
  <si>
    <t>ACTL6B,ACTB,ARID1B,SMARCA4,SMARCB1,SMARCC1,SMARCC2,SMARCD1,SMARCD2,SMARCD3,SMARCE1</t>
  </si>
  <si>
    <t>O94805, P60709, Q8NFD5, P51532, Q12824, Q92922, Q8TAQ2, Q96GM5, Q92925, Q6STE5, Q969G3</t>
  </si>
  <si>
    <t>CPX-1212</t>
  </si>
  <si>
    <t>ACTL6A,ACTB,ARID1A,SMARCA4,SMARCB1,SMARCC1,SMARCC2,SMARCD1,PHF10,SMARCD3,SMARCE1</t>
  </si>
  <si>
    <t>O96019, P60709, O14497, P51532, Q12824, Q92922, Q8TAQ2, Q96GM5, Q8WUB8, Q6STE5, Q969G3</t>
  </si>
  <si>
    <t>CPX-1213</t>
  </si>
  <si>
    <t>ACTL6A,ACTB,ARID1B,SMARCA2,SMARCB1,SMARCC1,SMARCC2,SMARCD1,PHF10,SMARCD3,SMARCE1</t>
  </si>
  <si>
    <t>O96019, P60709, Q8NFD5, P51531, Q12824, Q92922, Q8TAQ2, Q96GM5, Q8WUB8, Q6STE5, Q969G3</t>
  </si>
  <si>
    <t>CPX-1215</t>
  </si>
  <si>
    <t>ACTL6A,ACTB,ARID1B,SMARCA4,SMARCB1,SMARCC1,SMARCC2,SMARCD1,PHF10,SMARCD3,SMARCE1</t>
  </si>
  <si>
    <t>O96019, P60709, Q8NFD5, P51532, Q12824, Q92922, Q8TAQ2, Q96GM5, Q8WUB8, Q6STE5, Q969G3</t>
  </si>
  <si>
    <t>DPF3,ACTL6B,ACTB,ARID1A,SMARCA4,SMARCB1,SMARCC1,SMARCC2,SMARCD1,DPF1,SMARCD3,SMARCE1</t>
  </si>
  <si>
    <t>Q92784, O94805, P60709, O14497, P51532, Q12824, Q92922, Q8TAQ2, Q96GM5, Q92782, Q6STE5, Q969G3</t>
  </si>
  <si>
    <t>DPF3,ACTL6B,ACTB,ARID1B,SMARCA2,SMARCB1,SMARCC1,SMARCC2,SMARCD1,DPF1,SMARCD3,SMARCE1</t>
  </si>
  <si>
    <t>Q92784, O94805, P60709, Q8NFD5, P51531, Q12824, Q92922, Q8TAQ2, Q96GM5, Q92782, Q6STE5, Q969G3</t>
  </si>
  <si>
    <t>DPF3,ACTL6B,ACTB,ARID1B,SMARCA4,SMARCB1,SMARCC1,SMARCC2,SMARCD1,DPF1,SMARCD3,SMARCE1</t>
  </si>
  <si>
    <t>Q92784, O94805, P60709, Q8NFD5, P51532, Q12824, Q92922, Q8TAQ2, Q96GM5, Q92782, Q6STE5, Q969G3</t>
  </si>
  <si>
    <t>ACTL6B,ACTB,ARID1A,SMARCA4,SMARCB1,SMARCC2,SMARCD2,SMARCE1</t>
  </si>
  <si>
    <t>O94805, P60709, O14497, P51532, Q12824, Q8TAQ2, Q92925, Q969G3</t>
  </si>
  <si>
    <t>CPX-1220</t>
  </si>
  <si>
    <t>ACTL6B,ACTB,ARID1B,SMARCA2,SMARCB1,SMARCC2,SMARCD2,SMARCE1</t>
  </si>
  <si>
    <t>O94805, P60709, Q8NFD5, P51531, Q12824, Q8TAQ2, Q92925, Q969G3</t>
  </si>
  <si>
    <t>CPX-1221</t>
  </si>
  <si>
    <t>ACTL6B,ACTB,ARID1B,SMARCA4,SMARCB1,SMARCC2,SMARCD2,SMARCE1</t>
  </si>
  <si>
    <t>O94805, P60709, Q8NFD5, P51532, Q12824, Q8TAQ2, Q92925, Q969G3</t>
  </si>
  <si>
    <t>CPX-1222</t>
  </si>
  <si>
    <t>ACTB,ARID1A,SMARCA4,SMARCB1,ACTL6A,SMARCC1,SMARCC2,SMARCD1,SMARCD2,SMARCD3,SMARCE1,DPF3</t>
  </si>
  <si>
    <t>P60709, O14497, P51532, Q12824, O96019, Q92922, Q8TAQ2, Q96GM5, Q92925, Q6STE5, Q969G3, Q92784</t>
  </si>
  <si>
    <t>CPX-1223</t>
  </si>
  <si>
    <t>ACTL6A,ACTB,ARID1B,SMARCA2,SMARCB1,SMARCC1,SMARCC2,SMARCD1,SMARCD2,SMARCD3,SMARCE1,DPF3</t>
  </si>
  <si>
    <t>O96019, P60709, Q8NFD5, P51531, Q12824, Q92922, Q8TAQ2, Q96GM5, Q92925, Q6STE5, Q969G3, Q92784</t>
  </si>
  <si>
    <t>CPX-1224</t>
  </si>
  <si>
    <t>ACTB,ARID1B,SMARCA4,SMARCB1,ACTL6A,SMARCC1,SMARCC2,SMARCD1,SMARCD2,SMARCD3,SMARCE1,DPF3</t>
  </si>
  <si>
    <t>P60709, Q8NFD5, P51532, Q12824, O96019, Q92922, Q8TAQ2, Q96GM5, Q92925, Q6STE5, Q969G3, Q92784</t>
  </si>
  <si>
    <t>ACTL6B,ACTB,ARID1A,SMARCA2,SMARCB1,SMARCC1,SMARCC2,SMARCD1,SMARCD2,SMARCD3,SMARCE1,DPF3</t>
  </si>
  <si>
    <t>O94805, P60709, O14497, P51531, Q12824, Q92922, Q8TAQ2, Q96GM5, Q92925, Q6STE5, Q969G3, Q92784</t>
  </si>
  <si>
    <t>ACTL6B,ACTB,ARID1A,SMARCA4,SMARCB1,SMARCC1,SMARCC2,SMARCD1,SMARCD2,SMARCD3,SMARCE1,DPF3</t>
  </si>
  <si>
    <t>O94805, P60709, O14497, P51532, Q12824, Q92922, Q8TAQ2, Q96GM5, Q92925, Q6STE5, Q969G3, Q92784</t>
  </si>
  <si>
    <t>CPX-1227</t>
  </si>
  <si>
    <t>ACTL6B,ACTB,ARID1B,SMARCA2,SMARCB1,SMARCC1,SMARCC2,SMARCD1,SMARCD2,SMARCD3,SMARCE1,DPF3</t>
  </si>
  <si>
    <t>O94805, P60709, Q8NFD5, P51531, Q12824, Q92922, Q8TAQ2, Q96GM5, Q92925, Q6STE5, Q969G3, Q92784</t>
  </si>
  <si>
    <t>CPX-1228</t>
  </si>
  <si>
    <t>ACTL6B,ACTB,ARID1B,SMARCA4,SMARCB1,SMARCC1,SMARCC2,SMARCD1,SMARCD2,SMARCD3,SMARCE1,DPF3</t>
  </si>
  <si>
    <t>O94805, P60709, Q8NFD5, P51532, Q12824, Q92922, Q8TAQ2, Q96GM5, Q92925, Q6STE5, Q969G3, Q92784</t>
  </si>
  <si>
    <t>CPX-1299</t>
  </si>
  <si>
    <t>centrosomal protein of 152 kda (cep152)</t>
  </si>
  <si>
    <t>PLK4,CEP152</t>
  </si>
  <si>
    <t>O00444, O94986</t>
  </si>
  <si>
    <t>CPX-1650</t>
  </si>
  <si>
    <t>collagen alpha-1(i) chain (alpha-1 type i collagen)</t>
  </si>
  <si>
    <t>COL1A2,COL1A1</t>
  </si>
  <si>
    <t>P08123, P02452</t>
  </si>
  <si>
    <t>CPX-1713</t>
  </si>
  <si>
    <t>collagen alpha-1(ii) chain (alpha-1 type ii collagen) [cleaved into: collagen alpha-1(ii) chain; chondrocalcin]</t>
  </si>
  <si>
    <t>COL2A1</t>
  </si>
  <si>
    <t>P02458</t>
  </si>
  <si>
    <t>CPX-1714</t>
  </si>
  <si>
    <t>collagen alpha-1(iii) chain</t>
  </si>
  <si>
    <t>COL3A1</t>
  </si>
  <si>
    <t>P02461</t>
  </si>
  <si>
    <t>collagen alpha-1(iv) chain [cleaved into: arresten]</t>
  </si>
  <si>
    <t>COL4A2,COL4A1</t>
  </si>
  <si>
    <t>P08572, P02462</t>
  </si>
  <si>
    <t>CPX-1724</t>
  </si>
  <si>
    <t>collagen alpha-5(iv) chain</t>
  </si>
  <si>
    <t>COL4A6,COL4A5</t>
  </si>
  <si>
    <t>Q14031, P29400</t>
  </si>
  <si>
    <t>CPX-1725</t>
  </si>
  <si>
    <t>collagen alpha-3(iv) chain (goodpasture antigen) [cleaved into: tumstatin]</t>
  </si>
  <si>
    <t>COL4A5,COL4A4,COL4A3</t>
  </si>
  <si>
    <t>P29400, P53420, Q01955</t>
  </si>
  <si>
    <t>collagen alpha-1(v) chain</t>
  </si>
  <si>
    <t>COL5A1,COL5A2</t>
  </si>
  <si>
    <t>P20908, P05997</t>
  </si>
  <si>
    <t>COL5A2,COL5A3,COL5A1</t>
  </si>
  <si>
    <t>P05997, P25940, P20908</t>
  </si>
  <si>
    <t>COL5A1</t>
  </si>
  <si>
    <t>P20908</t>
  </si>
  <si>
    <t>collagen alpha-1(vi) chain</t>
  </si>
  <si>
    <t>COL6A2,COL6A1,COL6A3</t>
  </si>
  <si>
    <t>P12110, P12109, P12111</t>
  </si>
  <si>
    <t>CPX-1737</t>
  </si>
  <si>
    <t>collagen alpha-1(vii) chain (long-chain collagen) (lc collagen)</t>
  </si>
  <si>
    <t>COL7A1</t>
  </si>
  <si>
    <t>Q02388</t>
  </si>
  <si>
    <t>CPX-1745</t>
  </si>
  <si>
    <t>collagen alpha-2(viii) chain (endothelial collagen)</t>
  </si>
  <si>
    <t>COL8A2,COL8A1</t>
  </si>
  <si>
    <t>P25067, P27658</t>
  </si>
  <si>
    <t>CPX-1747</t>
  </si>
  <si>
    <t>COL8A2</t>
  </si>
  <si>
    <t>P25067</t>
  </si>
  <si>
    <t>CPX-1748</t>
  </si>
  <si>
    <t>collagen alpha-1(ix) chain</t>
  </si>
  <si>
    <t>COL9A2,COL9A1,COL9A3</t>
  </si>
  <si>
    <t>Q14055, P20849, Q14050</t>
  </si>
  <si>
    <t>CPX-1749</t>
  </si>
  <si>
    <t>collagen alpha-1(x) chain</t>
  </si>
  <si>
    <t>COL10A1</t>
  </si>
  <si>
    <t>Q03692</t>
  </si>
  <si>
    <t>CPX-1750</t>
  </si>
  <si>
    <t>COL11A2,COL11A1,COL2A1</t>
  </si>
  <si>
    <t>P13942, P12107, P02458</t>
  </si>
  <si>
    <t>CPX-1751</t>
  </si>
  <si>
    <t>collagen alpha-1(xi) chain</t>
  </si>
  <si>
    <t>COL5A2,COL11A1</t>
  </si>
  <si>
    <t>P05997, P12107</t>
  </si>
  <si>
    <t>CPX-1752</t>
  </si>
  <si>
    <t>COL5A1,COL11A1,COL5A2</t>
  </si>
  <si>
    <t>P20908, P12107, P05997</t>
  </si>
  <si>
    <t>CPX-1753</t>
  </si>
  <si>
    <t>collagen alpha-1(xii) chain</t>
  </si>
  <si>
    <t>COL12A1</t>
  </si>
  <si>
    <t>Q99715</t>
  </si>
  <si>
    <t>CPX-1754</t>
  </si>
  <si>
    <t>collagen alpha-1(xiii) chain (colxiiia1)</t>
  </si>
  <si>
    <t>COL13A1</t>
  </si>
  <si>
    <t>Q5TAT6</t>
  </si>
  <si>
    <t>CPX-1758</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</si>
  <si>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</si>
  <si>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COL17A1</t>
  </si>
  <si>
    <t>Q9UMD9</t>
  </si>
  <si>
    <t>collagen alpha-1(xviii) chain [cleaved into: endostatin; non-collagenous domain 1 (nc1)]</t>
  </si>
  <si>
    <t>COL18A1</t>
  </si>
  <si>
    <t>P39060</t>
  </si>
  <si>
    <t>Q9BXS0-1</t>
  </si>
  <si>
    <t>CPX-1768</t>
  </si>
  <si>
    <t>collagen alpha-1(xxvii) chain</t>
  </si>
  <si>
    <t>COL27A1</t>
  </si>
  <si>
    <t>Q8IZC6</t>
  </si>
  <si>
    <t>laminin subunit alpha-1 (laminin a chain) (laminin-1 subunit alpha) (laminin-3 subunit alpha) (s-laminin subunit alpha) (s-lam alpha)</t>
  </si>
  <si>
    <t>LAMB1,LAMA1,LAMC1</t>
  </si>
  <si>
    <t>P07942, P25391, P11047</t>
  </si>
  <si>
    <t>CPX-1771</t>
  </si>
  <si>
    <t>laminin subunit alpha-2 (laminin m chain) (laminin-12 subunit alpha) (laminin-2 subunit alpha) (laminin-4 subunit alpha) (merosin heavy chain)</t>
  </si>
  <si>
    <t>LAMB1,LAMC1,LAMA2</t>
  </si>
  <si>
    <t>P07942, P11047, P24043</t>
  </si>
  <si>
    <t>LAMB2,LAMA1,LAMC1</t>
  </si>
  <si>
    <t>P55268, P25391, P11047</t>
  </si>
  <si>
    <t>CPX-1773</t>
  </si>
  <si>
    <t>LAMC1,LAMB2,LAMA2</t>
  </si>
  <si>
    <t>P11047, P55268, P24043</t>
  </si>
  <si>
    <t>CPX-1774</t>
  </si>
  <si>
    <t>laminin subunit alpha-3 (epiligrin 170 kda subunit) (e170) (epiligrin subunit alpha) (kalinin subunit alpha) (laminin-5 subunit alpha) (laminin-6 subunit alpha) (laminin-7 subunit alpha) (nicein subunit alpha)</t>
  </si>
  <si>
    <t>LAMA3,LAMB3,LAMC2</t>
  </si>
  <si>
    <t>Q16787-1, Q13751, Q13753</t>
  </si>
  <si>
    <t>CPX-1775</t>
  </si>
  <si>
    <t>LAMC1,LAMB1,LAMA3</t>
  </si>
  <si>
    <t>P11047, P07942, Q16787-1</t>
  </si>
  <si>
    <t>CPX-1776</t>
  </si>
  <si>
    <t>LAMA3,LAMB2,LAMC1</t>
  </si>
  <si>
    <t>Q16787-1, P55268, P11047</t>
  </si>
  <si>
    <t>CPX-1777</t>
  </si>
  <si>
    <t>laminin subunit alpha-4 (laminin-14 subunit alpha) (laminin-8 subunit alpha) (laminin-9 subunit alpha)</t>
  </si>
  <si>
    <t>LAMA4,LAMB1,LAMC1</t>
  </si>
  <si>
    <t>Q16363, P07942, P11047</t>
  </si>
  <si>
    <t>CPX-1778</t>
  </si>
  <si>
    <t>LAMA4,LAMC1,LAMB2</t>
  </si>
  <si>
    <t>Q16363, P11047, P55268</t>
  </si>
  <si>
    <t>CPX-1779</t>
  </si>
  <si>
    <t>laminin subunit beta-1 (laminin b1 chain) (laminin-1 subunit beta) (laminin-10 subunit beta) (laminin-12 subunit beta) (laminin-2 subunit beta) (laminin-6 subunit beta) (laminin-8 subunit beta)</t>
  </si>
  <si>
    <t>LAMB1,LAMA5,LAMC1</t>
  </si>
  <si>
    <t>P07942, O15230, P11047</t>
  </si>
  <si>
    <t>CPX-1780</t>
  </si>
  <si>
    <t>laminin subunit beta-2 (laminin b1s chain) (laminin-11 subunit beta) (laminin-14 subunit beta) (laminin-15 subunit beta) (laminin-3 subunit beta) (laminin-4 subunit beta) (laminin-7 subunit beta) (laminin-9 subunit beta) (s-laminin subunit beta) (s-lam beta)</t>
  </si>
  <si>
    <t>LAMB2,LAMA5,LAMC1</t>
  </si>
  <si>
    <t>P55268, O15230, P11047</t>
  </si>
  <si>
    <t>CPX-1781</t>
  </si>
  <si>
    <t>LAMA2,LAMB1,LAMC3</t>
  </si>
  <si>
    <t>P24043, P07942, Q9Y6N6</t>
  </si>
  <si>
    <t>CPX-1782</t>
  </si>
  <si>
    <t>LAMC3,LAMB2,LAMA4</t>
  </si>
  <si>
    <t>Q9Y6N6, P55268, Q16363</t>
  </si>
  <si>
    <t>CPX-1783</t>
  </si>
  <si>
    <t>LAMB2,LAMA5,LAMC2</t>
  </si>
  <si>
    <t>P55268, O15230, Q13753</t>
  </si>
  <si>
    <t>CPX-1784</t>
  </si>
  <si>
    <t>LAMA5,LAMC3,LAMB2</t>
  </si>
  <si>
    <t>O15230, Q9Y6N6, P55268</t>
  </si>
  <si>
    <t>CPX-1788</t>
  </si>
  <si>
    <t>thrombospondin-2</t>
  </si>
  <si>
    <t>THBS2</t>
  </si>
  <si>
    <t>P35442</t>
  </si>
  <si>
    <t>CPX-1791</t>
  </si>
  <si>
    <t>cartilage oligomeric matrix protein (comp) (thrombospondin-5) (tsp5)</t>
  </si>
  <si>
    <t>COMP</t>
  </si>
  <si>
    <t>P49747</t>
  </si>
  <si>
    <t>CPX-1795</t>
  </si>
  <si>
    <t>integrin beta-3 (platelet membrane glycoprotein iiia) (gpiiia) (cd antigen cd61)</t>
  </si>
  <si>
    <t>ITGAV,ITGB3</t>
  </si>
  <si>
    <t>P06756, P05106</t>
  </si>
  <si>
    <t>CPX-1797</t>
  </si>
  <si>
    <t>integrin alpha-3 (cd49 antigen-like family member c) (frp-2) (galactoprotein b3) (gapb3) (vla-3 subunit alpha) (cd antigen cd49c) [cleaved into: integrin alpha-3 heavy chain; integrin alpha-3 light chain]</t>
  </si>
  <si>
    <t>ITGA3,ITGB1</t>
  </si>
  <si>
    <t>P26006, P05556</t>
  </si>
  <si>
    <t>CPX-1799</t>
  </si>
  <si>
    <t>integrin alpha-iib (gpalpha iib) (gpiib) (platelet membrane glycoprotein iib) (cd antigen cd41) [cleaved into: integrin alpha-iib heavy chain; integrin alpha-iib light chain, form 1; integrin alpha-iib light chain, form 2]</t>
  </si>
  <si>
    <t>ITGA2B,ITGB3</t>
  </si>
  <si>
    <t>P08514, P05106</t>
  </si>
  <si>
    <t>CPX-1803</t>
  </si>
  <si>
    <t>integrin alpha-6 (cd49 antigen-like family member f) (vla-6) (cd antigen cd49f) [cleaved into: integrin alpha-6 heavy chain; integrin alpha-6 light chain; processed integrin alpha-6 (alpha6p)]</t>
  </si>
  <si>
    <t>ITGB1,ITGA6</t>
  </si>
  <si>
    <t>P05556, P23229</t>
  </si>
  <si>
    <t>CPX-1804</t>
  </si>
  <si>
    <t>integrin alpha-7 [cleaved into: integrin alpha-7 heavy chain; integrin alpha-7 light chain; integrin alpha-7 70 kda form]</t>
  </si>
  <si>
    <t>ITGB1,ITGA7</t>
  </si>
  <si>
    <t>P05556, Q13683</t>
  </si>
  <si>
    <t>CPX-1815</t>
  </si>
  <si>
    <t>integrin alpha-8 [cleaved into: integrin alpha-8 heavy chain; integrin alpha-8 light chain]</t>
  </si>
  <si>
    <t>ITGA8,ITGB1</t>
  </si>
  <si>
    <t>P53708, P05556</t>
  </si>
  <si>
    <t>CPX-1820</t>
  </si>
  <si>
    <t>integrin beta-6</t>
  </si>
  <si>
    <t>ITGB6,ITGAV</t>
  </si>
  <si>
    <t>P18564, P06756</t>
  </si>
  <si>
    <t>ITGA6,ITGB4</t>
  </si>
  <si>
    <t>P23229, P16144</t>
  </si>
  <si>
    <t>CPX-1825</t>
  </si>
  <si>
    <t>integrin beta-2 (cell surface adhesion glycoproteins lfa-1/cr3/p150,95 subunit beta) (complement receptor c3 subunit beta) (cd antigen cd18)</t>
  </si>
  <si>
    <t>ITGAL,ITGB2</t>
  </si>
  <si>
    <t>P20701, P05107</t>
  </si>
  <si>
    <t>CPX-1826</t>
  </si>
  <si>
    <t>integrin alpha-m (cd11 antigen-like family member b) (cr-3 alpha chain) (cell surface glycoprotein mac-1 subunit alpha) (leukocyte adhesion receptor mo1) (neutrophil adherence receptor) (cd antigen cd11b)</t>
  </si>
  <si>
    <t>ITGAM,ITGB2</t>
  </si>
  <si>
    <t>P11215, P05107</t>
  </si>
  <si>
    <t>CPX-1827</t>
  </si>
  <si>
    <t>ITGAX,ITGB2</t>
  </si>
  <si>
    <t>P20702, P05107</t>
  </si>
  <si>
    <t>CPX-1828</t>
  </si>
  <si>
    <t>ITGB2,ITGAD</t>
  </si>
  <si>
    <t>P05107, Q13349</t>
  </si>
  <si>
    <t>CPX-1860</t>
  </si>
  <si>
    <t>anaphase-promoting complex subunit 1 (apc1) (cyclosome subunit 1) (mitotic checkpoint regulator) (testis-specific gene 24 protein)</t>
  </si>
  <si>
    <t>CDC16,ANAPC11,ANAPC2,ANAPC5,ANAPC1,ANAPC4,CDC23,CDC26,ANAPC16,CDC27,ANAPC13,ANAPC10,ANAPC7,ANAPC15</t>
  </si>
  <si>
    <t>Q13042, Q9NYG5, Q9UJX6, Q9UJX4, Q9H1A4, Q9UJX5, Q9UJX2, Q8NHZ8, Q96DE5, P30260, Q9BS18, Q9UM13, Q9UJX3, P60006</t>
  </si>
  <si>
    <t>CPX-1875</t>
  </si>
  <si>
    <t>platelet-derived growth factor subunit b (pdgf subunit b) (pdgf-2) (platelet-derived growth factor b chain) (platelet-derived growth factor beta polypeptide) (proto-oncogene c-sis) (becaplermin)</t>
  </si>
  <si>
    <t>PDGFB,PDGFA</t>
  </si>
  <si>
    <t>P01127, P04085</t>
  </si>
  <si>
    <t>CPX-1876</t>
  </si>
  <si>
    <t>PDGFB</t>
  </si>
  <si>
    <t>P01127</t>
  </si>
  <si>
    <t>CPX-1877</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</si>
  <si>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</si>
  <si>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RBCK1,RNF31,SHARPIN</t>
  </si>
  <si>
    <t>Q9BYM8, Q96EP0, Q9H0F6</t>
  </si>
  <si>
    <t>CPX-1878</t>
  </si>
  <si>
    <t>replication protein a 70 kda dna-binding subunit (rp-a p70) (replication factor a protein 1) (rf-a protein 1) (single-stranded dna-binding protein) [cleaved into: replication protein a 70 kda dna-binding subunit, n-terminally processed]</t>
  </si>
  <si>
    <t>RPA2,RPA1,RPA3</t>
  </si>
  <si>
    <t>P15927, P27694, P35244</t>
  </si>
  <si>
    <t>CPX-1879</t>
  </si>
  <si>
    <t>RPA4,RPA3,RPA1</t>
  </si>
  <si>
    <t>Q13156, P35244, P27694</t>
  </si>
  <si>
    <t>CPX-1880</t>
  </si>
  <si>
    <t>origin recognition complex subunit 1 (replication control protein 1)</t>
  </si>
  <si>
    <t>ORC4,ORC2,ORC3,ORC1,ORC5,ORC6</t>
  </si>
  <si>
    <t>O43929, Q13416, Q9UBD5, Q13415, O43913, Q9Y5N6</t>
  </si>
  <si>
    <t>CPX-1907</t>
  </si>
  <si>
    <t>FADD,RIPK1,CASP8</t>
  </si>
  <si>
    <t>Q13158, Q13546, Q14790</t>
  </si>
  <si>
    <t>CPX-1908</t>
  </si>
  <si>
    <t>bardet-biedl syndrome 1 protein (bbs2-like protein 2)</t>
  </si>
  <si>
    <t>BBIP1,BBS4,BBS5,BBS1,BBS2,BBS7,BBS9,TTC8</t>
  </si>
  <si>
    <t>A8MTZ0, Q96RK4, Q8N3I7, Q8NFJ9, Q9BXC9, Q8IWZ6, Q3SYG4, Q8TAM2</t>
  </si>
  <si>
    <t>CPX-1910</t>
  </si>
  <si>
    <t>biogenesis of lysosome-related organelles complex 1 subunit 3 (bloc-1 subunit 3)</t>
  </si>
  <si>
    <t>BLOC1S5,BLOC1S2,BLOC1S1,SNAPIN,BLOC1S3,DTNBP1,BLOC1S4,BLOC1S6</t>
  </si>
  <si>
    <t>Q8TDH9, Q6QNY1, P78537, O95295, Q6QNY0, Q96EV8, Q9NUP1, Q9UL45</t>
  </si>
  <si>
    <t>CPX-1919</t>
  </si>
  <si>
    <t>complement c1q subcomponent subunit a</t>
  </si>
  <si>
    <t>C1QB,C1QA,C1QC</t>
  </si>
  <si>
    <t>P02746, P02745, P02747</t>
  </si>
  <si>
    <t>CPX-1920</t>
  </si>
  <si>
    <t>complement c1s subcomponent (ec 3.4.21.42) (c1 esterase) (complement component 1 subcomponent s) [cleaved into: complement c1s subcomponent heavy chain; complement c1s subcomponent light chain]</t>
  </si>
  <si>
    <t>C1QB,C1QA,C1QC,P09871-PRO_0000027587,P00736-PRO_0000027578,P00736-PRO_0000027579,P09871-PRO_0000027588</t>
  </si>
  <si>
    <t>P02746, P02745, P02747, P09871, P00736, P00736, P09871</t>
  </si>
  <si>
    <t>CPX-1921</t>
  </si>
  <si>
    <t>splicing factor u2af 35 kda subunit (u2 auxiliary factor 35 kda subunit) (u2 small nuclear rna auxiliary factor 1) (u2 snrnp auxiliary factor small subunit)</t>
  </si>
  <si>
    <t>U2AF1,U2AF2</t>
  </si>
  <si>
    <t>Q01081, P26368</t>
  </si>
  <si>
    <t>CPX-1922</t>
  </si>
  <si>
    <t>fibrinogen alpha chain [cleaved into: fibrinopeptide a; fibrinogen alpha chain]</t>
  </si>
  <si>
    <t>P02679-PRO_0000009099,P02671-PRO_0000009021,P02675-PRO_0000009070</t>
  </si>
  <si>
    <t>P02679, P02671, P02675</t>
  </si>
  <si>
    <t>CPX-1941</t>
  </si>
  <si>
    <t>MAGOH,RBM8A,CASC3,EIF4A3</t>
  </si>
  <si>
    <t>P61326, Q9Y5S9, O15234, P38919</t>
  </si>
  <si>
    <t>CPX-1942</t>
  </si>
  <si>
    <t>MAGOH,RBM8A</t>
  </si>
  <si>
    <t>P61326, Q9Y5S9</t>
  </si>
  <si>
    <t>CPX-1949</t>
  </si>
  <si>
    <t>elongator complex protein 2 (elp2) (shinc-2) (stat3-interacting protein 1) (stip1)</t>
  </si>
  <si>
    <t>ELP4,ELP3,ELP1,ELP2,ELP5,ELP6</t>
  </si>
  <si>
    <t>Q96EB1, Q9H9T3, O95163, Q6IA86, Q8TE02, Q0PNE2</t>
  </si>
  <si>
    <t>CPX-2011</t>
  </si>
  <si>
    <t>g1/s-specific cyclin-d2</t>
  </si>
  <si>
    <t>CCND2,CDK4</t>
  </si>
  <si>
    <t>P30279, P11802</t>
  </si>
  <si>
    <t>CPX-2093</t>
  </si>
  <si>
    <t>dna polymerase subunit gamma-1 (ec 2.7.7.7) (3'-5' exodeoxyribonuclease) (ec 3.1.11.-) (5'-deoxyribose-phosphate lyase) (ec 4.2.99.-) (mitochondrial dna polymerase catalytic subunit) (polg-alpha)</t>
  </si>
  <si>
    <t>POLG,POLG2</t>
  </si>
  <si>
    <t>P54098, Q9UHN1</t>
  </si>
  <si>
    <t>CPX-2097</t>
  </si>
  <si>
    <t>dna polymerase delta catalytic subunit (ec 2.7.7.7) (3'-5' exodeoxyribonuclease) (ec 3.1.11.-) (dna polymerase subunit delta p125)</t>
  </si>
  <si>
    <t>POLD4,POLD1,POLD2,POLD3</t>
  </si>
  <si>
    <t>Q9HCU8, P28340, P49005, Q15054</t>
  </si>
  <si>
    <t>CPX-2108</t>
  </si>
  <si>
    <t>dna polymerase epsilon catalytic subunit a (ec 2.7.7.7) (3'-5' exodeoxyribonuclease) (ec 3.1.11.-) (dna polymerase ii subunit a)</t>
  </si>
  <si>
    <t>POLE3,POLE4,POLE,POLE2</t>
  </si>
  <si>
    <t>Q9NRF9, Q9NR33, Q07864, P56282</t>
  </si>
  <si>
    <t>CPX-2127</t>
  </si>
  <si>
    <t>stimulator of interferon genes protein (hsting) (endoplasmic reticulum interferon stimulator) (eris) (mediator of irf3 activation) (hmita) (transmembrane protein 173)</t>
  </si>
  <si>
    <t>STING1</t>
  </si>
  <si>
    <t>Q86WV6</t>
  </si>
  <si>
    <t>CPX-2129</t>
  </si>
  <si>
    <t>cst complex subunit ctc1 (conserved telomere maintenance component 1) (hbv dnaptp1-transactivated protein b)</t>
  </si>
  <si>
    <t>CTC1,TEN1,STN1</t>
  </si>
  <si>
    <t>Q2NKJ3, Q86WV5, Q9H668</t>
  </si>
  <si>
    <t>CPX-2182</t>
  </si>
  <si>
    <t>dna repair protein rad51 homolog 3 (r51h3) (rad51 homolog c) (rad51-like protein 2)</t>
  </si>
  <si>
    <t>RAD51C,XRCC3</t>
  </si>
  <si>
    <t>O43502, O43542</t>
  </si>
  <si>
    <t>CPX-2186</t>
  </si>
  <si>
    <t>dna repair-scaffolding protein (scaffolding protein involved in dna repair)</t>
  </si>
  <si>
    <t>SWSAP1,ZSWIM7,SPIDR,PDS5B</t>
  </si>
  <si>
    <t>Q6NVH7, Q19AV6, Q14159, Q9NTI5</t>
  </si>
  <si>
    <t>CPX-2188</t>
  </si>
  <si>
    <t>SCNN1B,SCNN1G,SCNN1A</t>
  </si>
  <si>
    <t>P51168, P51170, P37088</t>
  </si>
  <si>
    <t>CPX-2189</t>
  </si>
  <si>
    <t>calcitonin gene-related peptide type 1 receptor (cgrp type 1 receptor) (calcitonin receptor-like receptor)</t>
  </si>
  <si>
    <t>CALCRL,O60894-PRO_0000030168</t>
  </si>
  <si>
    <t>Q16602, O60894</t>
  </si>
  <si>
    <t>CPX-2191</t>
  </si>
  <si>
    <t>CALCRL,O60895-PRO_0000030172</t>
  </si>
  <si>
    <t>Q16602, O60895</t>
  </si>
  <si>
    <t>CPX-2196</t>
  </si>
  <si>
    <t>polycomb protein eed (heed) (embryonic ectoderm development protein) (wd protein associating with integrin cytoplasmic tails 1) (wait-1)</t>
  </si>
  <si>
    <t>EED,EZH1,RBBP4,PHF19,SUZ12,LCOR</t>
  </si>
  <si>
    <t>O75530, Q92800, Q09028, Q5T6S3, Q15022, Q96JN0</t>
  </si>
  <si>
    <t>CPX-2205</t>
  </si>
  <si>
    <t>phd finger protein 1 (protein phf1) (hphf1) (polycomb-like protein 1) (hpcl1)</t>
  </si>
  <si>
    <t>EED,EZH1,PHF1,RBBP7,EPOP,SUZ12</t>
  </si>
  <si>
    <t>O75530, Q92800, O43189, Q16576, A6NHQ4, Q15022</t>
  </si>
  <si>
    <t>CPX-2210</t>
  </si>
  <si>
    <t>nacht, lrr and pyd domains-containing protein 5 (mater protein homolog) (maternal antigen that embryos require)</t>
  </si>
  <si>
    <t>PADI6,KHDC3L,NLRP5,TLE6,OOEP,NLRP2,NLRP7</t>
  </si>
  <si>
    <t>Q6TGC4, Q587J8, P59047, Q9H808-1, A6NGQ2, Q9NX02, Q8WX94</t>
  </si>
  <si>
    <t>CPX-2211</t>
  </si>
  <si>
    <t>coiled-coil domain-containing protein 22</t>
  </si>
  <si>
    <t>CCDC93,COMMD1,VPS35L,COMMD2,COMMD3,COMMD4,COMMD5,COMMD6,COMMD7,COMMD8,COMMD9,COMMD10,CCDC22,VPS26C,VPS29,DENND10</t>
  </si>
  <si>
    <t>Q567U6, Q8N668, Q7Z3J2, Q86X83, Q9UBI1, Q9H0A8, Q9GZQ3, Q7Z4G1, Q86VX2, Q9NX08, Q9P000, Q9Y6G5, O60826, O14972, Q9UBQ0, Q8TCE6</t>
  </si>
  <si>
    <t>CPX-2212</t>
  </si>
  <si>
    <t>AEBP2,JARID2,EED,EZH1,RBBP7,SUZ12</t>
  </si>
  <si>
    <t>Q6ZN18, Q92833, O75530, Q92800, Q16576, Q15022</t>
  </si>
  <si>
    <t>CPX-2216</t>
  </si>
  <si>
    <t>2-oxoisovalerate dehydrogenase subunit alpha, mitochondrial (ec 1.2.4.4) (branched-chain alpha-keto acid dehydrogenase e1 component alpha chain) (bckde1a) (bckdh e1-alpha)</t>
  </si>
  <si>
    <t>BCKDHA,BCKDHB,DLD,DBT</t>
  </si>
  <si>
    <t>P12694, P21953, P09622, P11182</t>
  </si>
  <si>
    <t>CPX-2227</t>
  </si>
  <si>
    <t>splicing factor 3b subunit 2 (pre-mrna-splicing factor sf3b 145 kda subunit) (sf3b145) (spliceosome-associated protein 145) (sap 145)</t>
  </si>
  <si>
    <t>PHF5A,SF3B2,SF3B4,SF3B1,SF3B6,SF3B5,SF3B3</t>
  </si>
  <si>
    <t>Q7RTV0, Q13435, Q15427, O75533, Q9Y3B4, Q9BWJ5, Q15393</t>
  </si>
  <si>
    <t>CPX-2231</t>
  </si>
  <si>
    <t>n-myc proto-oncogene protein (class e basic helix-loop-helix protein 37) (bhlhe37)</t>
  </si>
  <si>
    <t>MYCN,MAX</t>
  </si>
  <si>
    <t>P04198, P61244</t>
  </si>
  <si>
    <t>CPX-2236</t>
  </si>
  <si>
    <t>serine/threonine-protein phosphatase 2a 65 kda regulatory subunit a alpha isoform (medium tumor antigen-associated 61 kda protein) (pp2a subunit a isoform pr65-alpha) (pp2a subunit a isoform r1-alpha)</t>
  </si>
  <si>
    <t>PPP2CA,PPP2R1A,STRN3,STRIP1,MOB4</t>
  </si>
  <si>
    <t>P67775, P30153, Q13033, Q5VSL9, Q9Y3A3</t>
  </si>
  <si>
    <t>CPX-2252</t>
  </si>
  <si>
    <t>ekc/keops complex subunit gon7</t>
  </si>
  <si>
    <t>TPRKB,GON7,TP53RK,LAGE3,OSGEP</t>
  </si>
  <si>
    <t>Q9Y3C4, Q9BXV9, Q96S44, Q14657, Q9NPF4</t>
  </si>
  <si>
    <t>CPX-2260</t>
  </si>
  <si>
    <t>polycomb group ring finger protein 2 (dna-binding protein mel-18) (ring finger protein 110) (zinc finger protein 144)</t>
  </si>
  <si>
    <t>PCGF2,RING1,YAF2</t>
  </si>
  <si>
    <t>P35227, Q06587, Q8IY57</t>
  </si>
  <si>
    <t>CPX-2272</t>
  </si>
  <si>
    <t>bcl-6 corepressor (bcor)</t>
  </si>
  <si>
    <t>PCGF1,YAF2,KDM2B,SKP1,RNF2,BCOR</t>
  </si>
  <si>
    <t>Q9BSM1, Q8IY57, Q8NHM5, P63208, Q99496, Q6W2J9</t>
  </si>
  <si>
    <t>CPX-2276</t>
  </si>
  <si>
    <t>e3 ubiquitin-protein ligase ring2 (ec 2.3.2.27) (huntingtin-interacting protein 2-interacting protein 3) (hip2-interacting protein 3) (protein ding) (ring finger protein 1b) (ring1b) (ring finger protein 2) (ring finger protein bap-1) (ring-type e3 ubiquitin transferase ring2)</t>
  </si>
  <si>
    <t>RNF2,PCGF2,RYBP</t>
  </si>
  <si>
    <t>Q99496, P35227, Q8N488</t>
  </si>
  <si>
    <t>CPX-2280</t>
  </si>
  <si>
    <t>PCGF2,RNF2,YAF2</t>
  </si>
  <si>
    <t>P35227, Q99496, Q8IY57</t>
  </si>
  <si>
    <t>CPX-2282</t>
  </si>
  <si>
    <t>BMI1,RNF2,YAF2</t>
  </si>
  <si>
    <t>P35226, Q99496, Q8IY57</t>
  </si>
  <si>
    <t>CPX-2283</t>
  </si>
  <si>
    <t>autism susceptibility gene 2 protein</t>
  </si>
  <si>
    <t>RING1,AUTS2,RYBP,PCGF3,CSNK2B,CSNK2A2</t>
  </si>
  <si>
    <t>Q06587, Q8WXX7, Q8N488, Q3KNV8, P67870, P19784</t>
  </si>
  <si>
    <t>CPX-2285</t>
  </si>
  <si>
    <t>AUTS2,CSNK2B,CSNK2A2,CSNK2A1,,PCGF3,RYBP</t>
  </si>
  <si>
    <t>Q8WXX7, P67870, P19784, P68400, Q3KNV8, Q8N488, Q06587</t>
  </si>
  <si>
    <t>CPX-2286</t>
  </si>
  <si>
    <t>CSNK2A1,CSNK2B,,RING1,AUTS2,PCGF3</t>
  </si>
  <si>
    <t>P68400, P67870, Q06587, Q8WXX7, Q3KNV8, Q8N488</t>
  </si>
  <si>
    <t>CPX-2288</t>
  </si>
  <si>
    <t>RING1,YAF2,AUTS2,PCGF3,CSNK2B,CSNK2A2</t>
  </si>
  <si>
    <t>Q06587, Q8IY57, Q8WXX7, Q3KNV8, P67870, P19784</t>
  </si>
  <si>
    <t>CPX-2289</t>
  </si>
  <si>
    <t>CSNK2B,CSNK2A2,CSNK2A1,,PCGF3,AUTS2,RING1</t>
  </si>
  <si>
    <t>P67870, P19784, P68400, Q3KNV8, Q8WXX7, Q06587, Q8IY57</t>
  </si>
  <si>
    <t>CPX-2290</t>
  </si>
  <si>
    <t>PCGF3,AUTS2,RING1,CSNK2A1,CSNK2B,</t>
  </si>
  <si>
    <t>Q3KNV8, Q8WXX7, Q06587, P68400, P67870, Q8IY57</t>
  </si>
  <si>
    <t>CPX-2291</t>
  </si>
  <si>
    <t>RNF2,AUTS2,RYBP,PCGF3,CSNK2B,CSNK2A2</t>
  </si>
  <si>
    <t>Q99496, Q8WXX7, Q8N488, Q3KNV8, P67870, P19784</t>
  </si>
  <si>
    <t>RYBP,AUTS2,RNF2,PCGF3,CSNK2B,CSNK2A2,CSNK2A1</t>
  </si>
  <si>
    <t>Q8N488, Q8WXX7, Q99496, Q3KNV8, P67870, P19784, P68400</t>
  </si>
  <si>
    <t>CSNK2A1,CSNK2B,,AUTS2,PCGF3,RYBP</t>
  </si>
  <si>
    <t>P68400, P67870, Q8WXX7, Q3KNV8, Q8N488, Q99496</t>
  </si>
  <si>
    <t>AUTS2,CSNK2B,CSNK2A2,,PCGF3,YAF2</t>
  </si>
  <si>
    <t>Q8WXX7, P67870, P19784, Q3KNV8, Q8IY57, Q99496</t>
  </si>
  <si>
    <t>AUTS2,CSNK2B,CSNK2A2,CSNK2A1,,PCGF3,RNF2</t>
  </si>
  <si>
    <t>Q8WXX7, P67870, P19784, P68400, Q3KNV8, Q99496, Q8IY57</t>
  </si>
  <si>
    <t>CPX-2298</t>
  </si>
  <si>
    <t>CSNK2A1,CSNK2B,,AUTS2,PCGF3,RNF2</t>
  </si>
  <si>
    <t>P68400, P67870, Q8WXX7, Q3KNV8, Q99496, Q8IY57</t>
  </si>
  <si>
    <t>CPX-2307</t>
  </si>
  <si>
    <t>EED,RBBP7,EZH1,PHF1,SUZ12,LCOR</t>
  </si>
  <si>
    <t>O75530, Q16576, Q92800, O43189, Q15022, Q96JN0</t>
  </si>
  <si>
    <t>CPX-2309</t>
  </si>
  <si>
    <t>MTF2,SUZ12,LCOR,RBBP7,EZH1,EED</t>
  </si>
  <si>
    <t>Q9Y483, Q15022, Q96JN0, Q16576, Q92800, O75530</t>
  </si>
  <si>
    <t>CPX-2310</t>
  </si>
  <si>
    <t>EED,MTF2,EZH1,RBBP4,SUZ12,LCOR</t>
  </si>
  <si>
    <t>O75530, Q9Y483, Q92800, Q09028, Q15022, Q96JN0</t>
  </si>
  <si>
    <t>PHF1,EED,EZH1,RBBP4,EPOP,SUZ12</t>
  </si>
  <si>
    <t>O43189, O75530, Q92800, Q09028, A6NHQ4, Q15022</t>
  </si>
  <si>
    <t>CPX-2318</t>
  </si>
  <si>
    <t>EED,EZH1,MTF2,RBBP4,SUZ12,EPOP</t>
  </si>
  <si>
    <t>O75530, Q92800, Q9Y483, Q09028, Q15022, A6NHQ4</t>
  </si>
  <si>
    <t>CPX-2320</t>
  </si>
  <si>
    <t>EED,EZH1,EPOP,MTF2,SUZ12,RBBP7</t>
  </si>
  <si>
    <t>O75530, Q92800, A6NHQ4, Q9Y483, Q15022, Q16576</t>
  </si>
  <si>
    <t>CPX-2322</t>
  </si>
  <si>
    <t>SUZ12,RBBP4,EPOP,EZH1,EED,PHF19</t>
  </si>
  <si>
    <t>Q15022, Q09028, A6NHQ4, Q92800, O75530, Q5T6S3</t>
  </si>
  <si>
    <t>CPX-2323</t>
  </si>
  <si>
    <t>EED,EZH1,PHF19,EPOP,RBBP7,SUZ12</t>
  </si>
  <si>
    <t>O75530, Q92800, Q5T6S3, A6NHQ4, Q16576, Q15022</t>
  </si>
  <si>
    <t>CPX-2330</t>
  </si>
  <si>
    <t>AEBP2,JARID2,EZH1,RBBP4,EED,SUZ12</t>
  </si>
  <si>
    <t>Q6ZN18, Q92833, Q92800, Q09028, O75530, Q15022</t>
  </si>
  <si>
    <t>CPX-2332</t>
  </si>
  <si>
    <t>EIF4E2,GIGYF2,ZNF598</t>
  </si>
  <si>
    <t>O60573, Q6Y7W6, Q86UK7</t>
  </si>
  <si>
    <t>NALF1,UNC80,NALCN,UNC79,calm_human</t>
  </si>
  <si>
    <t>B1AL88, Q8N2C7, Q8IZF0, Q9P2D8, P62158</t>
  </si>
  <si>
    <t>CPX-2349</t>
  </si>
  <si>
    <t>eukaryotic translation initiation factor 4e (eif-4e) (eif4e) (eif-4f 25 kda subunit) (mrna cap-binding protein)</t>
  </si>
  <si>
    <t>FMR1,CYFIP1,EIF4E</t>
  </si>
  <si>
    <t>Q06787, Q7L576, P06730</t>
  </si>
  <si>
    <t>CPX-2354</t>
  </si>
  <si>
    <t>RYBP,SKP1,PCGF1,BCOR,RING1,KDM2B</t>
  </si>
  <si>
    <t>Q8N488, P63208, Q9BSM1, Q6W2J9, Q06587, Q8NHM5</t>
  </si>
  <si>
    <t>CPX-2358</t>
  </si>
  <si>
    <t>meiotic recombination protein rec114</t>
  </si>
  <si>
    <t>MEI4,IHO1,REC114</t>
  </si>
  <si>
    <t>A8MW99, Q8IYA8, Q7Z4M0</t>
  </si>
  <si>
    <t>CPX-2360</t>
  </si>
  <si>
    <t>protein transport protein sec24d (sec24-related protein d)</t>
  </si>
  <si>
    <t>SAR1B,SAR1A,SEC24A,SEC24B,SEC24C,SEC24D,SEC31A,SEC31B,SEC13</t>
  </si>
  <si>
    <t>Q9Y6B6, Q9NR31, O95486, O95487, P53992, O94855, O94979, Q9NQW1, P55735</t>
  </si>
  <si>
    <t>CPX-2363</t>
  </si>
  <si>
    <t>dna repair protein rad51 homolog 2 (r51h2) (rad51 homolog b) (rad51b) (rad51-like protein 1)</t>
  </si>
  <si>
    <t>RAD51C,RAD51B,RAD51D,XRCC2</t>
  </si>
  <si>
    <t>O43502, O15315, O75771, O43543</t>
  </si>
  <si>
    <t>CPX-2375</t>
  </si>
  <si>
    <t>tapasin (tpn) (tpsn) (ngs-17) (tap-associated protein) (tap-binding protein)</t>
  </si>
  <si>
    <t>TAPBP,PDIA3</t>
  </si>
  <si>
    <t>O15533, P30101</t>
  </si>
  <si>
    <t>CPX-2381</t>
  </si>
  <si>
    <t>parafibromin (cell division cycle protein 73 homolog) (hyperparathyroidism 2 protein)</t>
  </si>
  <si>
    <t>CDC73,LEO1,PAF1,RTF1,SKIC8,CTR9</t>
  </si>
  <si>
    <t>Q6P1J9, Q8WVC0, Q8N7H5, Q92541, Q9GZS3, Q6PD62</t>
  </si>
  <si>
    <t>CPX-2385</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</si>
  <si>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</si>
  <si>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ARNT,EPAS1</t>
  </si>
  <si>
    <t>P27540, Q99814</t>
  </si>
  <si>
    <t>CPX-2386</t>
  </si>
  <si>
    <t>dna-directed rna polymerase i subunit rpa1 (rna polymerase i subunit a1) (ec 2.7.7.6) (a190) (dna-directed rna polymerase i largest subunit) (dna-directed rna polymerase i subunit a) (rna polymerase i 194 kda subunit) (rpa194)</t>
  </si>
  <si>
    <t>POLR1B,POLR1A,POLR1C,POLR2E,POLR2F,POLR1F,POLR2H,POLR1H,POLR2L,POLR1D,POLR2K,POLR1G,POLR1E</t>
  </si>
  <si>
    <t>Q9H9Y6, O95602, O15160, P19388, P61218, Q3B726, P52434, Q9P1U0, P62875, P0DPB6, P53803, O15446, Q9GZS1</t>
  </si>
  <si>
    <t>CPX-2392</t>
  </si>
  <si>
    <t>small nuclear ribonucleoprotein e (snrnp-e) (sm protein e) (sm-e) (sme)</t>
  </si>
  <si>
    <t>SNRNP70,SNRPD2,SNRPD3,SNRPE,SNRPD1,SNRPG,SNRPF,SNRPB,SNRPC,u1_human_snrna,SNRPA</t>
  </si>
  <si>
    <t>P08621, P62316, P62318, P62304, P62314, P62308, P62306, P14678, P09234, M14387, P09012</t>
  </si>
  <si>
    <t>CPX-2393</t>
  </si>
  <si>
    <t>dna-directed rna polymerase iii subunit rpc1 (rna polymerase iii subunit c1) (ec 2.7.7.6) (dna-directed rna polymerase iii largest subunit) (dna-directed rna polymerase iii subunit a) (rna polymerase iii 155 kda subunit) (rpc155) (rna polymerase iii subunit c160)</t>
  </si>
  <si>
    <t>POLR3B,CRCP,POLR1C,POLR3A,POLR2E,POLR2F,POLR3H,POLR2H,POLR3K,POLR2L,POLR1D,POLR2K,POLR3E,POLR3D,POLR3C,POLR3F,POLR3G</t>
  </si>
  <si>
    <t>Q9NW08, O75575, O15160, O14802, P19388, P61218, Q9Y535, P52434, Q9Y2Y1, P62875, P0DPB6, P53803, Q9NVU0, P05423, Q9BUI4, Q9H1D9, O15318</t>
  </si>
  <si>
    <t>CPX-2394</t>
  </si>
  <si>
    <t>transcription initiation factor iie subunit beta (tfiie-beta) (general transcription factor iie subunit 2)</t>
  </si>
  <si>
    <t>GTF2E1,GTF2E2</t>
  </si>
  <si>
    <t>P29083, P29084</t>
  </si>
  <si>
    <t>CPX-2396</t>
  </si>
  <si>
    <t>BDP1,BRF1,TBP</t>
  </si>
  <si>
    <t>A6H8Y1, Q92994, P20226</t>
  </si>
  <si>
    <t>CPX-2397</t>
  </si>
  <si>
    <t>BDP1,BRF2,TBP</t>
  </si>
  <si>
    <t>A6H8Y1, Q9HAW0, P20226</t>
  </si>
  <si>
    <t>CPX-2398</t>
  </si>
  <si>
    <t>GTF2B,TBP</t>
  </si>
  <si>
    <t>Q00403, P20226</t>
  </si>
  <si>
    <t>CPX-2424</t>
  </si>
  <si>
    <t>alpha-1-syntrophin (59 kda dystrophin-associated protein a1 acidic component 1) (pro-tgf-alpha cytoplasmic domain-interacting protein 1) (tacip1) (syntrophin-1)</t>
  </si>
  <si>
    <t>DMD,SNTA1,SNTB1,SGCD,SGCA,SGCB,SGCG,DTNA,SSPN,Q14118-PRO_0000021065,Q14118-PRO_0000021066</t>
  </si>
  <si>
    <t>P11532-1, Q13424, Q13884, Q92629, Q16586, Q16585, Q13326, Q9Y4J8-3, Q14714, Q14118, Q14118</t>
  </si>
  <si>
    <t>CPX-2440</t>
  </si>
  <si>
    <t>folliculin (bhd skin lesion fibrofolliculoma protein) (birt-hogg-dube syndrome protein)</t>
  </si>
  <si>
    <t>FLCN,FNIP2</t>
  </si>
  <si>
    <t>Q8NFG4, Q9P278</t>
  </si>
  <si>
    <t>CPX-2443</t>
  </si>
  <si>
    <t>UTRN,DTNA,SSPN,SNTA1,SNTB1,SGCA,SGCB,SGCD,SGCG,Q14118-PRO_0000021065,Q14118-PRO_0000021066</t>
  </si>
  <si>
    <t>P46939, Q9Y4J8-2, Q14714, Q13424, Q13884, Q16586, Q16585, Q92629, Q13326, Q14118, Q14118</t>
  </si>
  <si>
    <t>DMD,SGCE,SGCZ,SNTG1,DTNB,SNTA1,Q14118-PRO_0000021065,Q14118-PRO_0000021066</t>
  </si>
  <si>
    <t>P11532-4, O43556, Q96LD1, Q9NSN8, O60941, Q13424, Q14118, Q14118</t>
  </si>
  <si>
    <t>DMD,DTNB,SGCB,SNTA1,SNTB1,SGCA,SGCD,SGCG,SSPN,Q14118-PRO_0000021065,Q14118-PRO_0000021066</t>
  </si>
  <si>
    <t>P11532-2, O60941, Q16585, Q13424, Q13884, Q16586, Q92629, Q13326, Q14714, Q14118, Q14118</t>
  </si>
  <si>
    <t>DMD,DTNA,SSPN,SNTA1,SNTB1,SGCD,SGCG,SGCA,SGCB,Q14118-PRO_0000021065,Q14118-PRO_0000021066</t>
  </si>
  <si>
    <t>P11532-7, Q9Y4J8-2, Q14714, Q13424, Q13884, Q92629, Q13326, Q16586, Q16585, Q14118, Q14118</t>
  </si>
  <si>
    <t>CPX-2461</t>
  </si>
  <si>
    <t>synaptonemal complex central element protein 1 (cancer/testis antigen 76) (ct76)</t>
  </si>
  <si>
    <t>SYCE2,SYCP3,SYCP1,SYCP2,TEX12,SYCE3,SYCE1</t>
  </si>
  <si>
    <t>Q6PIF2, Q8IZU3, Q15431, Q9BX26, Q9BXU0, A1L190, Q8N0S2</t>
  </si>
  <si>
    <t>CPX-2469</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</si>
  <si>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</si>
  <si>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QARS1,LARS1,DARS1,KARS1,EPRS1,AIMP2,EEF1E1,AIMP1,RARS1,MARS1,IARS1</t>
  </si>
  <si>
    <t>P47897, Q9P2J5, P14868, Q15046, P07814, Q13155, O43324, Q12904, P54136, P56192, P41252</t>
  </si>
  <si>
    <t>CPX-2470</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</si>
  <si>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</si>
  <si>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ATP6V0B,ATP6V1A,ATP6V1D,ATP6V1F,ATP6V0A1,RNASEK,ATP6AP1,ATP6AP2,ATP6V0C,ATP6V1H</t>
  </si>
  <si>
    <t>Q99437, P38606, Q9Y5K8, Q16864, Q93050, Q6P5S7, Q15904, O75787, P27449, Q9UI12</t>
  </si>
  <si>
    <t>CPX-2471</t>
  </si>
  <si>
    <t>transcription regulator protein bach2 (btb and cnc homolog 2)</t>
  </si>
  <si>
    <t>BACH2,NFE2L3</t>
  </si>
  <si>
    <t>Q9BYV9, Q9Y4A8</t>
  </si>
  <si>
    <t>CPX-2473</t>
  </si>
  <si>
    <t>BACH2,Q14494-PRO_0000443103</t>
  </si>
  <si>
    <t>Q9BYV9, Q14494</t>
  </si>
  <si>
    <t>CPX-2477</t>
  </si>
  <si>
    <t>germinal-center associated nuclear protein (ganp) (ec 2.3.1.48) (80 kda mcm3-associated protein) (mcm3 acetylating protein) (mcm3ap) (ec 2.3.1.-) (mcm3 acetyltransferase)</t>
  </si>
  <si>
    <t>MCM3AP,CETN2,ENY2,PCID2,SEM1</t>
  </si>
  <si>
    <t>O60318, P41208, Q9NPA8, Q5JVF3, P60896</t>
  </si>
  <si>
    <t>CPX-2479</t>
  </si>
  <si>
    <t>transcription factor mafb (maf-b) (v-maf musculoaponeurotic fibrosarcoma oncogene homolog b)</t>
  </si>
  <si>
    <t>MAFB,BACH2</t>
  </si>
  <si>
    <t>Q9Y5Q3, Q9BYV9</t>
  </si>
  <si>
    <t>CPX-2480</t>
  </si>
  <si>
    <t>chromobox protein homolog 2</t>
  </si>
  <si>
    <t>PCGF2,RING1,CBX2,PHC3</t>
  </si>
  <si>
    <t>P35227, Q06587, Q14781, Q8NDX5</t>
  </si>
  <si>
    <t>CPX-2482</t>
  </si>
  <si>
    <t>MAFK,BACH2</t>
  </si>
  <si>
    <t>O60675, Q9BYV9</t>
  </si>
  <si>
    <t>CPX-2483</t>
  </si>
  <si>
    <t>transcription factor maf (proto-oncogene c-maf) (v-maf musculoaponeurotic fibrosarcoma oncogene homolog)</t>
  </si>
  <si>
    <t>MAF,BACH2</t>
  </si>
  <si>
    <t>O75444, Q9BYV9</t>
  </si>
  <si>
    <t>CPX-2484</t>
  </si>
  <si>
    <t>BACH2,MAFF</t>
  </si>
  <si>
    <t>Q9BYV9, Q9ULX9</t>
  </si>
  <si>
    <t>CPX-2485</t>
  </si>
  <si>
    <t>BACH2,MAFG</t>
  </si>
  <si>
    <t>Q9BYV9, O15525</t>
  </si>
  <si>
    <t>CPX-2487</t>
  </si>
  <si>
    <t>BACH2</t>
  </si>
  <si>
    <t>Q9BYV9</t>
  </si>
  <si>
    <t>CPX-2488</t>
  </si>
  <si>
    <t>tho complex subunit 2 (tho2) (htrex120)</t>
  </si>
  <si>
    <t>THOC1,THOC7,THOC6,THOC3,THOC2,SARNP,FYTTD1,LUZP4,ALYREF,CHTOP,ZC3H11A,POLDIP3,ERH,NCBP3,THOC5,DDX39B</t>
  </si>
  <si>
    <t>Q96FV9, Q6I9Y2, Q86W42, Q96J01, Q8NI27, P82979, Q96QD9, Q9P127, Q86V81, Q9Y3Y2, O75152, Q9BY77, P84090, Q53F19, Q13769, Q13838</t>
  </si>
  <si>
    <t>CPX-2494</t>
  </si>
  <si>
    <t>BACH1,CREB1</t>
  </si>
  <si>
    <t>O14867, P16220</t>
  </si>
  <si>
    <t>CPX-2496</t>
  </si>
  <si>
    <t>DDIT3,BACH1</t>
  </si>
  <si>
    <t>P35638, O14867</t>
  </si>
  <si>
    <t>CPX-2497</t>
  </si>
  <si>
    <t>BACH1,MAFB</t>
  </si>
  <si>
    <t>O14867, Q9Y5Q3</t>
  </si>
  <si>
    <t>CPX-2499</t>
  </si>
  <si>
    <t>spectrin alpha chain, erythrocytic 1 (erythroid alpha-spectrin)</t>
  </si>
  <si>
    <t>SPTB,SPTA1</t>
  </si>
  <si>
    <t>P11277, P02549</t>
  </si>
  <si>
    <t>CPX-2500</t>
  </si>
  <si>
    <t>BACH1,MAF</t>
  </si>
  <si>
    <t>O14867, O75444</t>
  </si>
  <si>
    <t>CPX-2503</t>
  </si>
  <si>
    <t>iron-sulfur cluster assembly 2 homolog, mitochondrial (hesb-like domain-containing protein 1)</t>
  </si>
  <si>
    <t>IBA57,ISCA2</t>
  </si>
  <si>
    <t>Q5T440, Q86U28</t>
  </si>
  <si>
    <t>CPX-2514</t>
  </si>
  <si>
    <t>ras-related gtp-binding protein c (rag c) (ragc) (ec 3.6.5.-) (gtpase-interacting protein 2) (tib929)</t>
  </si>
  <si>
    <t>RRAGB,RRAGC</t>
  </si>
  <si>
    <t>Q5VZM2, Q9HB90</t>
  </si>
  <si>
    <t>CPX-2515</t>
  </si>
  <si>
    <t>max-interacting protein 1 (max interactor 1) (class c basic helix-loop-helix protein 11) (bhlhc11)</t>
  </si>
  <si>
    <t>MAX,MXI1</t>
  </si>
  <si>
    <t>P61244, P50539</t>
  </si>
  <si>
    <t>MXD3,MAX</t>
  </si>
  <si>
    <t>Q9BW11, P61244</t>
  </si>
  <si>
    <t>CPX-2522</t>
  </si>
  <si>
    <t>CNOT11,CNOT10,CNOT3,CNOT6L,CNOT2,CNOT1,CNOT9,CNOT7,CNOT4,TNKS1BP1</t>
  </si>
  <si>
    <t>Q9UKZ1, Q9H9A5, O75175, Q96LI5, Q9NZN8, A5YKK6, Q92600, Q9UIV1, O95628, Q9C0C2</t>
  </si>
  <si>
    <t>CPX-2526</t>
  </si>
  <si>
    <t>protein timeless homolog (htim)</t>
  </si>
  <si>
    <t>TIMELESS,TIPIN</t>
  </si>
  <si>
    <t>Q9UNS1, Q9BVW5</t>
  </si>
  <si>
    <t>CPX-2530</t>
  </si>
  <si>
    <t>carbohydrate-responsive element-binding protein (chrebp) (class d basic helix-loop-helix protein 14) (bhlhd14) (mlx interactor) (mlx-interacting protein-like) (ws basic-helix-loop-helix leucine zipper protein) (ws-bhlh) (williams-beuren syndrome chromosomal region 14 protein)</t>
  </si>
  <si>
    <t>MLXIPL,MLX</t>
  </si>
  <si>
    <t>Q9NP71, Q9UH92</t>
  </si>
  <si>
    <t>CPX-2531</t>
  </si>
  <si>
    <t>b9 domain-containing protein 1 (mks1-related protein 1)</t>
  </si>
  <si>
    <t>MKS1,B9D1,B9D2,TMEM216,TCTN2,TMEM231,TMEM107,CC2D2A,TCTN1,TMEM67,TMEM237,AHI1,TMEM17,TCTN3</t>
  </si>
  <si>
    <t>Q9NXB0, Q9UPM9, Q9BPU9, Q9P0N5, Q96GX1, Q9H6L2, Q6UX40, Q9P2K1, Q2MV58, Q5HYA8, Q96Q45, Q8N157, Q86X19, Q6NUS6</t>
  </si>
  <si>
    <t>CPX-2535</t>
  </si>
  <si>
    <t>CNOT6L,CNOT11,CNOT10,CNOT3,CNOT2,CNOT1,CNOT4,CNOT8,CNOT9,TNKS1BP1</t>
  </si>
  <si>
    <t>Q96LI5, Q9UKZ1, Q9H9A5, O75175, Q9NZN8, A5YKK6, O95628, Q9UFF9, Q92600, Q9C0C2</t>
  </si>
  <si>
    <t>CPX-2536</t>
  </si>
  <si>
    <t>centrosomal protein of 290 kda (cep290) (bardet-biedl syndrome 14 protein) (cancer/testis antigen 87) (ct87) (nephrocystin-6) (tumor antigen se2-2)</t>
  </si>
  <si>
    <t>CEP290,IQCB1</t>
  </si>
  <si>
    <t>O15078, Q15051</t>
  </si>
  <si>
    <t>CPX-2539</t>
  </si>
  <si>
    <t>SNRPA1,SNRPB2,SF3B5,SF3B6,PHF5A,RBMX2,BUD13,SNIP1,HTATSF1,DDX46,SNRPG,SNRPF,SNRPD1,SNRPE,SNRPB,SNRPD2,SNRPD3,SF3A1,SF3A2,SF3A3,SF3B1,SF3B2,SF3B3,SF3B4</t>
  </si>
  <si>
    <t>P09661, P08579, Q9BWJ5, Q9Y3B4, Q7RTV0, Q9Y388, Q9BRD0, Q8TAD8, O43719, Q7L014, P62308, P62306, P62314, P62304, P14678, P62316, P62318, Q15459, Q15428, Q12874, O75533, Q13435, Q15393, Q15427</t>
  </si>
  <si>
    <t>CPX-2542</t>
  </si>
  <si>
    <t>RRAGC,RRAGA</t>
  </si>
  <si>
    <t>Q9HB90, Q7L523</t>
  </si>
  <si>
    <t>CPX-2544</t>
  </si>
  <si>
    <t>TGFBR1,TGFBR2,P10600-PRO_0000033797</t>
  </si>
  <si>
    <t>P36897, P37173, P10600</t>
  </si>
  <si>
    <t>CPX-2548</t>
  </si>
  <si>
    <t>MYCL,MAX</t>
  </si>
  <si>
    <t>P12524, P61244</t>
  </si>
  <si>
    <t>CPX-2551</t>
  </si>
  <si>
    <t>MGA,MAX</t>
  </si>
  <si>
    <t>Q8IWI9, P61244</t>
  </si>
  <si>
    <t>CPX-2555</t>
  </si>
  <si>
    <t>PCGF6,MGA,MAX,,RYBP,TFDP1,E2F6,</t>
  </si>
  <si>
    <t>Q9BYE7, Q8IWI9, P61244, Q8N488, Q14186, O75461, Q969R5, Q99496</t>
  </si>
  <si>
    <t>CPX-2556</t>
  </si>
  <si>
    <t>histone h3.1 (histone h3/a) (histone h3/b) (histone h3/c) (histone h3/d) (histone h3/f) (histone h3/h) (histone h3/i) (histone h3/j) (histone h3/k) (histone h3/l)</t>
  </si>
  <si>
    <t>H4C16,H3C1,H2BC11,H2AC4,H4C16,H3C1,H2BC11,H2AC4,H4C16,H3C1,H2BC11,H2AC4,H4C16,H3C1,H2BC11,H2AC4,H4C16,H3C1,H2BC11,H2AC4,H4C16,H3C1,H2BC11,H2AC4,H4C16,H3C1,H2BC11,H2AC4,H4C16,H3C1,H2BC11,H2AC4,H4C16,H3C1,H2BC11,H2AC4,H4C16,H3C1,H2BC11,H2AC4</t>
  </si>
  <si>
    <t>P62805, P68431, P06899, P04908, P62805, P68431, P06899, P04908, P62805, P68431, P06899, P04908, P62805, P68431, P06899, P04908, P62805, P68431, P06899, P04908, P62805, P68431, P06899, P04908, P62805, P68431, P06899, P04908, P62805, P68431, P06899, P04908, P62805, P68431, P06899, P04908, P62805, P68431, P06899, P04908</t>
  </si>
  <si>
    <t>CPX-2557</t>
  </si>
  <si>
    <t>MGA,MAX,,TFDP1,E2F6,,L3MBTL2,PCGF6</t>
  </si>
  <si>
    <t>Q8IWI9, P61244, Q14186, O75461, Q969R5, Q9BYE7, Q8IY57, Q99496</t>
  </si>
  <si>
    <t>CPX-2564</t>
  </si>
  <si>
    <t>histone h4</t>
  </si>
  <si>
    <t>H2BC11,H4C16,H3-4,H2AC4,H2BC11,H4C16,H3-4,H2AC4,H2BC11,H4C16,H3-4,H2AC4,H2BC11,H4C16,H3-4,H2AC4,H2BC11,H4C16,H3-4,H2AC4,H2BC11,H4C16,H3-4,H2AC4,H2BC11,H4C16,H3-4,H2AC4,H2BC11,H4C16,H3-4,H2AC4,H2BC11,H4C16,H3-4,H2AC4,H2BC11,H4C16,H3-4,H2AC4,H2BC11,H4C16,H3-4,H2AC4,H2BC11,H4C16,H3-4,H2AC4,H2BC11,H4C16,H3-4,H2AC4</t>
  </si>
  <si>
    <t>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t>
  </si>
  <si>
    <t>CPX-2569</t>
  </si>
  <si>
    <t>EZH1,RBBP4,PHF1,EED,SUZ12,LCOR</t>
  </si>
  <si>
    <t>Q92800, Q09028, O43189, O75530, Q15022, Q96JN0</t>
  </si>
  <si>
    <t>CPX-2570</t>
  </si>
  <si>
    <t>EZH1,RBBP7,SUZ12,LCOR,EED,PHF19</t>
  </si>
  <si>
    <t>Q92800, Q16576, Q15022, Q96JN0, O75530, Q5T6S3</t>
  </si>
  <si>
    <t>CPX-2571</t>
  </si>
  <si>
    <t>RYBP,RNF2,BMI1</t>
  </si>
  <si>
    <t>Q8N488, Q99496, P35226</t>
  </si>
  <si>
    <t>CPX-2594</t>
  </si>
  <si>
    <t>PCGF2,PHC1,RING1,CBX4</t>
  </si>
  <si>
    <t>P35227, P78364, Q06587, O00257</t>
  </si>
  <si>
    <t>CPX-2598</t>
  </si>
  <si>
    <t>RING1,PCGF2,PHC3,CBX6</t>
  </si>
  <si>
    <t>Q06587, P35227, Q8NDX5, O95503</t>
  </si>
  <si>
    <t>CPX-2600</t>
  </si>
  <si>
    <t>PCGF2,RING1,CBX7,PHC1</t>
  </si>
  <si>
    <t>P35227, Q06587, O95931, P78364</t>
  </si>
  <si>
    <t>CPX-2601</t>
  </si>
  <si>
    <t>PCGF2,RING1,CBX7,PHC2</t>
  </si>
  <si>
    <t>P35227, Q06587, O95931, Q8IXK0</t>
  </si>
  <si>
    <t>CPX-2605</t>
  </si>
  <si>
    <t>PCGF2,RING1,CBX2,PHC1</t>
  </si>
  <si>
    <t>P35227, Q06587, Q14781, P78364</t>
  </si>
  <si>
    <t>CPX-2609</t>
  </si>
  <si>
    <t>PCGF2,RING1,CBX2,PHC2</t>
  </si>
  <si>
    <t>P35227, Q06587, Q14781, Q8IXK0</t>
  </si>
  <si>
    <t>CPX-2613</t>
  </si>
  <si>
    <t>PCGF2,CBX4,PHC2,RING1</t>
  </si>
  <si>
    <t>P35227, O00257, Q8IXK0, Q06587</t>
  </si>
  <si>
    <t>CPX-2615</t>
  </si>
  <si>
    <t>PCGF2,CBX4,PHC3,RING1</t>
  </si>
  <si>
    <t>P35227, O00257, Q8NDX5, Q06587</t>
  </si>
  <si>
    <t>CPX-2616</t>
  </si>
  <si>
    <t>PCGF2,RING1,CBX6,PHC1</t>
  </si>
  <si>
    <t>P35227, Q06587, O95503, P78364</t>
  </si>
  <si>
    <t>CPX-2617</t>
  </si>
  <si>
    <t>RING1,PCGF2,CBX6,PHC2</t>
  </si>
  <si>
    <t>Q06587, P35227, O95503, Q8IXK0</t>
  </si>
  <si>
    <t>CPX-2619</t>
  </si>
  <si>
    <t>PCGF2,RING1,CBX7,PHC3</t>
  </si>
  <si>
    <t>P35227, Q06587, O95931, Q8NDX5</t>
  </si>
  <si>
    <t>CPX-2621</t>
  </si>
  <si>
    <t>CBX8,PCGF2,RING1,PHC1</t>
  </si>
  <si>
    <t>Q9HC52, P35227, Q06587, P78364</t>
  </si>
  <si>
    <t>CPX-2622</t>
  </si>
  <si>
    <t>PCGF2,CBX8,PHC2,RING1</t>
  </si>
  <si>
    <t>P35227, Q9HC52, Q8IXK0, Q06587</t>
  </si>
  <si>
    <t>CPX-2623</t>
  </si>
  <si>
    <t>PCGF2,CBX8,PHC3,RING1</t>
  </si>
  <si>
    <t>P35227, Q9HC52, Q8NDX5, Q06587</t>
  </si>
  <si>
    <t>CPX-2624</t>
  </si>
  <si>
    <t>FLCN,FNIP1</t>
  </si>
  <si>
    <t>Q8NFG4, Q8TF40</t>
  </si>
  <si>
    <t>CPX-2627</t>
  </si>
  <si>
    <t>bcl-6 corepressor-like protein 1 (bcor-l1) (bcor-like protein 1)</t>
  </si>
  <si>
    <t>PCGF1,RNF2,RYBP,SKP1,BCORL1,KDM2B</t>
  </si>
  <si>
    <t>Q9BSM1, Q99496, Q8N488, P63208, Q5H9F3, Q8NHM5</t>
  </si>
  <si>
    <t>CPX-2630</t>
  </si>
  <si>
    <t>RING1,PCGF2,RYBP</t>
  </si>
  <si>
    <t>Q06587, P35227, Q8N488</t>
  </si>
  <si>
    <t>CPX-2643</t>
  </si>
  <si>
    <t>gamma-adducin (adducin-like protein 70)</t>
  </si>
  <si>
    <t>ADD3,ADD1</t>
  </si>
  <si>
    <t>Q9UEY8, P35611</t>
  </si>
  <si>
    <t>CPX-2649</t>
  </si>
  <si>
    <t>peroxisome assembly protein 12 (peroxin-12) (peroxisome assembly factor 3) (paf-3)</t>
  </si>
  <si>
    <t>PEX12,PEX10,PEX2</t>
  </si>
  <si>
    <t>O00623, O60683, P28328</t>
  </si>
  <si>
    <t>CPX-2652</t>
  </si>
  <si>
    <t>signal recognition particle subunit srp54 (ec 3.6.5.4) (signal recognition particle 54 kda protein)</t>
  </si>
  <si>
    <t>SRP9,SRP14,SRP54,SRP19,SRP72,SRP68</t>
  </si>
  <si>
    <t>P49458, P37108, P61011, P09132, O76094, Q9UHB9</t>
  </si>
  <si>
    <t>CPX-2659</t>
  </si>
  <si>
    <t>protein o-mannosyl-transferase 1 (ec 2.4.1.109) (dolichyl-phosphate-mannose--protein mannosyltransferase 1)</t>
  </si>
  <si>
    <t>POMT2,POMT1</t>
  </si>
  <si>
    <t>Q9UKY4, Q9Y6A1</t>
  </si>
  <si>
    <t>CPX-2666</t>
  </si>
  <si>
    <t>eukaryotic translation initiation factor 4 gamma 1 (eif-4-gamma 1) (eif-4g 1) (eif-4g1) (p220)</t>
  </si>
  <si>
    <t>EIF4E,EIF4G1,EIF4A1</t>
  </si>
  <si>
    <t>P06730, Q04637, P60842</t>
  </si>
  <si>
    <t>CPX-2669</t>
  </si>
  <si>
    <t>dna repair protein complementing xp-c cells (xeroderma pigmentosum group c-complementing protein) (p125)</t>
  </si>
  <si>
    <t>XPC,RAD23B,CETN2</t>
  </si>
  <si>
    <t>Q01831, P54727, P41208</t>
  </si>
  <si>
    <t>CPX-2672</t>
  </si>
  <si>
    <t>RAD23A,CETN2,XPC</t>
  </si>
  <si>
    <t>P54725, P41208, Q01831</t>
  </si>
  <si>
    <t>CPX-2677</t>
  </si>
  <si>
    <t>gpi ethanolamine phosphate transferase 2 (ec 2.-.-.-) (gpi7 homolog) (hgpi7) (phosphatidylinositol-glycan biosynthesis class g protein) (pig-g)</t>
  </si>
  <si>
    <t>PIGG,PIGF</t>
  </si>
  <si>
    <t>Q5H8A4, Q07326</t>
  </si>
  <si>
    <t>CPX-2679</t>
  </si>
  <si>
    <t>phosphatidylinositol-glycan biosynthesis class f protein (pig-f) (gpi11 homolog)</t>
  </si>
  <si>
    <t>PIGF,PIGO</t>
  </si>
  <si>
    <t>Q07326, Q8TEQ8</t>
  </si>
  <si>
    <t>CPX-2694</t>
  </si>
  <si>
    <t>cleavage and polyadenylation specificity factor subunit 3 (ec 3.1.27.-) (cleavage and polyadenylation specificity factor 73 kda subunit) (cpsf 73 kda subunit) (mrna 3'-end-processing endonuclease cpsf-73)</t>
  </si>
  <si>
    <t>CPSF3,CSTF2,CPSF2,SYMPK</t>
  </si>
  <si>
    <t>Q9UKF6, P33240, Q9P2I0, Q92797</t>
  </si>
  <si>
    <t>CPX-2698</t>
  </si>
  <si>
    <t>cleavage and polyadenylation specificity factor subunit 1 (cleavage and polyadenylation specificity factor 160 kda subunit) (cpsf 160 kda subunit)</t>
  </si>
  <si>
    <t>CPSF2,CPSF1,CPSF3,CPSF4,FIP1L1,WDR33,SYMPK</t>
  </si>
  <si>
    <t>Q9P2I0, Q10570, Q9UKF6, O95639, Q6UN15, Q9C0J8, Q92797</t>
  </si>
  <si>
    <t>CPX-2705</t>
  </si>
  <si>
    <t>LSM11,LSM10,u7_human_snrna,SNRPB,SNRPD3,SNRPG,SNRPE,SNRPF</t>
  </si>
  <si>
    <t>P83369, Q969L4, M17910, P14678, P62318, P62308, P62304, P62306</t>
  </si>
  <si>
    <t>CPX-2707</t>
  </si>
  <si>
    <t>trna-splicing endonuclease subunit sen2 (ec 4.6.1.16) (trna-intron endonuclease sen2) (hssen2)</t>
  </si>
  <si>
    <t>TSEN34,TSEN2,TSEN54,TSEN15,CLP1</t>
  </si>
  <si>
    <t>Q9BSV6, Q8NCE0, Q7Z6J9, Q8WW01, Q92989</t>
  </si>
  <si>
    <t>CPX-2712</t>
  </si>
  <si>
    <t>rna polymerase ii elongation factor ell (eleven-nineteen lysine-rich leukemia protein)</t>
  </si>
  <si>
    <t>ELL,ICE2,ICE1,ZC3H8</t>
  </si>
  <si>
    <t>P55199, Q659A1, Q9Y2F5, Q8N5P1</t>
  </si>
  <si>
    <t>CPX-2716</t>
  </si>
  <si>
    <t>eukaryotic translation initiation factor 2 subunit 3 (ec 3.6.5.3) (eukaryotic translation initiation factor 2 subunit gamma x) (eif2-gamma x) (eif2gx)</t>
  </si>
  <si>
    <t>EIF2S1,EIF2S3,EIF2S2</t>
  </si>
  <si>
    <t>P05198, P41091, P20042</t>
  </si>
  <si>
    <t>CPX-2806</t>
  </si>
  <si>
    <t>nephrocystin-1 (juvenile nephronophthisis 1 protein)</t>
  </si>
  <si>
    <t>NPHP1,NPHP4,RPGRIP1L</t>
  </si>
  <si>
    <t>O15259, O75161, Q68CZ1</t>
  </si>
  <si>
    <t>CPX-2821</t>
  </si>
  <si>
    <t>adhesion g-protein coupled receptor v1 (adgrv1) (ec 3.4.-.-) (g-protein coupled receptor 98) (monogenic audiogenic seizure susceptibility protein 1 homolog) (usher syndrome type-2c protein) (very large g-protein coupled receptor 1) [cleaved into: adgrv1 subunit alpha; adgrv1 subunit beta]</t>
  </si>
  <si>
    <t>PDZD7,USH2A,ADGRV1,WHRN</t>
  </si>
  <si>
    <t>Q9H5P4, O75445, Q8WXG9, Q9P202</t>
  </si>
  <si>
    <t>CPX-2827</t>
  </si>
  <si>
    <t>nonsense-mediated mrna decay factor smg8 (amplified in breast cancer gene 2 protein) (protein smg-8 homolog)</t>
  </si>
  <si>
    <t>SMG8,SMG1,SMG9</t>
  </si>
  <si>
    <t>Q8ND04, Q96Q15, Q9H0W8</t>
  </si>
  <si>
    <t>CPX-2831</t>
  </si>
  <si>
    <t>iron-sulfur cluster assembly 1 homolog, mitochondrial (hesb-like domain-containing protein 2) (iron-sulfur assembly protein isca) (hisca)</t>
  </si>
  <si>
    <t>ISCA1,ISCA2</t>
  </si>
  <si>
    <t>Q9BUE6, Q86U28</t>
  </si>
  <si>
    <t>CPX-2838</t>
  </si>
  <si>
    <t>coiled-coil domain-containing protein 8</t>
  </si>
  <si>
    <t>CUL7,CCDC8,OBSL1</t>
  </si>
  <si>
    <t>Q14999, Q9H0W5, O75147</t>
  </si>
  <si>
    <t>CPX-2842</t>
  </si>
  <si>
    <t>polyribonucleotide nucleotidyltransferase 1, mitochondrial (ec 2.7.7.8) (3'-5' rna exonuclease old35) (pnpase old-35) (polynucleotide phosphorylase 1) (pnpase 1) (polynucleotide phosphorylase-like protein)</t>
  </si>
  <si>
    <t>PNPT1,SUPV3L1</t>
  </si>
  <si>
    <t>Q8TCS8, Q8IYB8</t>
  </si>
  <si>
    <t>CPX-2849</t>
  </si>
  <si>
    <t>CNOT3,CNOT2,CNOT1,CNOT8,CNOT6,CNOT11,CNOT10,CNOT4,TNKS1BP1,CNOT9</t>
  </si>
  <si>
    <t>O75175, Q9NZN8, A5YKK6, Q9UFF9, Q9ULM6, Q9UKZ1, Q9H9A5, O95628, Q9C0C2, Q92600</t>
  </si>
  <si>
    <t>CPX-2850</t>
  </si>
  <si>
    <t>rrna n6-adenosine-methyltransferase mettl5 (ec 2.1.1.-) (methyltransferase-like protein 5)</t>
  </si>
  <si>
    <t>METTL5,TRMT112</t>
  </si>
  <si>
    <t>Q9NRN9, Q9UI30</t>
  </si>
  <si>
    <t>CPX-2861</t>
  </si>
  <si>
    <t>alkylated dna repair protein alkb homolog 8 (probable alpha-ketoglutarate-dependent dioxygenase abh8) (s-adenosyl-l-methionine-dependent trna methyltransferase abh8) (trna (carboxymethyluridine(34)-5-o)-methyltransferase abh8) (ec 2.1.1.229)</t>
  </si>
  <si>
    <t>ALKBH8,TRMT112</t>
  </si>
  <si>
    <t>Q96BT7, Q9UI30</t>
  </si>
  <si>
    <t>CPX-2865</t>
  </si>
  <si>
    <t>glutamate--cysteine ligase catalytic subunit (ec 6.3.2.2) (gcs heavy chain) (gamma-ecs) (gamma-glutamylcysteine synthetase)</t>
  </si>
  <si>
    <t>GCLC,GCLM</t>
  </si>
  <si>
    <t>P48506, P48507</t>
  </si>
  <si>
    <t>CPX-2871</t>
  </si>
  <si>
    <t>18s rrna (guanine-n(7))-methyltransferase (ec 2.1.1.-) (bud site selection protein 23 homolog) (metastasis-related methyltransferase 1) (williams-beuren syndrome chromosomal region 22 protein) (rrna methyltransferase and ribosome maturation factor)</t>
  </si>
  <si>
    <t>BUD23,TRMT112</t>
  </si>
  <si>
    <t>O43709, Q9UI30</t>
  </si>
  <si>
    <t>CPX-2876</t>
  </si>
  <si>
    <t>ribonucleases p/mrp protein subunit pop1 (hpop1)</t>
  </si>
  <si>
    <t>POP4,POP7,RPP40,RPP25,POP1,POP5,RPP30,RPP38</t>
  </si>
  <si>
    <t>O95707, O75817, O75818, Q9BUL9, Q99575, Q969H6, P78346, P78345</t>
  </si>
  <si>
    <t>CPX-2877</t>
  </si>
  <si>
    <t>RPP30,POP7,POP1,RPP25,POP4,RPP14,RPP40,POP5,RPP38,RPP21</t>
  </si>
  <si>
    <t>P78346, O75817, Q99575, Q9BUL9, O95707, O95059, O75818, Q969H6, P78345, Q9H633</t>
  </si>
  <si>
    <t>CPX-2882</t>
  </si>
  <si>
    <t>PDGFRB,PDGFB</t>
  </si>
  <si>
    <t>P09619, P01127</t>
  </si>
  <si>
    <t>CPX-2883</t>
  </si>
  <si>
    <t>PDGFB,PDGFRB,PDGFRA</t>
  </si>
  <si>
    <t>P01127, P09619, P16234</t>
  </si>
  <si>
    <t>CPX-2884</t>
  </si>
  <si>
    <t>PDGFB,PDGFRA</t>
  </si>
  <si>
    <t>P01127, P16234</t>
  </si>
  <si>
    <t>CPX-2885</t>
  </si>
  <si>
    <t>PDGFB,PDGFRA,PDGFA</t>
  </si>
  <si>
    <t>P01127, P16234, P04085</t>
  </si>
  <si>
    <t>CPX-2886</t>
  </si>
  <si>
    <t>PDGFB,PDGFA,PDGFRB</t>
  </si>
  <si>
    <t>P01127, P04085, P09619</t>
  </si>
  <si>
    <t>CPX-2892</t>
  </si>
  <si>
    <t>PDGFA,PDGFRB,PDGFRA,PDGFB</t>
  </si>
  <si>
    <t>P04085, P09619, P16234, P01127</t>
  </si>
  <si>
    <t>CPX-2897</t>
  </si>
  <si>
    <t>superoxide dismutase [cu-zn] (ec 1.15.1.1) (superoxide dismutase 1) (hsod1)</t>
  </si>
  <si>
    <t>SOD1</t>
  </si>
  <si>
    <t>P00441</t>
  </si>
  <si>
    <t>CPX-2931</t>
  </si>
  <si>
    <t>hemoglobin subunit gamma-2 (gamma-2-globin) (hb f ggamma) (hemoglobin gamma-2 chain) (hemoglobin gamma-g chain)</t>
  </si>
  <si>
    <t>HBG2,HBZ</t>
  </si>
  <si>
    <t>P69892, P02008</t>
  </si>
  <si>
    <t>CPX-2933</t>
  </si>
  <si>
    <t>HBA1,HBG2</t>
  </si>
  <si>
    <t>P69905, P69892</t>
  </si>
  <si>
    <t>CPX-3032</t>
  </si>
  <si>
    <t>glutamate decarboxylase 1 (ec 4.1.1.15) (67 kda glutamic acid decarboxylase) (gad-67) (glutamate decarboxylase 67 kda isoform)</t>
  </si>
  <si>
    <t>GAD1</t>
  </si>
  <si>
    <t>Q99259</t>
  </si>
  <si>
    <t>CPX-3065</t>
  </si>
  <si>
    <t>GAD1,GAD2</t>
  </si>
  <si>
    <t>Q99259, Q05329</t>
  </si>
  <si>
    <t>CPX-3071</t>
  </si>
  <si>
    <t>inward rectifier potassium channel 2 (cardiac inward rectifier potassium channel) (inward rectifier k(+) channel kir2.1) (irk-1) (hirk1) (potassium channel, inwardly rectifying subfamily j member 2)</t>
  </si>
  <si>
    <t>KCNJ2</t>
  </si>
  <si>
    <t>P63252</t>
  </si>
  <si>
    <t>CPX-3079</t>
  </si>
  <si>
    <t>upstream stimulatory factor 1 (class b basic helix-loop-helix protein 11) (bhlhb11) (major late transcription factor 1)</t>
  </si>
  <si>
    <t>USF1,USF2</t>
  </si>
  <si>
    <t>P22415, Q15853</t>
  </si>
  <si>
    <t>CPX-3082</t>
  </si>
  <si>
    <t>USF1</t>
  </si>
  <si>
    <t>P22415</t>
  </si>
  <si>
    <t>CPX-3135</t>
  </si>
  <si>
    <t>ryanodine receptor 1 (ryr-1) (ryr1) (skeletal muscle calcium release channel) (skeletal muscle ryanodine receptor) (skeletal muscle-type ryanodine receptor) (type 1 ryanodine receptor)</t>
  </si>
  <si>
    <t>RYR1</t>
  </si>
  <si>
    <t>P21817</t>
  </si>
  <si>
    <t>CPX-3138</t>
  </si>
  <si>
    <t>kinesin-like protein kif3b (hh0048) (microtubule plus end-directed kinesin motor 3b) [cleaved into: kinesin-like protein kif3b, n-terminally processed]</t>
  </si>
  <si>
    <t>KIF3B,KIF3A</t>
  </si>
  <si>
    <t>O15066, Q9Y496</t>
  </si>
  <si>
    <t>CPX-3148</t>
  </si>
  <si>
    <t>CALCRL,O60896-PRO_0000030176</t>
  </si>
  <si>
    <t>Q16602, O60896</t>
  </si>
  <si>
    <t>CPX-3153</t>
  </si>
  <si>
    <t>phosphatidylinositol 3,4,5-trisphosphate 3-phosphatase and dual-specificity protein phosphatase pten (ec 3.1.3.16) (ec 3.1.3.48) (ec 3.1.3.67) (inositol polyphosphate 3-phosphatase) (ec 3.1.3.-) (mutated in multiple advanced cancers 1) (phosphatase and tensin homolog)</t>
  </si>
  <si>
    <t>PTEN</t>
  </si>
  <si>
    <t>P60484</t>
  </si>
  <si>
    <t>CPX-3165</t>
  </si>
  <si>
    <t>LAMC2,LAMB3,LAMA3</t>
  </si>
  <si>
    <t>Q13753, Q13751, Q16787-2</t>
  </si>
  <si>
    <t>CPX-3166</t>
  </si>
  <si>
    <t>P11047, P07942, Q16787-2</t>
  </si>
  <si>
    <t>CPX-3168</t>
  </si>
  <si>
    <t>s-adenosylmethionine synthase isoform type-1 (adomet synthase 1) (ec 2.5.1.6) (methionine adenosyltransferase 1) (mat 1) (methionine adenosyltransferase i/iii) (mat-i/iii)</t>
  </si>
  <si>
    <t>MAT1A</t>
  </si>
  <si>
    <t>Q00266</t>
  </si>
  <si>
    <t>CPX-3169</t>
  </si>
  <si>
    <t>CPX-3192</t>
  </si>
  <si>
    <t>voltage-dependent l-type calcium channel subunit alpha-1s (calcium channel, l type, alpha-1 polypeptide, isoform 3, skeletal muscle) (voltage-gated calcium channel subunit alpha cav1.1)</t>
  </si>
  <si>
    <t>CACNA1S,CACNG1,CACNB1,P54289-PRO_0000005001,P54289-PRO_0000005002</t>
  </si>
  <si>
    <t>Q13698, Q06432, Q02641, P54289, P54289</t>
  </si>
  <si>
    <t>CPX-3201</t>
  </si>
  <si>
    <t>KIFAP3,KIF3B,KIF3A</t>
  </si>
  <si>
    <t>Q92845, O15066, Q9Y496</t>
  </si>
  <si>
    <t>CPX-3219</t>
  </si>
  <si>
    <t>cryptochrome-1</t>
  </si>
  <si>
    <t>PER2,CRY1</t>
  </si>
  <si>
    <t>O15055, Q16526</t>
  </si>
  <si>
    <t>CPX-3220</t>
  </si>
  <si>
    <t>period circadian protein homolog 2 (hper2) (circadian clock protein period 2)</t>
  </si>
  <si>
    <t>PER2,CRY2</t>
  </si>
  <si>
    <t>O15055, Q49AN0</t>
  </si>
  <si>
    <t>CPX-3222</t>
  </si>
  <si>
    <t>PER1,CRY1</t>
  </si>
  <si>
    <t>O15534, Q16526</t>
  </si>
  <si>
    <t>CPX-3223</t>
  </si>
  <si>
    <t>CRY1,PER3</t>
  </si>
  <si>
    <t>Q16526, P56645</t>
  </si>
  <si>
    <t>CPX-3224</t>
  </si>
  <si>
    <t>period circadian protein homolog 3 (hper3) (cell growth-inhibiting gene 13 protein) (circadian clock protein period 3)</t>
  </si>
  <si>
    <t>CRY2,PER3</t>
  </si>
  <si>
    <t>Q49AN0, P56645</t>
  </si>
  <si>
    <t>CPX-3227</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</si>
  <si>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</si>
  <si>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MED25,MED9,MED20,MED21,MED6,MED14,MED4,MED28,MED30,MED18,MED16,MED11,MED17,MED31,MED1,MED24,MED23,MED26,MED19,MED27,MED22,MED15,MED8,MED29,MED7,MED10</t>
  </si>
  <si>
    <t>Q71SY5, Q9NWA0, Q9H944, Q13503, O75586, O60244, Q9NPJ6, Q9H204, Q96HR3, Q9BUE0, Q9Y2X0, Q9P086, Q9NVC6, Q9Y3C7, Q15648, O75448, Q9ULK4, O95402, A0JLT2, Q6P2C8, Q15528, Q96RN5, Q96G25, Q9NX70, O43513, Q9BTT4</t>
  </si>
  <si>
    <t>CPX-3239</t>
  </si>
  <si>
    <t>a-type voltage-gated potassium channel kcnd2 (potassium voltage-gated channel subfamily d member 2) (voltage-gated potassium channel subunit kv4.2)</t>
  </si>
  <si>
    <t>KCND2,KCNIP2</t>
  </si>
  <si>
    <t>Q9NZV8, Q9NS61</t>
  </si>
  <si>
    <t>CPX-3278</t>
  </si>
  <si>
    <t>g protein-activated inward rectifier potassium channel 4 (girk-4) (cardiac inward rectifier) (cir) (heart katp channel) (inward rectifier k(+) channel kir3.4) (irk-4) (katp-1) (potassium channel, inwardly rectifying subfamily j member 5)</t>
  </si>
  <si>
    <t>KCNJ5,KCNJ3</t>
  </si>
  <si>
    <t>P48544, P48549</t>
  </si>
  <si>
    <t>CPX-3280</t>
  </si>
  <si>
    <t>troponin c, slow skeletal and cardiac muscles (tn-c)</t>
  </si>
  <si>
    <t>TNNI3,TNNT2,TNNC1</t>
  </si>
  <si>
    <t>P19429, P45379, P63316</t>
  </si>
  <si>
    <t>CPX-3290</t>
  </si>
  <si>
    <t>Q9NPF7-PRO_0000259488,P29460-PRO_0000010930</t>
  </si>
  <si>
    <t>Q9NPF7, P29460</t>
  </si>
  <si>
    <t>CPX-3481</t>
  </si>
  <si>
    <t>SHLD2,SHLD3,MAD2L2,SHLD1</t>
  </si>
  <si>
    <t>Q86V20, Q6ZNX1, Q9UI95, Q8IYI0</t>
  </si>
  <si>
    <t>CPX-3642</t>
  </si>
  <si>
    <t>2-methoxy-6-polyprenyl-1,4-benzoquinol methylase, mitochondrial (ec 2.1.1.201) (ubiquinone biosynthesis methyltransferase coq5)</t>
  </si>
  <si>
    <t>COQ7,COQ5,COQ3,COQ4,COQ6,COQ9</t>
  </si>
  <si>
    <t>Q99807, Q5HYK3, Q9NZJ6, Q9Y3A0, Q9Y2Z9, O75208</t>
  </si>
  <si>
    <t>CPX-3905</t>
  </si>
  <si>
    <t>death domain-containing protein cradd (caspase and rip adapter with death domain) (rip-associated protein with a death domain)</t>
  </si>
  <si>
    <t>CASP2,CRADD,PIDD1</t>
  </si>
  <si>
    <t>P42575, P78560, Q9HB75</t>
  </si>
  <si>
    <t>CPX-3961</t>
  </si>
  <si>
    <t>guanine nucleotide exchange factor c9orf72</t>
  </si>
  <si>
    <t>C9orf72,SMCR8,WDR41</t>
  </si>
  <si>
    <t>Q96LT7-1, Q8TEV9, Q9HAD4</t>
  </si>
  <si>
    <t>CPX-4001</t>
  </si>
  <si>
    <t>polycystin-1 (pc1) (autosomal dominant polycystic kidney disease 1 protein)</t>
  </si>
  <si>
    <t>PKD1,PKD2</t>
  </si>
  <si>
    <t>P98161, Q13563</t>
  </si>
  <si>
    <t>CPX-4084</t>
  </si>
  <si>
    <t>ACTL6A,ACTB,BRD9,SMARCA2,SMARCC1,SMARCD1,BCL7A,BCL7B,BCL7C,SS18,BICRA</t>
  </si>
  <si>
    <t>O96019, P60709, Q9H8M2, P51531, Q92922, Q96GM5, Q4VC05, Q9BQE9, Q8WUZ0, Q15532, Q9NZM4</t>
  </si>
  <si>
    <t>CPX-4101</t>
  </si>
  <si>
    <t>CPX-4108</t>
  </si>
  <si>
    <t>COL1A1</t>
  </si>
  <si>
    <t>P02452</t>
  </si>
  <si>
    <t>CPX-4203</t>
  </si>
  <si>
    <t>ACTL6A,ACTB,BRD9,SMARCA2,SMARCC1,SMARCD1,BCL7A,BCL7B,BCL7C,SS18,BICRAL</t>
  </si>
  <si>
    <t>O96019, P60709, Q9H8M2, P51531, Q92922, Q96GM5, Q4VC05, Q9BQE9, Q8WUZ0, Q15532, Q6AI39</t>
  </si>
  <si>
    <t>CPX-4206</t>
  </si>
  <si>
    <t>ACTL6A,ACTB,BRD9,SMARCA4,SMARCC1,SMARCD1,BCL7A,BCL7B,BCL7C,SS18,BICRA</t>
  </si>
  <si>
    <t>O96019, P60709, Q9H8M2, P51532, Q92922, Q96GM5, Q4VC05, Q9BQE9, Q8WUZ0, Q15532, Q9NZM4</t>
  </si>
  <si>
    <t>CPX-4207</t>
  </si>
  <si>
    <t>ACTL6A,ACTB,BRD9,SMARCA4,SMARCC1,SMARCD1,BCL7A,BCL7B,BCL7C,SS18,BICRAL</t>
  </si>
  <si>
    <t>O96019, P60709, Q9H8M2, P51532, Q92922, Q96GM5, Q4VC05, Q9BQE9, Q8WUZ0, Q15532, Q6AI39</t>
  </si>
  <si>
    <t>BCL7C,SS18,BICRA,ACTL6B,ACTB,BRD9,SMARCA2,SMARCC1,SMARCD1,BCL7A,BCL7B</t>
  </si>
  <si>
    <t>Q8WUZ0, Q15532, Q9NZM4, O94805, P60709, Q9H8M2, P51531, Q92922, Q96GM5, Q4VC05, Q9BQE9</t>
  </si>
  <si>
    <t>CPX-4224</t>
  </si>
  <si>
    <t>ACTB,BRD9,SMARCA2,SMARCC1,SMARCD1,BCL7A,BCL7B,BCL7C,SS18,BICRAL,ACTL6B</t>
  </si>
  <si>
    <t>P60709, Q9H8M2, P51531, Q92922, Q96GM5, Q4VC05, Q9BQE9, Q8WUZ0, Q15532, Q6AI39, O94805</t>
  </si>
  <si>
    <t>CPX-4225</t>
  </si>
  <si>
    <t>ACTL6B,ACTB,BRD9,SMARCA4,SMARCC1,SMARCD1,BCL7A,BCL7B,BCL7C,SS18,BICRA</t>
  </si>
  <si>
    <t>O94805, P60709, Q9H8M2, P51532, Q92922, Q96GM5, Q4VC05, Q9BQE9, Q8WUZ0, Q15532, Q9NZM4</t>
  </si>
  <si>
    <t>CPX-4226</t>
  </si>
  <si>
    <t>ACTL6B,ACTB,BRD9,SMARCA4,SMARCC1,SMARCD1,BCL7A,BCL7B,BCL7C,SS18,BICRAL</t>
  </si>
  <si>
    <t>O94805, P60709, Q9H8M2, P51532, Q92922, Q96GM5, Q4VC05, Q9BQE9, Q8WUZ0, Q15532, Q6AI39</t>
  </si>
  <si>
    <t>CPX-4302</t>
  </si>
  <si>
    <t>calpain-1 catalytic subunit (ec 3.4.22.52) (calcium-activated neutral proteinase 1) (canp 1) (calpain mu-type) (calpain-1 large subunit) (cell proliferation-inducing gene 30 protein) (micromolar-calpain) (mucanp)</t>
  </si>
  <si>
    <t>CAPN1,CAPNS1</t>
  </si>
  <si>
    <t>P07384, P04632</t>
  </si>
  <si>
    <t>CPX-4310</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</si>
  <si>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</si>
  <si>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Q07954-PRO_0000302750,Q07954-PRO_0000302751</t>
  </si>
  <si>
    <t>Q07954, Q07954</t>
  </si>
  <si>
    <t>CPX-4424</t>
  </si>
  <si>
    <t>reelin (ec 3.4.21.-)</t>
  </si>
  <si>
    <t>RELN</t>
  </si>
  <si>
    <t>P78509</t>
  </si>
  <si>
    <t>CPX-4425</t>
  </si>
  <si>
    <t>brca1-a complex subunit abraxas 1 (coiled-coil domain-containing protein 98) (protein fam175a)</t>
  </si>
  <si>
    <t>BABAM1,ABRAXAS1,BRCA1,BARD1,,BRCC3,BABAM2</t>
  </si>
  <si>
    <t>Q9NWV8, Q6UWZ7, P38398, Q99728, P46736, Q9NXR7, Q96RL1</t>
  </si>
  <si>
    <t>CPX-4426</t>
  </si>
  <si>
    <t>fanconi anemia group j protein (ec 5.6.2.3) (brca1-associated c-terminal helicase 1) (brca1-interacting protein c-terminal helicase 1) (brca1-interacting protein 1) (dna 5'-3' helicase fancj)</t>
  </si>
  <si>
    <t>BRCA1,BARD1,,BRIP1</t>
  </si>
  <si>
    <t>P38398, Q99728, Q9BX63, Q92547</t>
  </si>
  <si>
    <t>CPX-4441</t>
  </si>
  <si>
    <t>dna endonuclease rbbp8 (ec 3.1.-.-) (ctbp-interacting protein) (ctip) (retinoblastoma-binding protein 8) (rbbp-8) (retinoblastoma-interacting protein and myosin-like) (rim) (sporulation in the absence of spo11 protein 2 homolog) (sae2)</t>
  </si>
  <si>
    <t>BRCA1,BARD1,,double-stranded dna,RAD50,MRE11</t>
  </si>
  <si>
    <t>P38398, Q99728, Q99708, Q92878, P49959, O60934</t>
  </si>
  <si>
    <t>CPX-4442</t>
  </si>
  <si>
    <t>dna repair protein rad50 (hrad50) (ec 3.6.-.-)</t>
  </si>
  <si>
    <t>RAD50,MRE11,NBN</t>
  </si>
  <si>
    <t>Q92878, P49959, O60934</t>
  </si>
  <si>
    <t>CPX-4469</t>
  </si>
  <si>
    <t>matrilin-3</t>
  </si>
  <si>
    <t>MATN3</t>
  </si>
  <si>
    <t>O15232</t>
  </si>
  <si>
    <t>CPX-4503</t>
  </si>
  <si>
    <t>MATN3,MATN1</t>
  </si>
  <si>
    <t>O15232, P21941</t>
  </si>
  <si>
    <t>CPX-4526</t>
  </si>
  <si>
    <t>cell division control protein 45 homolog (porc-pi-1)</t>
  </si>
  <si>
    <t>MCM2,MCM6,MCM3,MCM5,MCM7,MCM4,,GINS2,GINS1,GINS4,GINS3</t>
  </si>
  <si>
    <t>P49736, Q14566, P25205, P33992, P33993, P33991, Q9Y248, Q14691, Q9BRT9, Q9BRX5, O75419</t>
  </si>
  <si>
    <t>CPX-4663</t>
  </si>
  <si>
    <t>tumor necrosis factor receptor superfamily member 11b (osteoclastogenesis inhibitory factor) (osteoprotegerin)</t>
  </si>
  <si>
    <t>TNFRSF11B</t>
  </si>
  <si>
    <t>O00300</t>
  </si>
  <si>
    <t>CPX-4741</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</si>
  <si>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</si>
  <si>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LAMTOR4,LAMTOR1,LAMTOR5,LAMTOR3,LAMTOR2</t>
  </si>
  <si>
    <t>Q0VGL1, Q6IAA8, O43504, Q9UHA4, Q9Y2Q5</t>
  </si>
  <si>
    <t>CPX-4742</t>
  </si>
  <si>
    <t>catalase (ec 1.11.1.6)</t>
  </si>
  <si>
    <t>CAT</t>
  </si>
  <si>
    <t>P04040</t>
  </si>
  <si>
    <t>CPX-4747</t>
  </si>
  <si>
    <t>e3 sumo-protein ligase ranbp2 (ec 2.3.2.-) (358 kda nucleoporin) (nuclear pore complex protein nup358) (nucleoporin nup358) (ran-binding protein 2) (ranbp2) (p270)</t>
  </si>
  <si>
    <t>RANGAP1,UBE2I,RANBP2</t>
  </si>
  <si>
    <t>P46060, P63279, P49792</t>
  </si>
  <si>
    <t>CPX-4749</t>
  </si>
  <si>
    <t>trafficking protein particle complex subunit 10 (epilepsy holoprosencephaly candidate 1 protein) (ehoc-1) (protein gt334) (trafficking protein particle complex subunit tmem1) (transport protein particle subunit tmem1) (trapp subunit tmem1)</t>
  </si>
  <si>
    <t>TRAPPC1,TRAPPC2,TRAPPC3,TRAPPC4,TRAPPC5,TRAPPC6B,TRAPPC9,TRAPPC10,TRAPPC13,TRAPPC2L</t>
  </si>
  <si>
    <t>Q9Y5R8, P0DI81, O43617, Q9Y296, Q8IUR0, Q86SZ2, Q96Q05, P48553, A5PLN9, Q9UL33</t>
  </si>
  <si>
    <t>CPX-4750</t>
  </si>
  <si>
    <t>trafficking protein particle complex subunit 2 (sedlin)</t>
  </si>
  <si>
    <t>TRAPPC1,TRAPPC2,TRAPPC3,TRAPPC4,TRAPPC5,TRAPPC6A,TRAPPC8,TRAPPC11,TRAPPC12,TRAPPC2L</t>
  </si>
  <si>
    <t>Q9Y5R8, P0DI81, O43617, Q9Y296, Q8IUR0, O75865, Q9Y2L5, Q7Z392, Q8WVT3, Q9UL33</t>
  </si>
  <si>
    <t>CPX-4943</t>
  </si>
  <si>
    <t>exocyst complex component 2 (exocyst complex component sec5)</t>
  </si>
  <si>
    <t>EXOC8,EXOC7,EXOC6,EXOC5,EXOC4,EXOC3,EXOC2,EXOC1</t>
  </si>
  <si>
    <t>Q8IYI6, Q9UPT5, Q8TAG9, O00471, Q96A65, O60645, Q96KP1, Q9NV70</t>
  </si>
  <si>
    <t>CPX-4944</t>
  </si>
  <si>
    <t>EXOC8,EXOC7,EXOC6B,EXOC5,EXOC4,EXOC3,EXOC2,EXOC1</t>
  </si>
  <si>
    <t>Q8IYI6, Q9UPT5, Q9Y2D4, O00471, Q96A65, O60645, Q96KP1, Q9NV70</t>
  </si>
  <si>
    <t>coagulation factor ix (ec 3.4.21.22) (christmas factor) (plasma thromboplastin component) (ptc) [cleaved into: coagulation factor ixa light chain; coagulation factor ixa heavy chain]</t>
  </si>
  <si>
    <t>P00740-PRO_0000027757,P00740-PRO_0000027759</t>
  </si>
  <si>
    <t>P00740, P00740</t>
  </si>
  <si>
    <t>CPX-5001</t>
  </si>
  <si>
    <t>protein inturned (inturned planar cell polarity effector homolog) (pdz domain-containing protein 6)</t>
  </si>
  <si>
    <t>FUZ,INTU,WDPCP</t>
  </si>
  <si>
    <t>Q9BT04, Q9ULD6, O95876</t>
  </si>
  <si>
    <t>CPX-5021</t>
  </si>
  <si>
    <t>intraflagellar transport protein 122 homolog (wd repeat-containing protein 10) (wd repeat-containing protein 140)</t>
  </si>
  <si>
    <t>IFT43,IFT122,IFT140,WDR19,WDR35,TTC21B</t>
  </si>
  <si>
    <t>Q96FT9, Q9HBG6, Q96RY7, Q8NEZ3, Q9P2L0, Q7Z4L5</t>
  </si>
  <si>
    <t>CPX-5022</t>
  </si>
  <si>
    <t>intraflagellar transport protein 172 homolog</t>
  </si>
  <si>
    <t>CLUAP1,IFT25,IFT172,IFT20,IFT22,IFT27,IFT46,IFT52,IFT74,IFT80,IFT81,IFT88,TRAF3IP1,IFT56,IFT70B,IFT57</t>
  </si>
  <si>
    <t>Q96AJ1, Q9Y547, Q9UG01, Q8IY31, Q9H7X7, Q9BW83, Q9NQC8, Q9Y366, Q96LB3, Q9P2H3, Q8WYA0, Q13099, Q8TDR0, A0AVF1, Q8N4P2, Q9NWB7</t>
  </si>
  <si>
    <t>CPX-5025</t>
  </si>
  <si>
    <t>cytoplasmic dynein 1 heavy chain 1 (cytoplasmic dynein heavy chain 1) (dynein heavy chain, cytosolic)</t>
  </si>
  <si>
    <t>DYNC1H1,DYNLL1,DYNLRB1,DYNLT1,DYNC1I2,DYNC1LI2</t>
  </si>
  <si>
    <t>Q14204, P63167, Q9NP97, P63172, Q13409, O43237</t>
  </si>
  <si>
    <t>CPX-5043</t>
  </si>
  <si>
    <t>bloc-3 complex member hps4 (hermansky-pudlak syndrome 4 protein) (light-ear protein homolog)</t>
  </si>
  <si>
    <t>HPS4,HPS1</t>
  </si>
  <si>
    <t>Q9NQG7, Q92902</t>
  </si>
  <si>
    <t>CPX-5044</t>
  </si>
  <si>
    <t>bloc-2 complex member hps3 (hermansky-pudlak syndrome 3 protein)</t>
  </si>
  <si>
    <t>HPS6,HPS5,HPS3</t>
  </si>
  <si>
    <t>Q86YV9, Q9UPZ3, Q969F9</t>
  </si>
  <si>
    <t>CPX-5047</t>
  </si>
  <si>
    <t>ap-1 complex subunit beta-1 (adaptor protein complex ap-1 subunit beta-1) (adaptor-related protein complex 1 subunit beta-1) (beta-1-adaptin) (beta-adaptin 1) (clathrin assembly protein complex 1 beta large chain) (golgi adaptor ha1/ap1 adaptin beta subunit)</t>
  </si>
  <si>
    <t>AP1B1,AP1G1,AP1M1,AP1S1</t>
  </si>
  <si>
    <t>Q10567, O43747, Q9BXS5, P61966</t>
  </si>
  <si>
    <t>CPX-5048</t>
  </si>
  <si>
    <t>AP1S2,AP1B1,AP1G1,AP1M1</t>
  </si>
  <si>
    <t>P56377, Q10567, O43747, Q9BXS5</t>
  </si>
  <si>
    <t>CPX-5049</t>
  </si>
  <si>
    <t>AP1S3,AP1B1,AP1G1,AP1M1</t>
  </si>
  <si>
    <t>Q96PC3, Q10567, O43747, Q9BXS5</t>
  </si>
  <si>
    <t>CPX-5050</t>
  </si>
  <si>
    <t>AP1B1,AP1G1,AP1M2,AP1S1</t>
  </si>
  <si>
    <t>Q10567, O43747, Q9Y6Q5, P61966</t>
  </si>
  <si>
    <t>CPX-5051</t>
  </si>
  <si>
    <t>ap-3 complex subunit beta-1 (adaptor protein complex ap-3 subunit beta-1) (adaptor-related protein complex 3 subunit beta-1) (beta-3a-adaptin) (clathrin assembly protein complex 3 beta-1 large chain)</t>
  </si>
  <si>
    <t>AP3B1,AP3D1,AP3M1,AP3S1</t>
  </si>
  <si>
    <t>O00203, O14617, Q9Y2T2, Q92572</t>
  </si>
  <si>
    <t>CPX-5052</t>
  </si>
  <si>
    <t>AP3B1,AP3D1,AP3M1,AP3S2</t>
  </si>
  <si>
    <t>O00203, O14617, Q9Y2T2, P59780</t>
  </si>
  <si>
    <t>CPX-5053</t>
  </si>
  <si>
    <t>ap-3 complex subunit beta-2 (adaptor protein complex ap-3 subunit beta-2) (adaptor-related protein complex 3 subunit beta-2) (beta-3b-adaptin) (clathrin assembly protein complex 3 beta-2 large chain) (neuron-specific vesicle coat protein beta-nap)</t>
  </si>
  <si>
    <t>AP3B2,AP3D1,AP3M2,AP3S2</t>
  </si>
  <si>
    <t>Q13367, O14617, P53677, P59780</t>
  </si>
  <si>
    <t>CPX-5055</t>
  </si>
  <si>
    <t>AP3B2,AP3D1,AP3M2,AP3S1</t>
  </si>
  <si>
    <t>Q13367, O14617, P53677, Q92572</t>
  </si>
  <si>
    <t>CPX-5149</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</si>
  <si>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</si>
  <si>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AP2A1,AP2B1,AP2S1,AP2M1</t>
  </si>
  <si>
    <t>O95782, P63010, P53680, Q96CW1</t>
  </si>
  <si>
    <t>CPX-5150</t>
  </si>
  <si>
    <t>AP2A2,AP2B1,AP2S1,AP2M1</t>
  </si>
  <si>
    <t>O94973, P63010, P53680, Q96CW1</t>
  </si>
  <si>
    <t>CPX-5151</t>
  </si>
  <si>
    <t>ap-4 complex subunit beta-1 (ap-4 adaptor complex subunit beta) (adaptor-related protein complex 4 subunit beta-1) (beta subunit of ap-4) (beta4-adaptin)</t>
  </si>
  <si>
    <t>AP4E1,AP4M1,AP4B1,AP4S1</t>
  </si>
  <si>
    <t>Q9UPM8, O00189, Q9Y6B7, Q9Y587</t>
  </si>
  <si>
    <t>CPX-5181</t>
  </si>
  <si>
    <t>ap-5 complex subunit zeta-1 (adaptor-related protein complex 5 zeta subunit) (zeta5)</t>
  </si>
  <si>
    <t>AP5Z1,AP5M1,AP5S1,AP5B1</t>
  </si>
  <si>
    <t>O43299, Q9H0R1, Q9NUS5, Q2VPB7</t>
  </si>
  <si>
    <t>CPX-5183</t>
  </si>
  <si>
    <t>large ribosomal subunit protein el13 (60s ribosomal protein l13) (breast basic conserved protein 1)</t>
  </si>
  <si>
    <t>RPL10A,RPL11,RPL12,RPL13,RPL13A,RPL14,RPL15,RPL17,RPL18,RPL18A,RPL19,RPL21,RPL23,RPL23A,RPL24,RPL27,RPL27A,RPL28,RPL29,RPL30,RPL31,RPL32,RPL34,RPL35,RPL35A,RPL36,RPL37,RPL37A,RPL38,RPL4,UBA52,RPL41,RPL5,RPL6,RPL7,RPL7A,RPL8,RPL9,RPLP0,RPLP1,RPLP2,RPL10,RPL3,RPL39</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</si>
  <si>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P27635, P39023, P62891</t>
  </si>
  <si>
    <t>CPX-5225</t>
  </si>
  <si>
    <t>small ribosomal subunit protein bs16m (28s ribosomal protein s16, mitochondrial) (mrp-s16) (s16mt)</t>
  </si>
  <si>
    <t>AURKAIP1,CHCHD1,DAP3,MRPS10,MRPS11,MRPS12,MRPS14,MRPS15,MRPS16,MRPS17,MRPS18B,MRPS18C,MRPS2,MRPS21,MRPS22,MRPS23,MRPS24,MRPS25,MRPS26,MRPS27,MRPS28,MRPS31,MRPS33,MRPS34,MRPS35,MRPS5,MRPS6,MRPS7,MRPS9,PTCD3</t>
  </si>
  <si>
    <t>Q9NWT8, Q96BP2, P51398, P82664, P82912, O15235, O60783, P82914, Q9Y3D3, Q9Y2R5, Q9Y676, Q9Y3D5, Q9Y399, P82921, P82650, Q9Y3D9, Q96EL2, P82663, Q9BYN8, Q92552, Q9Y2Q9, Q92665, Q9Y291, P82930, P82673, P82675, P82932, Q9Y2R9, P82933, Q96EY7</t>
  </si>
  <si>
    <t>CPX-5226</t>
  </si>
  <si>
    <t>large ribosomal subunit protein bl12m (39s ribosomal protein l12, mitochondrial) (l12mt) (mrp-l12) (5c5-2)</t>
  </si>
  <si>
    <t>GADD45GIP1,MRPL1,MRPL10,MRPL11,MRPL12,MRPL13,MRPL14,MRPL15,MRPL16,MRPL17,MRPL18,MRPL19,MRPL2,MRPL20,MRPL21,MRPL22,MRPL23,MRPL24,MRPL27,MRPL28,MRPL3,MRPL30,MRPL32,MRPL33,MRPL34,MRPL35,MRPL36,MRPL37,MRPL38,MRPL39,MRPL4,MRPL40,MRPL41,MRPL42,MRPL43,MRPL44,MRPL45,MRPL46,MRPL47,MRPL48,MRPL49,MRPL50,MRPL51,MRPL52,MRPL53,MRPL54,MRPL55,MRPL58,MRPL9,MRPS18A,MRPS30,MRPL57</t>
  </si>
  <si>
    <t>Q8TAE8, Q9BYD6, Q7Z7H8, Q9Y3B7, P52815, Q9BYD1, Q6P1L8, Q9P015, Q9NX20, Q9NRX2, Q9H0U6, P49406, Q5T653, Q9BYC9, Q7Z2W9, Q9NWU5, Q16540, Q96A35, Q9P0M9, Q13084, P09001, Q8TCC3, Q9BYC8, O75394, Q9BQ48, Q9NZE8, Q9P0J6, Q9BZE1, Q96DV4, Q9NYK5, Q9BYD3, Q9NQ50, Q8IXM3, Q9Y6G3, Q8N983, Q9H9J2, Q9BRJ2, Q9H2W6, Q9HD33, Q96GC5, Q13405, Q8N5N7, Q4U2R6, Q86TS9, Q96EL3, Q6P161, Q7Z7F7, Q14197, Q9BYD2, Q9NVS2, Q9NP92, Q9BQC6</t>
  </si>
  <si>
    <t>CPX-5381</t>
  </si>
  <si>
    <t>P00751-PRO_0000027547,P01024-PRO_0000005909,P01024-PRO_0000005908</t>
  </si>
  <si>
    <t>P00751, P01024, P01024</t>
  </si>
  <si>
    <t>CPX-5601</t>
  </si>
  <si>
    <t>complement factor b (ec 3.4.21.47) (c3/c5 convertase) (glycine-rich beta glycoprotein) (gbg) (pbf2) (properdin factor b) [cleaved into: complement factor b ba fragment; complement factor b bb fragment]</t>
  </si>
  <si>
    <t>P00751-PRO_0000027547,P01024-PRO_0000005908,P01024-PRO_0000005911</t>
  </si>
  <si>
    <t>properdin (complement factor p)</t>
  </si>
  <si>
    <t>CFP,P00751-PRO_0000027547,P01024-PRO_0000005908,P01024-PRO_0000005911</t>
  </si>
  <si>
    <t>P27918, P00751, P01024, P01024</t>
  </si>
  <si>
    <t>CPX-5605</t>
  </si>
  <si>
    <t>CPX-5606</t>
  </si>
  <si>
    <t>calcium load-activated calcium channel (clac channel) (gel complex subunit tmco1) (transmembrane and coiled-coil domain-containing protein 1) (transmembrane and coiled-coil domains protein 4) (xenogeneic cross-immune protein pcia3)</t>
  </si>
  <si>
    <t>TMCO1,RAB5IF</t>
  </si>
  <si>
    <t>Q9UM00, Q9BUV8</t>
  </si>
  <si>
    <t>CPX-5621</t>
  </si>
  <si>
    <t>dolichyl-diphosphooligosaccharide--protein glycosyltransferase 48 kda subunit (ddost 48 kda subunit) (oligosaccharyl transferase 48 kda subunit)</t>
  </si>
  <si>
    <t>STT3A,OST4,TMEM258,DAD1,RPN1,RPN2,DDOST,OSTC,KRTCAP2</t>
  </si>
  <si>
    <t>P46977, P0C6T2, P61165, P61803, P04843, P04844, P39656, Q9NRP0, Q8N6L1</t>
  </si>
  <si>
    <t>CPX-5622</t>
  </si>
  <si>
    <t>STT3B,OST4,DAD1,RPN1,RPN2,DDOST,MAGT1,TMEM258</t>
  </si>
  <si>
    <t>Q8TCJ2, P0C6T2, P61803, P04843, P04844, P39656, Q9H0U3, P61165</t>
  </si>
  <si>
    <t>CPX-5634</t>
  </si>
  <si>
    <t>EIF4E,EIF4G1,EIF4A2</t>
  </si>
  <si>
    <t>P06730, Q04637, Q14240</t>
  </si>
  <si>
    <t>CPX-5635</t>
  </si>
  <si>
    <t>EIF4E,EIF4G3,EIF4A1</t>
  </si>
  <si>
    <t>P06730, O43432, P60842</t>
  </si>
  <si>
    <t>CPX-5636</t>
  </si>
  <si>
    <t>EIF4E,EIF4G3,EIF4A2</t>
  </si>
  <si>
    <t>P06730, O43432, Q14240</t>
  </si>
  <si>
    <t>CPX-5641</t>
  </si>
  <si>
    <t>cysteine desulfurase (ec 2.8.1.7)</t>
  </si>
  <si>
    <t>LYRM4,ISCU,NFS1,FXN,NDUFAB1,FDX2</t>
  </si>
  <si>
    <t>Q9HD34, Q9H1K1, Q9Y697, Q16595, O14561, Q6P4F2</t>
  </si>
  <si>
    <t>CPX-5644</t>
  </si>
  <si>
    <t>kinetochore scaffold 1 (all1-fused gene from chromosome 15q14 protein) (af15q14) (bub-linking kinetochore protein) (blinkin) (cancer susceptibility candidate gene 5 protein) (cancer/testis antigen 29) (ct29) (kinetochore-null protein 1) (protein casc5) (protein d40/af15q14)</t>
  </si>
  <si>
    <t>ZWINT,KNL1</t>
  </si>
  <si>
    <t>O95229, Q8NG31</t>
  </si>
  <si>
    <t>CPX-5646</t>
  </si>
  <si>
    <t>centromere protein k (cenp-k) (interphase centromere complex protein 37) (protein af-5alpha) (p33)</t>
  </si>
  <si>
    <t>CENPH,CENPI,CENPK,CENPL,CENPM,CENPN,CENPO,CENPP,CENPQ,ITGB3BP,CENPS,CENPT,CENPU,CENPW,CENPX,CENPC</t>
  </si>
  <si>
    <t>Q9H3R5, Q92674, Q9BS16, Q8N0S6, Q9NSP4, Q96H22, Q9BU64, Q6IPU0, Q7L2Z9, Q13352, Q8N2Z9, Q96BT3, Q71F23, Q5EE01, A8MT69, Q03188</t>
  </si>
  <si>
    <t>CPX-5647</t>
  </si>
  <si>
    <t>CENPA,H4C16,H2AC4,H2BC11,CENPA,H4C16,H2AC4,H2BC11,CENPA,H4C16,H2AC4,H2BC11,CENPA,H4C16,H2AC4,H2BC11,CENPA,H4C16,H2AC4,H2BC11,CENPA,H4C16,H2AC4,H2BC11,CENPA,H4C16,H2AC4,H2BC11,CENPA,H4C16,H2AC4,H2BC11,CENPA,H4C16,H2AC4,H2BC11,CENPA,H4C16,H2AC4,H2BC11,CENPA,H4C16,H2AC4,H2BC11,CENPA,H4C16,H2AC4,H2BC11,CENPA,H4C16,H2AC4,H2BC11</t>
  </si>
  <si>
    <t>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t>
  </si>
  <si>
    <t>CPX-5661</t>
  </si>
  <si>
    <t>keratin, type i cytoskeletal 18 (cell proliferation-inducing gene 46 protein) (cytokeratin-18) (ck-18) (keratin-18) (k18)</t>
  </si>
  <si>
    <t>KRT18,KRT8</t>
  </si>
  <si>
    <t>P05783, P05787</t>
  </si>
  <si>
    <t>CPX-5662</t>
  </si>
  <si>
    <t>keratin, type i cytoskeletal 10 (cytokeratin-10) (ck-10) (keratin-10) (k10)</t>
  </si>
  <si>
    <t>KRT10,KRT1</t>
  </si>
  <si>
    <t>P13645, P04264</t>
  </si>
  <si>
    <t>CPX-5663</t>
  </si>
  <si>
    <t>keratin, type ii cuticular hb6 (hair keratin k2.11) (keratin-86) (k86) (type ii hair keratin hb6) (type-ii keratin kb26)</t>
  </si>
  <si>
    <t>KRT36,KRT86</t>
  </si>
  <si>
    <t>O76013, O43790</t>
  </si>
  <si>
    <t>CPX-5665</t>
  </si>
  <si>
    <t>keratin, type ii cytoskeletal 71 (cytokeratin-71) (ck-71) (keratin-71) (k71) (type ii inner root sheath-specific keratin-k6irs1) (keratin 6 irs) (hk6irs) (hk6irs1) (type-ii keratin kb34)</t>
  </si>
  <si>
    <t>KRT25,KRT71</t>
  </si>
  <si>
    <t>Q7Z3Z0, Q3SY84</t>
  </si>
  <si>
    <t>CPX-5668</t>
  </si>
  <si>
    <t>H4C16,H3C13,H2BC11,H2AC4,H4C16,H3C13,H2BC11,H2AC4,H4C16,H3C13,H2BC11,H2AC4,H4C16,H3C13,H2BC11,H2AC4,H4C16,H3C13,H2BC11,H2AC4,H4C16,H3C13,H2BC11,H2AC4,H4C16,H3C13,H2BC11,H2AC4,H4C16,H3C13,H2BC11,H2AC4,H4C16,H3C13,H2BC11,H2AC4,H4C16,H3C13,H2BC11,H2AC4,H4C16,H3C13,H2BC11,H2AC4,H4C16,H3C13,H2BC11,H2AC4,H4C16,H3C13,H2BC11,H2AC4</t>
  </si>
  <si>
    <t>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t>
  </si>
  <si>
    <t>CPX-5670</t>
  </si>
  <si>
    <t>H4C16,H3C1,H2BC11,H2AZ1,H4C16,H3C1,H2BC11,H2AZ1,H4C16,H3C1,H2BC11,H2AZ1,H4C16,H3C1,H2BC11,H2AZ1,H4C16,H3C1,H2BC11,H2AZ1,H4C16,H3C1,H2BC11,H2AZ1,H4C16,H3C1,H2BC11,H2AZ1,H4C16,H3C1,H2BC11,H2AZ1,H4C16,H3C1,H2BC11,H2AZ1,H4C16,H3C1,H2BC11,H2AZ1</t>
  </si>
  <si>
    <t>P62805, P68431, P06899, P0C0S5, P62805, P68431, P06899, P0C0S5, P62805, P68431, P06899, P0C0S5, P62805, P68431, P06899, P0C0S5, P62805, P68431, P06899, P0C0S5, P62805, P68431, P06899, P0C0S5, P62805, P68431, P06899, P0C0S5, P62805, P68431, P06899, P0C0S5, P62805, P68431, P06899, P0C0S5, P62805, P68431, P06899, P0C0S5</t>
  </si>
  <si>
    <t>CPX-5671</t>
  </si>
  <si>
    <t>H4C16,H3C1,H2BC11,H2AZ2,H4C16,H3C1,H2BC11,H2AZ2,H4C16,H3C1,H2BC11,H2AZ2,H4C16,H3C1,H2BC11,H2AZ2,H4C16,H3C1,H2BC11,H2AZ2,H4C16,H3C1,H2BC11,H2AZ2,H4C16,H3C1,H2BC11,H2AZ2,H4C16,H3C1,H2BC11,H2AZ2,H4C16,H3C1,H2BC11,H2AZ2,H4C16,H3C1,H2BC11,H2AZ2</t>
  </si>
  <si>
    <t>P62805, P68431, P06899, Q71UI9, P62805, P68431, P06899, Q71UI9, P62805, P68431, P06899, Q71UI9, P62805, P68431, P06899, Q71UI9, P62805, P68431, P06899, Q71UI9, P62805, P68431, P06899, Q71UI9, P62805, P68431, P06899, Q71UI9, P62805, P68431, P06899, Q71UI9, P62805, P68431, P06899, Q71UI9, P62805, P68431, P06899, Q71UI9</t>
  </si>
  <si>
    <t>complement c2 (ec 3.4.21.43) (c3/c5 convertase) [cleaved into: complement c2b fragment; complement c2a fragment]</t>
  </si>
  <si>
    <t>P06681-PRO_0000027612,P0C0L4-PRO_0000005970,P0C0L4-PRO_0000005966,P0C0L4-PRO_0000005972</t>
  </si>
  <si>
    <t>P06681, P0C0L4, P0C0L4, P0C0L4</t>
  </si>
  <si>
    <t>CPX-5684</t>
  </si>
  <si>
    <t>sodium-dependent neutral amino acid transporter b(0)at1 (solute carrier family 6 member 19) (system b(0) neutral amino acid transporter at1)</t>
  </si>
  <si>
    <t>,ACE2,P0DTC2-PRO_0000449647,P0DTC2-PRO_0000449648</t>
  </si>
  <si>
    <t>Q9BYF1, Q695T7, P0DTC2, P0DTC2</t>
  </si>
  <si>
    <t>CPX-5774</t>
  </si>
  <si>
    <t>cubilin (460 kda receptor) (intestinal intrinsic factor receptor) (intrinsic factor-cobalamin receptor) (intrinsic factor-vitamin b12 receptor)</t>
  </si>
  <si>
    <t>AMN,CUBN</t>
  </si>
  <si>
    <t>Q9BXJ7, O60494</t>
  </si>
  <si>
    <t>CPX-5830</t>
  </si>
  <si>
    <t>REL,Q00653-PRO_0000030322</t>
  </si>
  <si>
    <t>Q04864, Q00653</t>
  </si>
  <si>
    <t>CPX-5831</t>
  </si>
  <si>
    <t>RELB,Q00653-PRO_0000030322</t>
  </si>
  <si>
    <t>Q01201, Q00653</t>
  </si>
  <si>
    <t>CPX-5836</t>
  </si>
  <si>
    <t>proto-oncogene c-rel</t>
  </si>
  <si>
    <t>REL</t>
  </si>
  <si>
    <t>Q04864</t>
  </si>
  <si>
    <t>CPX-5839</t>
  </si>
  <si>
    <t>Q00653-PRO_0000030322</t>
  </si>
  <si>
    <t>Q00653</t>
  </si>
  <si>
    <t>CPX-5848</t>
  </si>
  <si>
    <t>er membrane protein complex subunit 1</t>
  </si>
  <si>
    <t>EMC2,EMC6,EMC1,EMC10,MMGT1,EMC4,EMC8,EMC7,EMC3</t>
  </si>
  <si>
    <t>Q15006, Q9BV81, Q8N766, Q5UCC4, Q8N4V1, Q5J8M3, O43402, Q9NPA0, Q9P0I2</t>
  </si>
  <si>
    <t>CPX-5881</t>
  </si>
  <si>
    <t>EMC2,EMC6,EMC1,EMC10,MMGT1,EMC4,EMC9,EMC7,EMC3</t>
  </si>
  <si>
    <t>Q15006, Q9BV81, Q8N766, Q5UCC4, Q8N4V1, Q5J8M3, Q9Y3B6, Q9NPA0, Q9P0I2</t>
  </si>
  <si>
    <t>CPX-5961</t>
  </si>
  <si>
    <t>calcium uptake protein 1, mitochondrial (atopy-related autoantigen calc) (ara calc) (calcium-binding atopy-related autoantigen 1) (allergen hom s 4)</t>
  </si>
  <si>
    <t>SMDT1,MCU,MICU2,MICU1</t>
  </si>
  <si>
    <t>Q9H4I9, Q8NE86, Q8IYU8, Q9BPX6</t>
  </si>
  <si>
    <t>CPX-5963</t>
  </si>
  <si>
    <t>MICU1,SMDT1,MCU</t>
  </si>
  <si>
    <t>Q9BPX6, Q9H4I9, Q8NE86</t>
  </si>
  <si>
    <t>CPX-5965</t>
  </si>
  <si>
    <t>SMDT1,MCU,MICU3,MICU1</t>
  </si>
  <si>
    <t>Q9H4I9, Q8NE86, Q86XE3, Q9BPX6</t>
  </si>
  <si>
    <t>CPX-5966</t>
  </si>
  <si>
    <t>SMDT1,MCUB,MCU,MICU2,MICU1</t>
  </si>
  <si>
    <t>Q9H4I9, Q9NWR8, Q8NE86, Q8IYU8, Q9BPX6</t>
  </si>
  <si>
    <t>CPX-5992</t>
  </si>
  <si>
    <t>e3 sumo-protein ligase nse2 (ec 2.3.2.-) (e3 sumo-protein transferase nse2) (mms21 homolog) (hmms21) (non-structural maintenance of chromosomes element 2 homolog) (non-smc element 2 homolog)</t>
  </si>
  <si>
    <t>SMC5,NSMCE2,SMC6,SLF1,SLF2,EID3,NSMCE3,NSMCE1</t>
  </si>
  <si>
    <t>Q8IY18, Q96MF7, Q96SB8, Q9BQI6, Q8IX21, Q8N140, Q96MG7, Q8WV22</t>
  </si>
  <si>
    <t>CPX-6011</t>
  </si>
  <si>
    <t>interleukin-10 receptor subunit beta (il-10 receptor subunit beta) (il-10r subunit beta) (il-10rb) (cytokine receptor class-ii member 4) (cytokine receptor family 2 member 4) (crf2-4) (interleukin-10 receptor subunit 2) (il-10r subunit 2) (il-10r2) (cd antigen cdw210b)</t>
  </si>
  <si>
    <t>IFNLR1,IL10RB,IFNL1,TYK2,JAK1</t>
  </si>
  <si>
    <t>Q8IU57, Q08334, Q8IU54, P29597, P23458</t>
  </si>
  <si>
    <t>IFNLR1,IL10RB,IFNL2,TYK2,JAK1</t>
  </si>
  <si>
    <t>Q8IU57, Q08334, Q8IZJ0, P29597, P23458</t>
  </si>
  <si>
    <t>IFNLR1,IL10RB,IFNL3,TYK2,JAK1</t>
  </si>
  <si>
    <t>Q8IU57, Q08334, Q8IZI9, P29597, P23458</t>
  </si>
  <si>
    <t>CPX-6014</t>
  </si>
  <si>
    <t>IFNLR1,IL10RB,IFNL4,TYK2,JAK1</t>
  </si>
  <si>
    <t>Q8IU57, Q08334, K9M1U5, P29597, P23458</t>
  </si>
  <si>
    <t>CPX-6015</t>
  </si>
  <si>
    <t>interferon gamma receptor 1 (ifn-gamma receptor 1) (ifn-gamma-r1) (cdw119) (interferon gamma receptor alpha-chain) (ifn-gamma-r-alpha) (cd antigen cd119)</t>
  </si>
  <si>
    <t>IFNGR1,IFNGR2,IFNG,,JAK2</t>
  </si>
  <si>
    <t>P15260, P38484, P01579, O60674, P23458</t>
  </si>
  <si>
    <t>CPX-6018</t>
  </si>
  <si>
    <t>TRAF3,TBK1,STING1</t>
  </si>
  <si>
    <t>Q13114, Q9UHD2, Q86WV6</t>
  </si>
  <si>
    <t>CPX-6024</t>
  </si>
  <si>
    <t>interferon gamma (ifn-gamma) (immune interferon)</t>
  </si>
  <si>
    <t>IFNG</t>
  </si>
  <si>
    <t>P01579</t>
  </si>
  <si>
    <t>CPX-6030</t>
  </si>
  <si>
    <t>t-complex protein 1 subunit epsilon (tcp-1-epsilon) (cct-epsilon) (chaperonin containing t-complex polypeptide 1 subunit 5)</t>
  </si>
  <si>
    <t>CCT8,CCT2,CCT5,CCT3,CCT4,CCT7,CCT6A,TCP1</t>
  </si>
  <si>
    <t>P50990, P78371, P48643, P49368, P50991, Q99832, P40227, P17987</t>
  </si>
  <si>
    <t>CPX-6031</t>
  </si>
  <si>
    <t>gem-associated protein 4 (gemin-4) (component of gems 4) (p97)</t>
  </si>
  <si>
    <t>DDX20,GEMIN2,GEMIN4,GEMIN5,GEMIN6,GEMIN7,GEMIN8,SMN1,STRAP</t>
  </si>
  <si>
    <t>Q9UHI6, O14893, P57678, Q8TEQ6, Q8WXD5, Q9H840, Q9NWZ8, Q16637, Q9Y3F4</t>
  </si>
  <si>
    <t>CPX-6033</t>
  </si>
  <si>
    <t>SNRPE,SNRPF,SNRPD1,SNRPB,SNRPG,SNRPD3,SNRPD2</t>
  </si>
  <si>
    <t>P62304, P62306, P62314, P14678, P62308, P62318, P62316</t>
  </si>
  <si>
    <t>CPX-6036</t>
  </si>
  <si>
    <t>eukaryotic translation initiation factor 3 subunit d (eif3d) (eukaryotic translation initiation factor 3 subunit 7) (eif-3-zeta) (eif3 p66)</t>
  </si>
  <si>
    <t>EIF3A,EIF3B,EIF3C,EIF3D,EIF3E,EIF3F,EIF3G,EIF3H,EIF3I,EIF3J,EIF3K,EIF3L,EIF3M</t>
  </si>
  <si>
    <t>Q14152, P55884, Q99613, O15371, P60228, O00303, O75821, O15372, Q13347, O75822, Q9UBQ5, Q9Y262, Q7L2H7</t>
  </si>
  <si>
    <t>CPX-6037</t>
  </si>
  <si>
    <t>tnf receptor-associated factor 3 (ec 2.3.2.27) (cd40 receptor-associated factor 1) (craf1) (cd40-binding protein) (cd40bp) (lmp1-associated protein 1) (lap1) (ring-type e3 ubiquitin transferase traf3)</t>
  </si>
  <si>
    <t>TRAF3,MAVS</t>
  </si>
  <si>
    <t>Q13114, Q7Z434</t>
  </si>
  <si>
    <t>CPX-6047</t>
  </si>
  <si>
    <t>signal transducer and activator of transcription 2 (p113)</t>
  </si>
  <si>
    <t>STAT6,STAT2</t>
  </si>
  <si>
    <t>P42226, P52630</t>
  </si>
  <si>
    <t>signal transducer and activator of transcription 4</t>
  </si>
  <si>
    <t>STAT4</t>
  </si>
  <si>
    <t>Q14765</t>
  </si>
  <si>
    <t>CPX-6082</t>
  </si>
  <si>
    <t>cohesin subunit sa-3 (scc3 homolog 3) (stromal antigen 3) (stromalin-3)</t>
  </si>
  <si>
    <t>STAG3,SMC3,SMC1B,RAD21</t>
  </si>
  <si>
    <t>Q9UJ98, Q9UQE7, Q8NDV3, O60216</t>
  </si>
  <si>
    <t>CPX-6086</t>
  </si>
  <si>
    <t>SMC5,NSMCE2,SMC6,SLF1,SLF2,NSMCE4A,NSMCE3,NSMCE1</t>
  </si>
  <si>
    <t>Q8IY18, Q96MF7, Q96SB8, Q9BQI6, Q8IX21, Q9NXX6, Q96MG7, Q8WV22</t>
  </si>
  <si>
    <t>CPX-6091</t>
  </si>
  <si>
    <t>glycosylphosphatidylinositol-anchored high density lipoprotein-binding protein 1 (gpi-hbp1) (gpi-anchored hdl-binding protein 1) (high density lipoprotein-binding protein 1)</t>
  </si>
  <si>
    <t>GPIHBP1,LPL</t>
  </si>
  <si>
    <t>Q8IV16, P06858</t>
  </si>
  <si>
    <t>CPX-6096</t>
  </si>
  <si>
    <t>thyrotropin subunit beta (thyroid-stimulating hormone subunit beta) (tsh-b) (tsh-beta) (thyrotropin beta chain) (thyrotropin alfa)</t>
  </si>
  <si>
    <t>CGA,P01222-PRO_0000011746</t>
  </si>
  <si>
    <t>P01215, P01222</t>
  </si>
  <si>
    <t>CPX-6097</t>
  </si>
  <si>
    <t>lutropin subunit beta (lutropin beta chain) (luteinizing hormone subunit beta) (lh-b) (lsh-b) (lsh-beta)</t>
  </si>
  <si>
    <t>CGA,LHB</t>
  </si>
  <si>
    <t>P01215, P01229</t>
  </si>
  <si>
    <t>CPX-6124</t>
  </si>
  <si>
    <t>mitochondrial import inner membrane translocase subunit tim22 (testis-expressed protein 4)</t>
  </si>
  <si>
    <t>AGK,TIMM29,TIMM22,TRMT10B,TIMM9,TIMM10</t>
  </si>
  <si>
    <t>Q53H12, Q9BSF4, Q9Y584, Q6PF06, Q9Y5J7, P62072</t>
  </si>
  <si>
    <t>CPX-6129</t>
  </si>
  <si>
    <t>dnaj homolog subfamily c member 15 (cell growth-inhibiting gene 22 protein) (methylation-controlled j protein) (mcj)</t>
  </si>
  <si>
    <t>GRPEL2,PAM16,TIMM21,TIMM23,TIMM50,TIMM17A,DNAJC19,HSPA9,DNAJC15,GRPEL1,TIMM44,ROMO1</t>
  </si>
  <si>
    <t>Q8TAA5, Q9Y3D7, Q9BVV7, O14925, Q3ZCQ8, Q99595, Q96DA6, P38646, Q9Y5T4, Q9HAV7, O43615, P60602</t>
  </si>
  <si>
    <t>CPX-6130</t>
  </si>
  <si>
    <t>GRPEL2,PAM16,TIMM21,TIMM23,TIMM50,TIMM17B,DNAJC19,HSPA9,DNAJC15,GRPEL1,TIMM44,ROMO1</t>
  </si>
  <si>
    <t>Q8TAA5, Q9Y3D7, Q9BVV7, O14925, Q3ZCQ8, O60830, Q96DA6, P38646, Q9Y5T4, Q9HAV7, O43615, P60602</t>
  </si>
  <si>
    <t>CPX-6131</t>
  </si>
  <si>
    <t>mitochondrial import inner membrane translocase subunit tim8 a (deafness dystonia protein 1) (x-linked deafness dystonia protein)</t>
  </si>
  <si>
    <t>TIMM8A,TIMM13</t>
  </si>
  <si>
    <t>O60220, Q9Y5L4</t>
  </si>
  <si>
    <t>CPX-6133</t>
  </si>
  <si>
    <t>metaxin-2 (mitochondrial outer membrane import complex protein 2)</t>
  </si>
  <si>
    <t>MTX1,SAMM50,MTX2</t>
  </si>
  <si>
    <t>Q13505, Q9Y512, O75431</t>
  </si>
  <si>
    <t>CPX-6134</t>
  </si>
  <si>
    <t>CYBA,NCF1,NCF4,NCF2,CYBB,RAC2</t>
  </si>
  <si>
    <t>P13498, P14598, Q15080, P19878, P04839, P15153</t>
  </si>
  <si>
    <t>CPX-6135</t>
  </si>
  <si>
    <t>CYBA,NCF1,NCF4,NCF2,CYBB,RAC3</t>
  </si>
  <si>
    <t>P13498, P14598, Q15080, P19878, P04839, P60763</t>
  </si>
  <si>
    <t>CPX-6141</t>
  </si>
  <si>
    <t>micos complex subunit mic13 (protein p117)</t>
  </si>
  <si>
    <t>CHCHD3,IMMT,CHCHD6,APOO,APOOL,MICOS13,MICOS10</t>
  </si>
  <si>
    <t>Q9NX63, Q16891, Q9BRQ6, Q9BUR5, Q6UXV4, Q5XKP0, Q5TGZ0</t>
  </si>
  <si>
    <t>CPX-6142</t>
  </si>
  <si>
    <t>hamartin (tuberous sclerosis 1 protein)</t>
  </si>
  <si>
    <t>TBC1D7,TSC1,TSC2</t>
  </si>
  <si>
    <t>Q9P0N9, Q92574, P49815</t>
  </si>
  <si>
    <t>CPX-6148</t>
  </si>
  <si>
    <t>telo2-interacting protein 2</t>
  </si>
  <si>
    <t>TTI2,TTI1,TELO2</t>
  </si>
  <si>
    <t>Q6NXR4, O43156, Q9Y4R8</t>
  </si>
  <si>
    <t>CPX-6150</t>
  </si>
  <si>
    <t>sperm-associated antigen 1 (hsd-3.8) (infertility-related sperm protein spag-1)</t>
  </si>
  <si>
    <t>RUVBL1,RUVBL2,SPAG1,PIH1D2</t>
  </si>
  <si>
    <t>Q9Y265, Q9Y230, Q07617, Q8WWB5</t>
  </si>
  <si>
    <t>CPX-6151</t>
  </si>
  <si>
    <t>atp synthase f(0) complex subunit c3, mitochondrial (atp synthase lipid-binding protein) (atp synthase membrane subunit c locus 3) (atp synthase proteolipid p3) (atp synthase proton-transporting mitochondrial f(0) complex subunit c3) (atpase protein 9) (atpase subunit c)</t>
  </si>
  <si>
    <t>ATP5F1C,ATP5F1A,ATP5MK,ATP5F1D,ATP5F1B,ATP5PD,ATP5F1E,ATP5ME,MT-ATP8,MT-ATP6,ATP5MG,ATP5MC1,ATP5MC2,ATP5MC3,ATP5PO,ATP5PB,ATP5PF,ATP5MF,ATP5MJ,ATP5MGL,ATP5F1EP2</t>
  </si>
  <si>
    <t>P36542, P25705, Q96IX5, P30049, P06576, O75947, P56381, P56385, P03928, P00846, O75964, P05496, Q06055, P48201, P48047, P24539, P18859, P56134, P56378, Q7Z4Y8, Q5VTU8</t>
  </si>
  <si>
    <t>CPX-6152</t>
  </si>
  <si>
    <t>protein kintoun (dynein assembly factor 2, axonemal)</t>
  </si>
  <si>
    <t>RUVBL1,RUVBL2,SPAG1,DNAAF2</t>
  </si>
  <si>
    <t>Q9Y265, Q9Y230, Q07617, Q9NVR5</t>
  </si>
  <si>
    <t>CPX-6156</t>
  </si>
  <si>
    <t>P06681-PRO_0000027612,P0C0L5-PRO_0000042703,P0C0L5-PRO_0000042699,P0C0L5-PRO_0000042706</t>
  </si>
  <si>
    <t>P06681, P0C0L5, P0C0L5, P0C0L5</t>
  </si>
  <si>
    <t>CPX-6163</t>
  </si>
  <si>
    <t>complement factor h (h factor 1)</t>
  </si>
  <si>
    <t>CFH</t>
  </si>
  <si>
    <t>P08603</t>
  </si>
  <si>
    <t>CPX-6164</t>
  </si>
  <si>
    <t>CFH,P05156-PRO_0000027569,P05156-PRO_0000027570,,P01024-PRO_0000005908</t>
  </si>
  <si>
    <t>P08603, P05156, P05156, P01024, P01024</t>
  </si>
  <si>
    <t>complement factor i (ec 3.4.21.45) (c3b/c4b inactivator) [cleaved into: complement factor i heavy chain; complement factor i light chain]</t>
  </si>
  <si>
    <t>P05156-PRO_0000027569,P05156-PRO_0000027570</t>
  </si>
  <si>
    <t>P05156, P05156</t>
  </si>
  <si>
    <t>CPX-6168</t>
  </si>
  <si>
    <t>protein scribble homolog (scribble) (hscrib) (protein lap4)</t>
  </si>
  <si>
    <t>DLG1,SCRIB,LLGL2</t>
  </si>
  <si>
    <t>Q12959, Q14160, Q6P1M3</t>
  </si>
  <si>
    <t>CPX-6169</t>
  </si>
  <si>
    <t>propionyl-coa carboxylase alpha chain, mitochondrial (pccase subunit alpha) (ec 6.4.1.3) (propanoyl-coa:carbon dioxide ligase subunit alpha)</t>
  </si>
  <si>
    <t>PCCA,PCCB</t>
  </si>
  <si>
    <t>P05165, P05166</t>
  </si>
  <si>
    <t>CPX-6170</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</si>
  <si>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</si>
  <si>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MBL2,P48740-PRO_0000027593,P48740-PRO_0000027594</t>
  </si>
  <si>
    <t>P11226, P48740, P48740</t>
  </si>
  <si>
    <t>CPX-6172</t>
  </si>
  <si>
    <t>FCN1,P48740-PRO_0000027593,P48740-PRO_0000027594</t>
  </si>
  <si>
    <t>O00602, P48740, P48740</t>
  </si>
  <si>
    <t>CPX-6174</t>
  </si>
  <si>
    <t>glutamyl-trna(gln) amidotransferase subunit a, mitochondrial (glu-adt subunit a) (ec 6.3.5.7) (glutaminyl-trna synthase-like protein 1)</t>
  </si>
  <si>
    <t>QRSL1,GATB,GATC</t>
  </si>
  <si>
    <t>Q9H0R6, O75879, O43716</t>
  </si>
  <si>
    <t>succinate--coa ligase [adp/gdp-forming] subunit alpha, mitochondrial (ec 6.2.1.4) (ec 6.2.1.5) (succinyl-coa synthetase subunit alpha) (scs-alpha)</t>
  </si>
  <si>
    <t>SUCLG1,SUCLG2</t>
  </si>
  <si>
    <t>P53597, Q96I99</t>
  </si>
  <si>
    <t>CPX-6177</t>
  </si>
  <si>
    <t>atp-dependent clp protease atp-binding subunit clpx-like, mitochondrial</t>
  </si>
  <si>
    <t>CLPX,CLPP</t>
  </si>
  <si>
    <t>O76031, Q16740</t>
  </si>
  <si>
    <t>CPX-6178</t>
  </si>
  <si>
    <t>FCN2,P48740-PRO_0000027593,P48740-PRO_0000027594</t>
  </si>
  <si>
    <t>Q15485, P48740, P48740</t>
  </si>
  <si>
    <t>ficolin-3 (collagen/fibrinogen domain-containing lectin 3 p35) (collagen/fibrinogen domain-containing protein 3) (hakata antigen)</t>
  </si>
  <si>
    <t>FCN3,P48740-PRO_0000027593,P48740-PRO_0000027594</t>
  </si>
  <si>
    <t>O75636, P48740, P48740</t>
  </si>
  <si>
    <t>CPX-6180</t>
  </si>
  <si>
    <t>protein crumbs homolog 2 (crumbs-like protein 2)</t>
  </si>
  <si>
    <t>CRB2,PATJ,PALS1</t>
  </si>
  <si>
    <t>Q5IJ48, Q8NI35, Q8N3R9</t>
  </si>
  <si>
    <t>CPX-6181</t>
  </si>
  <si>
    <t>collectin-10 (collectin liver protein 1) (cl-l1) (collectin-34) (cl-34)</t>
  </si>
  <si>
    <t>COLEC10,COLEC11,P48740-PRO_0000027593,P48740-PRO_0000027594</t>
  </si>
  <si>
    <t>Q9Y6Z7, Q9BWP8, P48740, P48740</t>
  </si>
  <si>
    <t>CPX-6183</t>
  </si>
  <si>
    <t>partitioning defective 3 homolog (par-3) (pard-3) (atypical pkc isotype-specific-interacting protein) (asip) (ctcl tumor antigen se2-5) (par3-alpha)</t>
  </si>
  <si>
    <t>PARD3,PARD6A,PRKCI</t>
  </si>
  <si>
    <t>Q8TEW0, Q9NPB6, P41743</t>
  </si>
  <si>
    <t>CPX-6184</t>
  </si>
  <si>
    <t>DLG2,SCRIB,LLGL2</t>
  </si>
  <si>
    <t>Q15700, Q14160, Q6P1M3</t>
  </si>
  <si>
    <t>CPX-6185</t>
  </si>
  <si>
    <t>disks large homolog 3 (neuroendocrine-dlg) (synapse-associated protein 102) (sap-102) (sap102) (xlmr)</t>
  </si>
  <si>
    <t>DLG3,SCRIB,LLGL2</t>
  </si>
  <si>
    <t>Q92796, Q14160, Q6P1M3</t>
  </si>
  <si>
    <t>CPX-6186</t>
  </si>
  <si>
    <t>disks large homolog 4 (postsynaptic density protein 95) (psd-95) (synapse-associated protein 90) (sap-90) (sap90)</t>
  </si>
  <si>
    <t>DLG4,SCRIB,LLGL2</t>
  </si>
  <si>
    <t>P78352, Q14160, Q6P1M3</t>
  </si>
  <si>
    <t>CPX-6187</t>
  </si>
  <si>
    <t>DLG5,SCRIB,LLGL2</t>
  </si>
  <si>
    <t>Q8TDM6, Q14160, Q6P1M3</t>
  </si>
  <si>
    <t>CPX-6188</t>
  </si>
  <si>
    <t>DLG5,SCRIB,LLGL1</t>
  </si>
  <si>
    <t>Q8TDM6, Q14160, Q15334</t>
  </si>
  <si>
    <t>CPX-6189</t>
  </si>
  <si>
    <t>DLG4,SCRIB,LLGL1</t>
  </si>
  <si>
    <t>P78352, Q14160, Q15334</t>
  </si>
  <si>
    <t>CPX-6190</t>
  </si>
  <si>
    <t>DLG3,SCRIB,LLGL1</t>
  </si>
  <si>
    <t>Q92796, Q14160, Q15334</t>
  </si>
  <si>
    <t>CPX-6191</t>
  </si>
  <si>
    <t>DLG2,SCRIB,LLGL1</t>
  </si>
  <si>
    <t>Q15700, Q14160, Q15334</t>
  </si>
  <si>
    <t>CPX-6192</t>
  </si>
  <si>
    <t>DLG1,SCRIB,LLGL1</t>
  </si>
  <si>
    <t>Q12959, Q14160, Q15334</t>
  </si>
  <si>
    <t>CPX-6193</t>
  </si>
  <si>
    <t>PARD3,PARD6B,PRKCI</t>
  </si>
  <si>
    <t>Q8TEW0, Q9BYG5, P41743</t>
  </si>
  <si>
    <t>CPX-6194</t>
  </si>
  <si>
    <t>PARD3,PARD6G,PRKCI</t>
  </si>
  <si>
    <t>Q8TEW0, Q9BYG4, P41743</t>
  </si>
  <si>
    <t>CPX-6195</t>
  </si>
  <si>
    <t>PARD3,PARD6G,PRKCZ</t>
  </si>
  <si>
    <t>Q8TEW0, Q9BYG4, Q05513</t>
  </si>
  <si>
    <t>CPX-6196</t>
  </si>
  <si>
    <t>PARD3,PARD6B,PRKCZ</t>
  </si>
  <si>
    <t>Q8TEW0, Q9BYG5, Q05513</t>
  </si>
  <si>
    <t>CPX-6197</t>
  </si>
  <si>
    <t>PARD3,PARD6A,PRKCZ</t>
  </si>
  <si>
    <t>Q8TEW0, Q9NPB6, Q05513</t>
  </si>
  <si>
    <t>CPX-6199</t>
  </si>
  <si>
    <t>conserved oligomeric golgi complex subunit 1 (cog complex subunit 1) (component of oligomeric golgi complex 1)</t>
  </si>
  <si>
    <t>COG4,COG2,COG7,COG3,COG5,COG6,COG1,COG8</t>
  </si>
  <si>
    <t>Q9H9E3, Q14746, P83436, Q96JB2, Q9UP83, Q9Y2V7, Q8WTW3, Q96MW5</t>
  </si>
  <si>
    <t>CPX-6201</t>
  </si>
  <si>
    <t>nbas subunit of nrz tethering complex (neuroblastoma-amplified gene protein) (neuroblastoma-amplified sequence)</t>
  </si>
  <si>
    <t>ZW10,NBAS,RINT1</t>
  </si>
  <si>
    <t>O43264, A2RRP1, Q6NUQ1</t>
  </si>
  <si>
    <t>CPX-6203</t>
  </si>
  <si>
    <t>mannan-binding lectin serine protease 2 (ec 3.4.21.104) (mbl-associated serine protease 2) (mannose-binding protein-associated serine protease 2) (masp-2) [cleaved into: mannan-binding lectin serine protease 2 a chain; mannan-binding lectin serine protease 2 b chain]</t>
  </si>
  <si>
    <t>MBL2,O00187-PRO_0000027599,O00187-PRO_0000027600</t>
  </si>
  <si>
    <t>P11226, O00187, O00187</t>
  </si>
  <si>
    <t>CPX-6207</t>
  </si>
  <si>
    <t>syndetin (coiled-coil domain-containing protein 132) (earp/garpii complex subunit vps50)</t>
  </si>
  <si>
    <t>VPS52,VPS53,VPS50,VPS51</t>
  </si>
  <si>
    <t>Q8N1B4, Q5VIR6, Q96JG6, Q9UID3</t>
  </si>
  <si>
    <t>CPX-6208</t>
  </si>
  <si>
    <t>vacuolar protein sorting-associated protein 51 homolog (another new gene 2 protein) (protein fat-free homolog)</t>
  </si>
  <si>
    <t>VPS52,VPS53,VPS54,VPS51</t>
  </si>
  <si>
    <t>Q8N1B4, Q5VIR6, Q9P1Q0, Q9UID3</t>
  </si>
  <si>
    <t>CPX-6212</t>
  </si>
  <si>
    <t>vacuolar protein sorting-associated protein 16 homolog (hvps16)</t>
  </si>
  <si>
    <t>VPS16,VPS39,VPS11,VPS41,VPS18,VPS33A</t>
  </si>
  <si>
    <t>Q9H269, Q96JC1, Q9H270, P49754, Q9P253, Q96AX1</t>
  </si>
  <si>
    <t>CPX-6213</t>
  </si>
  <si>
    <t>VPS16,TGFBRAP1,VPS11,VPS8,VPS18,VPS33A</t>
  </si>
  <si>
    <t>Q9H269, Q8WUH2, Q9H270, Q8N3P4, Q9P253, Q96AX1</t>
  </si>
  <si>
    <t>coagulation factor x (ec 3.4.21.6) (stuart factor) (stuart-prower factor) [cleaved into: factor x light chain; factor x heavy chain; activated factor xa heavy chain]</t>
  </si>
  <si>
    <t>P00742-PRO_0000027789,P00742-PRO_0000027788</t>
  </si>
  <si>
    <t>P00742, P00742</t>
  </si>
  <si>
    <t>thrombomodulin (tm) (fetomodulin) (cd antigen cd141)</t>
  </si>
  <si>
    <t>THBD,P00734-PRO_0000028164,P00734-PRO_0000028163</t>
  </si>
  <si>
    <t>P07204, P00734, P00734</t>
  </si>
  <si>
    <t>vitamin k-dependent protein c (ec 3.4.21.69) (anticoagulant protein c) (autoprothrombin iia) (blood coagulation factor xiv) [cleaved into: vitamin k-dependent protein c light chain; vitamin k-dependent protein c heavy chain; activation peptide]</t>
  </si>
  <si>
    <t>P04070-PRO_0000028110,P04070-PRO_0000028109</t>
  </si>
  <si>
    <t>P04070, P04070</t>
  </si>
  <si>
    <t>CPX-6225</t>
  </si>
  <si>
    <t>P02679-PRO_0000009099,P02675-PRO_0000009071,P02671-PRO_0000009022</t>
  </si>
  <si>
    <t>P02679, P02675, P02671</t>
  </si>
  <si>
    <t>CPX-6226</t>
  </si>
  <si>
    <t>gator1 complex protein depdc5 (dep domain-containing protein 5)</t>
  </si>
  <si>
    <t>NPRL2,NPRL3,DEPDC5</t>
  </si>
  <si>
    <t>Q8WTW4, Q12980, O75140</t>
  </si>
  <si>
    <t>CPX-6229</t>
  </si>
  <si>
    <t>kicstor complex protein kaptin (actin-associated protein 2e4)</t>
  </si>
  <si>
    <t>SZT2,KPTN,ITFG2,KICS2</t>
  </si>
  <si>
    <t>Q5T011, Q9Y664, Q969R8, Q96MD2</t>
  </si>
  <si>
    <t>CPX-6231</t>
  </si>
  <si>
    <t>coagulation factor xiii a chain (coagulation factor xiiia) (ec 2.3.2.13) (protein-glutamine gamma-glutamyltransferase a chain) (transglutaminase a chain)</t>
  </si>
  <si>
    <t>F13A1,F13B</t>
  </si>
  <si>
    <t>P00488, P05160</t>
  </si>
  <si>
    <t>CPX-6232</t>
  </si>
  <si>
    <t>fibronectin (fn) (cold-insoluble globulin) (cig) [cleaved into: anastellin; ugl-y1; ugl-y2; ugl-y3]</t>
  </si>
  <si>
    <t>FN1</t>
  </si>
  <si>
    <t>P02751</t>
  </si>
  <si>
    <t>dihydrolipoyl dehydrogenase, mitochondrial (ec 1.8.1.4) (dihydrolipoamide dehydrogenase) (glycine cleavage system l protein)</t>
  </si>
  <si>
    <t>PDHX,PDHA1,DLAT,PDHB,DLD</t>
  </si>
  <si>
    <t>O00330, P08559, P10515, P11177, P09622</t>
  </si>
  <si>
    <t>plasma kallikrein (ec 3.4.21.34) (fletcher factor) (kininogenin) (plasma prekallikrein) (pkk) [cleaved into: plasma kallikrein heavy chain; plasma kallikrein light chain]</t>
  </si>
  <si>
    <t>P03952-PRO_0000028022,P03952-PRO_0000028021</t>
  </si>
  <si>
    <t>P03952, P03952</t>
  </si>
  <si>
    <t>CPX-6235</t>
  </si>
  <si>
    <t>P00451-PRO_0000002968,P00451-PRO_0000002971</t>
  </si>
  <si>
    <t>CPX-6236</t>
  </si>
  <si>
    <t>methylcrotonoyl-coa carboxylase beta chain, mitochondrial (mccase subunit beta) (ec 6.4.1.4) (3-methylcrotonyl-coa carboxylase 2) (3-methylcrotonyl-coa carboxylase non-biotin-containing subunit) (3-methylcrotonyl-coa:carbon dioxide ligase subunit beta)</t>
  </si>
  <si>
    <t>MCCC1,MCCC2</t>
  </si>
  <si>
    <t>Q96RQ3, Q9HCC0</t>
  </si>
  <si>
    <t>CPX-6237</t>
  </si>
  <si>
    <t>FCN1,O00187-PRO_0000027599,O00187-PRO_0000027600</t>
  </si>
  <si>
    <t>O00602, O00187, O00187</t>
  </si>
  <si>
    <t>CPX-6238</t>
  </si>
  <si>
    <t>FCN2,O00187-PRO_0000027599,O00187-PRO_0000027600</t>
  </si>
  <si>
    <t>Q15485, O00187, O00187</t>
  </si>
  <si>
    <t>FCN3,O00187-PRO_0000027599,O00187-PRO_0000027600</t>
  </si>
  <si>
    <t>O75636, O00187, O00187</t>
  </si>
  <si>
    <t>COLEC10,COLEC11,O00187-PRO_0000027599,O00187-PRO_0000027600</t>
  </si>
  <si>
    <t>Q9Y6Z7, Q9BWP8, O00187, O00187</t>
  </si>
  <si>
    <t>CPX-6241</t>
  </si>
  <si>
    <t>spermatogenesis-defective protein 39 homolog (hspe-39) (vps33b-interacting protein in apical-basolateral polarity regulator) (vps33b-interacting protein in polarity and apical restriction)</t>
  </si>
  <si>
    <t>VPS33B,VIPAS39</t>
  </si>
  <si>
    <t>Q9H267, Q9H9C1</t>
  </si>
  <si>
    <t>CPX-6242</t>
  </si>
  <si>
    <t>PDHX,PDHA2,DLAT,PDHB,DLD</t>
  </si>
  <si>
    <t>O00330, P29803, P10515, P11177, P09622</t>
  </si>
  <si>
    <t>CPX-6243</t>
  </si>
  <si>
    <t>mitochondrial-processing peptidase subunit alpha (alpha-mpp) (inactive zinc metalloprotease alpha) (p-55)</t>
  </si>
  <si>
    <t>PMPCB,PMPCA</t>
  </si>
  <si>
    <t>O75439, Q10713</t>
  </si>
  <si>
    <t>CPX-6244</t>
  </si>
  <si>
    <t>mitochondrial inner membrane protease subunit 2 (ec 3.4.21.-) (imp2-like protein)</t>
  </si>
  <si>
    <t>IMMP1L,IMMP2L</t>
  </si>
  <si>
    <t>Q96LU5, Q96T52</t>
  </si>
  <si>
    <t>CPX-6245</t>
  </si>
  <si>
    <t>trifunctional enzyme subunit alpha, mitochondrial (78 kda gastrin-binding protein) (monolysocardiolipin acyltransferase) (ec 2.3.1.-) (tp-alpha) [includes: long-chain enoyl-coa hydratase (ec 4.2.1.17); long chain 3-hydroxyacyl-coa dehydrogenase (ec 1.1.1.211)]</t>
  </si>
  <si>
    <t>HADHA,HADHB</t>
  </si>
  <si>
    <t>P40939, P55084</t>
  </si>
  <si>
    <t>CPX-6261</t>
  </si>
  <si>
    <t>[pyruvate dehydrogenase [acetyl-transferring]]-phosphatase 1, mitochondrial (pdp 1) (ec 3.1.3.43) (protein phosphatase 2c) (pyruvate dehydrogenase phosphatase catalytic subunit 1) (pdpc 1)</t>
  </si>
  <si>
    <t>PDP1,PDPR</t>
  </si>
  <si>
    <t>Q9P0J1, Q8NCN5</t>
  </si>
  <si>
    <t>CPX-6263</t>
  </si>
  <si>
    <t>e3 ubiquitin-protein ligase fancl (ec 2.3.2.27) (fanconi anemia group l protein) (fanconi anemia-associated polypeptide of 43 kda) (faap43) (ring-type e3 ubiquitin transferase fancl)</t>
  </si>
  <si>
    <t>FANCL,FAAP20,FANCA,FANCC,FANCE,FANCG,FAAP100,FANCF,FANCB</t>
  </si>
  <si>
    <t>Q9NW38, Q6NZ36, O15360, Q00597, Q9HB96, O15287, Q0VG06, Q9NPI8, Q8NB91</t>
  </si>
  <si>
    <t>CPX-6264</t>
  </si>
  <si>
    <t>fanconi anemia group d2 protein (protein facd2)</t>
  </si>
  <si>
    <t>FANCI,FANCD2</t>
  </si>
  <si>
    <t>Q9NVI1, Q9BXW9</t>
  </si>
  <si>
    <t>CPX-6266</t>
  </si>
  <si>
    <t>fanconi anemia group m protein (protein facm) (ec 3.6.4.13) (atp-dependent rna helicase fancm) (fanconi anemia-associated polypeptide of 250 kda) (faap250) (protein hef ortholog)</t>
  </si>
  <si>
    <t>CENPX,CENPS,FANCM,FAAP24</t>
  </si>
  <si>
    <t>A8MT69, Q8N2Z9, Q8IYD8, Q9BTP7</t>
  </si>
  <si>
    <t>CPX-6270</t>
  </si>
  <si>
    <t>n-alpha-acetyltransferase 20 (ec 2.3.1.254) (methionine n-acetyltransferase) (n-acetyltransferase 5) (n-terminal acetyltransferase b complex catalytic subunit naa20) (n-terminal acetyltransferase b complex catalytic subunit nat5) (natb complex subunit nat5) (natb catalytic subunit)</t>
  </si>
  <si>
    <t>NAA20,NAA25</t>
  </si>
  <si>
    <t>P61599, Q14CX7</t>
  </si>
  <si>
    <t>CPX-6271</t>
  </si>
  <si>
    <t>n-alpha-acetyltransferase 10 (ec 2.3.1.255) (n-terminal acetyltransferase complex ard1 subunit homolog a) (hard1) (nata catalytic subunit naa10)</t>
  </si>
  <si>
    <t>NAA15,NAA10</t>
  </si>
  <si>
    <t>Q9BXJ9, P41227</t>
  </si>
  <si>
    <t>CPX-6272</t>
  </si>
  <si>
    <t>NAA16,NAA10</t>
  </si>
  <si>
    <t>Q6N069, P41227</t>
  </si>
  <si>
    <t>CPX-6273</t>
  </si>
  <si>
    <t>n-alpha-acetyltransferase 15, nata auxiliary subunit (gastric cancer antigen ga19) (n-terminal acetyltransferase) (nmda receptor-regulated protein 1) (protein tubedown-1) (tbdn100)</t>
  </si>
  <si>
    <t>NAA11,NAA15</t>
  </si>
  <si>
    <t>Q9BSU3, Q9BXJ9</t>
  </si>
  <si>
    <t>CPX-6282</t>
  </si>
  <si>
    <t>phospholipid-transporting atpase ic (ec 7.6.2.1) (atpase class i type 8b member 1) (familial intrahepatic cholestasis type 1) (p4-atpase flippase complex alpha subunit atp8b1)</t>
  </si>
  <si>
    <t>ATP8B1,TMEM30A</t>
  </si>
  <si>
    <t>O43520, Q9NV96</t>
  </si>
  <si>
    <t>CPX-6283</t>
  </si>
  <si>
    <t>ATP8B1,TMEM30B</t>
  </si>
  <si>
    <t>O43520, Q3MIR4</t>
  </si>
  <si>
    <t>CPX-6310</t>
  </si>
  <si>
    <t>phospholipid-transporting atpase ih (ec 7.6.2.1) (atpase is) (atpase class vi type 11a) (p4-atpase flippase complex alpha subunit atp11a)</t>
  </si>
  <si>
    <t>ATP11A,TMEM30A</t>
  </si>
  <si>
    <t>P98196, Q9NV96</t>
  </si>
  <si>
    <t>CPX-6312</t>
  </si>
  <si>
    <t>phospholipid-transporting atpase ig (ec 7.6.2.1) (atpase iq) (atpase class vi type 11c) (p4-atpase flippase complex alpha subunit atp11c)</t>
  </si>
  <si>
    <t>ATP11C,TMEM30A</t>
  </si>
  <si>
    <t>Q8NB49, Q9NV96</t>
  </si>
  <si>
    <t>CPX-6321</t>
  </si>
  <si>
    <t>h(+)/cl(-) exchange transporter 7 (chloride channel 7 alpha subunit) (chloride channel protein 7) (clc-7)</t>
  </si>
  <si>
    <t>OSTM1,CLCN7</t>
  </si>
  <si>
    <t>Q86WC4, P51798</t>
  </si>
  <si>
    <t>CPX-6322</t>
  </si>
  <si>
    <t>complex i assembly factor acad9, mitochondrial (acyl-coa dehydrogenase family member 9) (acad-9) (ec 1.3.8.-)</t>
  </si>
  <si>
    <t>NDUFAF1,ECSIT,ACAD9,TMEM126B,COA1,TMEM186</t>
  </si>
  <si>
    <t>Q9Y375, Q9BQ95, Q9H845, Q8IUX1, Q9GZY4, Q96B77</t>
  </si>
  <si>
    <t>CPX-6341</t>
  </si>
  <si>
    <t>molybdopterin synthase catalytic subunit (ec 2.8.1.12) (moco1-b) (molybdenum cofactor synthesis protein 2 large subunit) (molybdenum cofactor synthesis protein 2b) (mocs2b) (molybdopterin-synthase large subunit) (mpt synthase large subunit)</t>
  </si>
  <si>
    <t>MOCS2,MOCS2</t>
  </si>
  <si>
    <t>O96007, O96033</t>
  </si>
  <si>
    <t>CPX-6365</t>
  </si>
  <si>
    <t>katanin p80 wd40 repeat-containing subunit b1 (katanin p80 subunit b1) (p80 katanin)</t>
  </si>
  <si>
    <t>KATNA1,KATNB1</t>
  </si>
  <si>
    <t>O75449, Q9BVA0</t>
  </si>
  <si>
    <t>CPX-6367</t>
  </si>
  <si>
    <t>KATNAL2,KATNB1</t>
  </si>
  <si>
    <t>Q8IYT4, Q9BVA0</t>
  </si>
  <si>
    <t>CPX-6382</t>
  </si>
  <si>
    <t>KATNAL1,KATNB1</t>
  </si>
  <si>
    <t>Q9BW62, Q9BVA0</t>
  </si>
  <si>
    <t>CPX-6401</t>
  </si>
  <si>
    <t>ATF1</t>
  </si>
  <si>
    <t>P18846</t>
  </si>
  <si>
    <t>CPX-6402</t>
  </si>
  <si>
    <t>ATF1,BACH1</t>
  </si>
  <si>
    <t>P18846, O14867</t>
  </si>
  <si>
    <t>CPX-6404</t>
  </si>
  <si>
    <t>ATF1,NFIL3</t>
  </si>
  <si>
    <t>P18846, Q16649</t>
  </si>
  <si>
    <t>CPX-6405</t>
  </si>
  <si>
    <t>CREB1,ATF1</t>
  </si>
  <si>
    <t>P16220, P18846</t>
  </si>
  <si>
    <t>CPX-6415</t>
  </si>
  <si>
    <t>DDIT3,ATF2</t>
  </si>
  <si>
    <t>P35638, P15336</t>
  </si>
  <si>
    <t>CPX-6441</t>
  </si>
  <si>
    <t>integrator complex subunit 1 (int1)</t>
  </si>
  <si>
    <t>INTS1,INTS3,INTS6,INTS7,INTS5,INTS11,INTS4,INTS13,INTS2,INTS12,INTS9,INTS8,INTS10,INTS14</t>
  </si>
  <si>
    <t>Q8N201, Q68E01, Q9UL03, Q9NVH2, Q6P9B9, Q5TA45, Q96HW7, Q9NVM9, Q9H0H0, Q96CB8, Q9NV88, Q75QN2, Q9NVR2, Q96SY0</t>
  </si>
  <si>
    <t>CPX-6461</t>
  </si>
  <si>
    <t>dna-binding protein rfx5 (regulatory factor x 5)</t>
  </si>
  <si>
    <t>RFXANK,RFX5,RFXAP</t>
  </si>
  <si>
    <t>O14593, P48382, O00287</t>
  </si>
  <si>
    <t>CPX-6469</t>
  </si>
  <si>
    <t>ATF3,CEBPA</t>
  </si>
  <si>
    <t>P18847, P49715</t>
  </si>
  <si>
    <t>CPX-6472</t>
  </si>
  <si>
    <t>ATF3,CEBPE</t>
  </si>
  <si>
    <t>P18847, Q15744</t>
  </si>
  <si>
    <t>CPX-6473</t>
  </si>
  <si>
    <t>DDIT3,ATF3</t>
  </si>
  <si>
    <t>P35638, P18847</t>
  </si>
  <si>
    <t>CPX-6482</t>
  </si>
  <si>
    <t>t-cell surface glycoprotein cd3 delta chain (t-cell receptor t3 delta chain) (cd antigen cd3d)</t>
  </si>
  <si>
    <t>TRAC,TRBC2,CD3D,CD3E,CD3G,CD247</t>
  </si>
  <si>
    <t>P01848, A0A5B9, P04234, P07766, P09693, P20963</t>
  </si>
  <si>
    <t>CPX-6502</t>
  </si>
  <si>
    <t>phosphatidylinositol n-acetylglucosaminyltransferase subunit a (ec 2.4.1.198) (glcnac-pi synthesis protein) (phosphatidylinositol-glycan biosynthesis class a protein) (pig-a)</t>
  </si>
  <si>
    <t>DPM2,PIGA,PIGC,PIGH,PIGQ,PIGY,PIGP</t>
  </si>
  <si>
    <t>O94777, P37287, Q92535, Q14442, Q9BRB3, Q3MUY2, P57054</t>
  </si>
  <si>
    <t>CPX-6503</t>
  </si>
  <si>
    <t>glycosylphosphatidylinositol anchor attachment 1 protein (gpi anchor attachment protein 1) (gaa1 protein homolog) (hgaa1)</t>
  </si>
  <si>
    <t>PIGU,PIGT,PIGK,PIGS,GPAA1</t>
  </si>
  <si>
    <t>Q9H490, Q969N2, Q92643, Q96S52, O43292</t>
  </si>
  <si>
    <t>CPX-6525</t>
  </si>
  <si>
    <t>ATF4,CEBPA</t>
  </si>
  <si>
    <t>P18848, P49715</t>
  </si>
  <si>
    <t>CPX-6529</t>
  </si>
  <si>
    <t>ATF4,CEBPE</t>
  </si>
  <si>
    <t>P18848, Q15744</t>
  </si>
  <si>
    <t>CPX-6543</t>
  </si>
  <si>
    <t>ATF4,DDIT3</t>
  </si>
  <si>
    <t>P18848, P35638</t>
  </si>
  <si>
    <t>CPX-6566</t>
  </si>
  <si>
    <t>ATF4,MAF</t>
  </si>
  <si>
    <t>P18848, O75444</t>
  </si>
  <si>
    <t>CPX-6567</t>
  </si>
  <si>
    <t>ATF4,MAFB</t>
  </si>
  <si>
    <t>P18848, Q9Y5Q3</t>
  </si>
  <si>
    <t>CPX-6573</t>
  </si>
  <si>
    <t>l-lactate dehydrogenase a chain (ldh-a) (ec 1.1.1.27) (cell proliferation-inducing gene 19 protein) (ldh muscle subunit) (ldh-m) (renal carcinoma antigen ny-ren-59)</t>
  </si>
  <si>
    <t>LDHA</t>
  </si>
  <si>
    <t>P00338</t>
  </si>
  <si>
    <t>CPX-6581</t>
  </si>
  <si>
    <t>TRAC,TRBC1,CD3D,CD3E,CD3G,CD247</t>
  </si>
  <si>
    <t>P01848, P01850, P04234, P07766, P09693, P20963</t>
  </si>
  <si>
    <t>CPX-6582</t>
  </si>
  <si>
    <t>t-cell surface glycoprotein cd3 epsilon chain (t-cell surface antigen t3/leu-4 epsilon chain) (cd antigen cd3e)</t>
  </si>
  <si>
    <t>TRDC,TRGC1,CD3E,CD3G,CD247</t>
  </si>
  <si>
    <t>B7Z8K6, P0CF51, P07766, P09693, P20963</t>
  </si>
  <si>
    <t>CPX-6586</t>
  </si>
  <si>
    <t>ATF5,CEBPA</t>
  </si>
  <si>
    <t>Q9Y2D1, P49715</t>
  </si>
  <si>
    <t>CPX-6589</t>
  </si>
  <si>
    <t>ATF5,CEBPE</t>
  </si>
  <si>
    <t>Q9Y2D1, Q15744</t>
  </si>
  <si>
    <t>CPX-6592</t>
  </si>
  <si>
    <t>LDHA,LDHB</t>
  </si>
  <si>
    <t>P00338, P07195</t>
  </si>
  <si>
    <t>CPX-6593</t>
  </si>
  <si>
    <t>cyclic amp-dependent transcription factor atf-6 alpha (camp-dependent transcription factor atf-6 alpha) (activating transcription factor 6 alpha) (atf6-alpha) [cleaved into: processed cyclic amp-dependent transcription factor atf-6 alpha]</t>
  </si>
  <si>
    <t>ATF6</t>
  </si>
  <si>
    <t>P18850</t>
  </si>
  <si>
    <t>CPX-6594</t>
  </si>
  <si>
    <t>CPX-6595</t>
  </si>
  <si>
    <t>ATF6,ATF6B</t>
  </si>
  <si>
    <t>P18850, Q99941</t>
  </si>
  <si>
    <t>CPX-6597</t>
  </si>
  <si>
    <t>ATF6,XBP1</t>
  </si>
  <si>
    <t>P18850, P17861</t>
  </si>
  <si>
    <t>CPX-6598</t>
  </si>
  <si>
    <t>CPX-6600</t>
  </si>
  <si>
    <t>x-box-binding protein 1 (xbp-1) (tax-responsive element-binding protein 5) (treb-5) [cleaved into: x-box-binding protein 1, cytoplasmic form; x-box-binding protein 1, luminal form]</t>
  </si>
  <si>
    <t>ATF6B,XBP1</t>
  </si>
  <si>
    <t>Q99941, P17861</t>
  </si>
  <si>
    <t>CPX-6603</t>
  </si>
  <si>
    <t>TRDC,TRGC2,CD3E,CD3G,CD247</t>
  </si>
  <si>
    <t>B7Z8K6, P03986, P07766, P09693, P20963</t>
  </si>
  <si>
    <t>CPX-6641</t>
  </si>
  <si>
    <t>activating signal cointegrator 1 complex subunit 1 (asc-1 complex subunit p50) (trip4 complex subunit p50)</t>
  </si>
  <si>
    <t>ASCC3,ASCC2,ASCC1</t>
  </si>
  <si>
    <t>Q8N3C0, Q9H1I8, Q8N9N2</t>
  </si>
  <si>
    <t>CPX-6642</t>
  </si>
  <si>
    <t>activating signal cointegrator 1 (asc-1) (thyroid receptor-interacting protein 4) (tr-interacting protein 4) (trip-4)</t>
  </si>
  <si>
    <t>ASCC2,TRIP4,ASCC3</t>
  </si>
  <si>
    <t>Q9H1I8, Q15650, Q8N3C0</t>
  </si>
  <si>
    <t>CPX-6661</t>
  </si>
  <si>
    <t>homologous-pairing protein 2 homolog (nuclear receptor coactivator gt198) (psmc3-interacting protein) (proteasome 26s atpase subunit 3-interacting protein) (tat-binding protein 1-interacting protein) (tbp-1-interacting protein)</t>
  </si>
  <si>
    <t>PSMC3IP,MND1</t>
  </si>
  <si>
    <t>Q9P2W1, Q9BWT6</t>
  </si>
  <si>
    <t>CPX-6663</t>
  </si>
  <si>
    <t>serine palmitoyltransferase 1 (ec 2.3.1.50) (long chain base biosynthesis protein 1) (lcb 1) (serine-palmitoyl-coa transferase 1) (spt 1) (spt1)</t>
  </si>
  <si>
    <t>SPTLC1,SPTLC2,SPTSSA</t>
  </si>
  <si>
    <t>O15269, O15270, Q969W0</t>
  </si>
  <si>
    <t>CPX-6664</t>
  </si>
  <si>
    <t>SPTLC1,SPTLC2,SPTSSB</t>
  </si>
  <si>
    <t>O15269, O15270, Q8NFR3</t>
  </si>
  <si>
    <t>CPX-6665</t>
  </si>
  <si>
    <t>SPTLC1,SPTLC3,SPTSSA</t>
  </si>
  <si>
    <t>O15269, Q9NUV7, Q969W0</t>
  </si>
  <si>
    <t>CPX-6681</t>
  </si>
  <si>
    <t>SPTLC1,SPTLC3,SPTSSB</t>
  </si>
  <si>
    <t>O15269, Q9NUV7, Q8NFR3</t>
  </si>
  <si>
    <t>CPX-6701</t>
  </si>
  <si>
    <t>dehydrodolichyl diphosphate synthase complex subunit dhdds (ec 2.5.1.87) (cis-isoprenyltransferase) (cit) (cis-iptase) (cis-prenyltransferase subunit hcit) (epididymis tissue protein li 189m)</t>
  </si>
  <si>
    <t>DHDDS,NUS1</t>
  </si>
  <si>
    <t>Q86SQ9, Q96E22</t>
  </si>
  <si>
    <t>CPX-6741</t>
  </si>
  <si>
    <t>t-cell surface glycoprotein cd8 alpha chain (t-lymphocyte differentiation antigen t8/leu-2) (cd antigen cd8a)</t>
  </si>
  <si>
    <t>CD8B,CD8A</t>
  </si>
  <si>
    <t>P10966, P01732</t>
  </si>
  <si>
    <t>CPX-6743</t>
  </si>
  <si>
    <t>CD8A</t>
  </si>
  <si>
    <t>P01732</t>
  </si>
  <si>
    <t>CPX-6784</t>
  </si>
  <si>
    <t>ATF7,DDIT3</t>
  </si>
  <si>
    <t>P17544, P35638</t>
  </si>
  <si>
    <t>CPX-6822</t>
  </si>
  <si>
    <t>neutral alpha-glucosidase ab (ec 3.2.1.207) (alpha-glucosidase 2) (glucosidase ii subunit alpha)</t>
  </si>
  <si>
    <t>GANAB,PRKCSH</t>
  </si>
  <si>
    <t>Q14697, P14314</t>
  </si>
  <si>
    <t>CPX-6841</t>
  </si>
  <si>
    <t>n-acetylglucosamine-1-phosphotransferase subunit gamma (glcnac-1-phosphotransferase subunit gamma) (udp-n-acetylglucosamine-1-phosphotransferase subunit gamma)</t>
  </si>
  <si>
    <t>GNPTG,Q3T906-PRO_0000225008,Q3T906-PRO_0000225009</t>
  </si>
  <si>
    <t>Q9UJJ9, Q3T906, Q3T906</t>
  </si>
  <si>
    <t>CPX-6862</t>
  </si>
  <si>
    <t>glutaredoxin-related protein 5, mitochondrial (monothiol glutaredoxin-5)</t>
  </si>
  <si>
    <t>BOLA1,GLRX5</t>
  </si>
  <si>
    <t>Q9Y3E2, Q86SX6</t>
  </si>
  <si>
    <t>CPX-6863</t>
  </si>
  <si>
    <t>bola-like protein 3</t>
  </si>
  <si>
    <t>BOLA3,GLRX5</t>
  </si>
  <si>
    <t>Q53S33, Q86SX6</t>
  </si>
  <si>
    <t>CPX-6902</t>
  </si>
  <si>
    <t>TRAPPC1,TRAPPC2B,TRAPPC3,TRAPPC4,TRAPPC5,TRAPPC6B,TRAPPC9,TRAPPC10,TRAPPC13,TRAPPC2L</t>
  </si>
  <si>
    <t>Q9Y5R8, P0DI82, O43617, Q9Y296, Q8IUR0, Q86SZ2, Q96Q05, P48553, A5PLN9, Q9UL33</t>
  </si>
  <si>
    <t>CPX-6903</t>
  </si>
  <si>
    <t>trafficking protein particle complex subunit 2-like protein</t>
  </si>
  <si>
    <t>TRAPPC1,TRAPPC2B,TRAPPC3,TRAPPC4,TRAPPC5,TRAPPC6A,TRAPPC8,TRAPPC11,TRAPPC12,TRAPPC2L</t>
  </si>
  <si>
    <t>Q9Y5R8, P0DI82, O43617, Q9Y296, Q8IUR0, O75865, Q9Y2L5, Q7Z392, Q8WVT3, Q9UL33</t>
  </si>
  <si>
    <t>CPX-6904</t>
  </si>
  <si>
    <t>ATP6V0B,ATP6V1A,ATP6V1D,ATP6V1F,ATP6V0A2,RNASEK,ATP6AP1,ATP6AP2,ATP6V0C,ATP6V1H</t>
  </si>
  <si>
    <t>Q99437, P38606, Q9Y5K8, Q16864, Q9Y487, Q6P5S7, Q15904, O75787, P27449, Q9UI12</t>
  </si>
  <si>
    <t>CPX-6905</t>
  </si>
  <si>
    <t>ATP6V0B,ATP6V1A,ATP6V1D,ATP6V1F,TCIRG1,RNASEK,ATP6AP1,ATP6AP2,ATP6V0C,ATP6V1H</t>
  </si>
  <si>
    <t>Q99437, P38606, Q9Y5K8, Q16864, Q13488, Q6P5S7, Q15904, O75787, P27449, Q9UI12</t>
  </si>
  <si>
    <t>CPX-6912</t>
  </si>
  <si>
    <t>ATP6V0B,ATP6V1A,ATP6V1D,ATP6V1F,ATP6V0A4,RNASEK,ATP6AP1,ATP6AP2,ATP6V0C,ATP6V1H</t>
  </si>
  <si>
    <t>Q99437, P38606, Q9Y5K8, Q16864, Q9HBG4, Q6P5S7, Q15904, O75787, P27449, Q9UI12</t>
  </si>
  <si>
    <t>CPX-7004</t>
  </si>
  <si>
    <t>BATF,DDIT3</t>
  </si>
  <si>
    <t>Q16520, P35638</t>
  </si>
  <si>
    <t>CPX-7006</t>
  </si>
  <si>
    <t>BATF,CEBPA</t>
  </si>
  <si>
    <t>Q16520, P49715</t>
  </si>
  <si>
    <t>CPX-7010</t>
  </si>
  <si>
    <t>BATF,CEBPE</t>
  </si>
  <si>
    <t>Q16520, Q15744</t>
  </si>
  <si>
    <t>CPX-7011</t>
  </si>
  <si>
    <t>hepatic leukemia factor</t>
  </si>
  <si>
    <t>BATF,HLF</t>
  </si>
  <si>
    <t>Q16520, Q16534</t>
  </si>
  <si>
    <t>CPX-7020</t>
  </si>
  <si>
    <t>pat complex subunit ccdc47 (calumin) (coiled-coil domain-containing protein 47)</t>
  </si>
  <si>
    <t>CCDC47,WDR83OS</t>
  </si>
  <si>
    <t>Q96A33, Q9Y284</t>
  </si>
  <si>
    <t>CPX-7062</t>
  </si>
  <si>
    <t>histone-lysine n-methyltransferase 2b (lysine n-methyltransferase 2b) (ec 2.1.1.364) (myeloid/lymphoid or mixed-lineage leukemia protein 4) (trithorax homolog 2) (ww domain-binding protein 7) (wbp-7)</t>
  </si>
  <si>
    <t>DPY30,KMT2B,ASH2L,RBBP5,WDR5,MEN1,HCFC1,HCFC2</t>
  </si>
  <si>
    <t>Q9C005, Q9UMN6, Q9UBL3, Q15291, P61964, O00255, P51610, Q9Y5Z7</t>
  </si>
  <si>
    <t>CPX-7064</t>
  </si>
  <si>
    <t>BATF2,DDIT3</t>
  </si>
  <si>
    <t>Q8N1L9, P35638</t>
  </si>
  <si>
    <t>CPX-7065</t>
  </si>
  <si>
    <t>BATF2,CEBPA</t>
  </si>
  <si>
    <t>Q8N1L9, P49715</t>
  </si>
  <si>
    <t>CPX-7067</t>
  </si>
  <si>
    <t>BATF2,CEBPE</t>
  </si>
  <si>
    <t>Q8N1L9, Q15744</t>
  </si>
  <si>
    <t>CPX-7081</t>
  </si>
  <si>
    <t>BATF2,HLF</t>
  </si>
  <si>
    <t>Q8N1L9, Q16534</t>
  </si>
  <si>
    <t>CPX-7091</t>
  </si>
  <si>
    <t>histone-lysine n-methyltransferase 2c (lysine n-methyltransferase 2c) (ec 2.1.1.364) (homologous to alr protein) (myeloid/lymphoid or mixed-lineage leukemia protein 3)</t>
  </si>
  <si>
    <t>PAGR1,DPY30,KMT2C,ASH2L,RBBP5,WDR5,PAXIP1,KDM6A,NCOA6</t>
  </si>
  <si>
    <t>Q9BTK6, Q9C005, Q8NEZ4, Q9UBL3, Q15291, P61964, Q6ZW49, O15550, Q14686</t>
  </si>
  <si>
    <t>CPX-7093</t>
  </si>
  <si>
    <t>BATF3,BACH2</t>
  </si>
  <si>
    <t>Q9NR55, Q9BYV9</t>
  </si>
  <si>
    <t>CPX-7095</t>
  </si>
  <si>
    <t>BATF3,CEBPA</t>
  </si>
  <si>
    <t>Q9NR55, P49715</t>
  </si>
  <si>
    <t>CPX-7099</t>
  </si>
  <si>
    <t>BATF3,CEBPE</t>
  </si>
  <si>
    <t>Q9NR55, Q15744</t>
  </si>
  <si>
    <t>CPX-7104</t>
  </si>
  <si>
    <t>histone-lysine n-methyltransferase 2d (lysine n-methyltransferase 2d) (ec 2.1.1.364) (all1-related protein) (myeloid/lymphoid or mixed-lineage leukemia protein 2)</t>
  </si>
  <si>
    <t>PAGR1,DPY30,KMT2D,ASH2L,RBBP5,WDR5,PAXIP1,KDM6A,NCOA6</t>
  </si>
  <si>
    <t>Q9BTK6, Q9C005, O14686, Q9UBL3, Q15291, P61964, Q6ZW49, O15550, Q14686</t>
  </si>
  <si>
    <t>CPX-7106</t>
  </si>
  <si>
    <t>BATF3,DDIT3</t>
  </si>
  <si>
    <t>Q9NR55, P35638</t>
  </si>
  <si>
    <t>CPX-7107</t>
  </si>
  <si>
    <t>BATF3,HLF</t>
  </si>
  <si>
    <t>Q9NR55, Q16534</t>
  </si>
  <si>
    <t>CPX-7110</t>
  </si>
  <si>
    <t>histone-lysine n-methyltransferase setd1a (ec 2.1.1.364) (lysine n-methyltransferase 2f) (set domain-containing protein 1a) (hset1a) (set1/ash2 histone methyltransferase complex subunit set1)</t>
  </si>
  <si>
    <t>DPY30,SETD1A,ASH2L,RBBP5,WDR5,CXXC1,WDR82,HCFC1,HCFC2</t>
  </si>
  <si>
    <t>Q9C005, O15047, Q9UBL3, Q15291, P61964, Q9P0U4, Q6UXN9, P51610, Q9Y5Z7</t>
  </si>
  <si>
    <t>CPX-7111</t>
  </si>
  <si>
    <t>histone-lysine n-methyltransferase setd1b (ec 2.1.1.364) (lysine n-methyltransferase 2g) (set domain-containing protein 1b) (hset1b)</t>
  </si>
  <si>
    <t>BOD1L1,BOD1,DPY30,SETD1B,ASH2L,RBBP5,WDR5,CXXC1,WDR82,HCFC1,HCFC2</t>
  </si>
  <si>
    <t>Q8NFC6, Q96IK1, Q9C005, Q9UPS6, Q9UBL3, Q15291, P61964, Q9P0U4, Q6UXN9, P51610, Q9Y5Z7</t>
  </si>
  <si>
    <t>CPX-7113</t>
  </si>
  <si>
    <t>dna helicase mcm8 (ec 3.6.4.12) (minichromosome maintenance 8)</t>
  </si>
  <si>
    <t>MCM9,MCM8</t>
  </si>
  <si>
    <t>Q9NXL9, Q9UJA3</t>
  </si>
  <si>
    <t>CPX-7121</t>
  </si>
  <si>
    <t>erlin-1 (endoplasmic reticulum lipid raft-associated protein 1) (protein ke04) (stomatin-prohibitin-flotillin-hflc/k domain-containing protein 1) (spfh domain-containing protein 1)</t>
  </si>
  <si>
    <t>ERLIN1,ERLIN2</t>
  </si>
  <si>
    <t>O75477, O94905</t>
  </si>
  <si>
    <t>pyruvate carboxylase, mitochondrial (ec 6.4.1.1) (pyruvic carboxylase) (pcb)</t>
  </si>
  <si>
    <t>MDH1,ME1,PC</t>
  </si>
  <si>
    <t>P40925, P48163, P11498</t>
  </si>
  <si>
    <t>CPX-7241</t>
  </si>
  <si>
    <t>dna-directed rna polymerase, mitochondrial (mtrpol) (ec 2.7.7.6)</t>
  </si>
  <si>
    <t>TFAM,POLRMT,TFB2M</t>
  </si>
  <si>
    <t>Q00059, O00411, Q9H5Q4</t>
  </si>
  <si>
    <t>CPX-7261</t>
  </si>
  <si>
    <t>THOC1,THOC7,THOC6,THOC3,THOC2,SARNP,FYTTD1,LUZP4,ALYREF,CHTOP,ZC3H11A,POLDIP3,ERH,NCBP3,THOC5,DDX39A</t>
  </si>
  <si>
    <t>Q96FV9, Q6I9Y2, Q86W42, Q96J01, Q8NI27, P82979, Q96QD9, Q9P127, Q86V81, Q9Y3Y2, O75152, Q9BY77, P84090, Q53F19, Q13769, O00148</t>
  </si>
  <si>
    <t>CPX-7281</t>
  </si>
  <si>
    <t>MCM3AP,CETN3,ENY2,PCID2,SEM1</t>
  </si>
  <si>
    <t>O60318, O15182, Q9NPA8, Q5JVF3, P60896</t>
  </si>
  <si>
    <t>CPX-7403</t>
  </si>
  <si>
    <t>vascular endothelial growth factor c (vegf-c) (flt4 ligand) (flt4-l) (vascular endothelial growth factor-related protein) (vrp)</t>
  </si>
  <si>
    <t>VEGFC</t>
  </si>
  <si>
    <t>P49767</t>
  </si>
  <si>
    <t>CPX-7441</t>
  </si>
  <si>
    <t>STAG3,SMC3,SMC1B,RAD21L1</t>
  </si>
  <si>
    <t>Q9UJ98, Q9UQE7, Q8NDV3, Q9H4I0</t>
  </si>
  <si>
    <t>CPX-7442</t>
  </si>
  <si>
    <t>STAG3,SMC3,SMC1B,REC8</t>
  </si>
  <si>
    <t>Q9UJ98, Q9UQE7, Q8NDV3, O95072</t>
  </si>
  <si>
    <t>CPX-7461</t>
  </si>
  <si>
    <t>retinoblastoma-like protein 2 (130 kda retinoblastoma-associated protein) (p130) (retinoblastoma-related protein 2) (rbr-2) (prb2)</t>
  </si>
  <si>
    <t>RBL2,E2F4,E2F5,TFDP1,TFDP2,LIN9,LIN54,LIN37,LIN52,RBBP4</t>
  </si>
  <si>
    <t>Q08999, Q16254, Q15329, Q14186, Q14188, Q5TKA1, Q6MZP7, Q96GY3, Q52LA3, Q09028</t>
  </si>
  <si>
    <t>CPX-7482</t>
  </si>
  <si>
    <t>POLR3B,CRCP,POLR1C,POLR3A,POLR2E,POLR2F,POLR3H,POLR2H,POLR3K,POLR2L,POLR1D,POLR2K,POLR3E,POLR3D,POLR3C,POLR3F,POLR3GL</t>
  </si>
  <si>
    <t>Q9NW08, O75575, O15160, O14802, P19388, P61218, Q9Y535, P52434, Q9Y2Y1, P62875, P0DPB6, P53803, Q9NVU0, P05423, Q9BUI4, Q9H1D9, Q9BT43</t>
  </si>
  <si>
    <t>CPX-7501</t>
  </si>
  <si>
    <t>BMI1,RING1,CBX2,PHC1</t>
  </si>
  <si>
    <t>P35226, Q06587, Q14781, P78364</t>
  </si>
  <si>
    <t>CPX-7502</t>
  </si>
  <si>
    <t>BMI1,RING1,CBX2,PHC2</t>
  </si>
  <si>
    <t>P35226, Q06587, Q14781, Q8IXK0</t>
  </si>
  <si>
    <t>CPX-7504</t>
  </si>
  <si>
    <t>BMI1,RING1,CBX2,PHC3</t>
  </si>
  <si>
    <t>P35226, Q06587, Q14781, Q8NDX5</t>
  </si>
  <si>
    <t>CPX-7505</t>
  </si>
  <si>
    <t>polyhomeotic-like protein 1 (hph1) (early development regulatory protein 1)</t>
  </si>
  <si>
    <t>BMI1,PHC1,RING1,CBX4</t>
  </si>
  <si>
    <t>P35226, P78364, Q06587, O00257</t>
  </si>
  <si>
    <t>CPX-7509</t>
  </si>
  <si>
    <t>BMI1,RING1,CBX6,PHC1</t>
  </si>
  <si>
    <t>P35226, Q06587, O95503, P78364</t>
  </si>
  <si>
    <t>CPX-7513</t>
  </si>
  <si>
    <t>BMI1,RING1,CBX7,PHC1</t>
  </si>
  <si>
    <t>P35226, Q06587, O95931, P78364</t>
  </si>
  <si>
    <t>CPX-7516</t>
  </si>
  <si>
    <t>CBX8,BMI1,RING1,PHC1</t>
  </si>
  <si>
    <t>Q9HC52, P35226, Q06587, P78364</t>
  </si>
  <si>
    <t>PCGF2,RNF2,CBX2,PHC1</t>
  </si>
  <si>
    <t>P35227, Q99496, Q14781, P78364</t>
  </si>
  <si>
    <t>CPX-7522</t>
  </si>
  <si>
    <t>PCGF2,RNF2,CBX2,PHC2</t>
  </si>
  <si>
    <t>P35227, Q99496, Q14781, Q8IXK0</t>
  </si>
  <si>
    <t>CPX-7523</t>
  </si>
  <si>
    <t>PCGF2,RNF2,CBX2,PHC3</t>
  </si>
  <si>
    <t>P35227, Q99496, Q14781, Q8NDX5</t>
  </si>
  <si>
    <t>PCGF2,PHC1,RNF2,CBX4</t>
  </si>
  <si>
    <t>P35227, P78364, Q99496, O00257</t>
  </si>
  <si>
    <t>CPX-7525</t>
  </si>
  <si>
    <t>PCGF2,CBX4,PHC3,RNF2</t>
  </si>
  <si>
    <t>P35227, O00257, Q8NDX5, Q99496</t>
  </si>
  <si>
    <t>CPX-7526</t>
  </si>
  <si>
    <t>PCGF2,CBX4,PHC2,RNF2</t>
  </si>
  <si>
    <t>P35227, O00257, Q8IXK0, Q99496</t>
  </si>
  <si>
    <t>PCGF2,RNF2,CBX6,PHC1</t>
  </si>
  <si>
    <t>P35227, Q99496, O95503, P78364</t>
  </si>
  <si>
    <t>CPX-7528</t>
  </si>
  <si>
    <t>RNF2,PCGF2,CBX6,PHC2</t>
  </si>
  <si>
    <t>Q99496, P35227, O95503, Q8IXK0</t>
  </si>
  <si>
    <t>CPX-7529</t>
  </si>
  <si>
    <t>RNF2,PCGF2,PHC3,CBX6</t>
  </si>
  <si>
    <t>Q99496, P35227, Q8NDX5, O95503</t>
  </si>
  <si>
    <t>PCGF2,RNF2,CBX7,PHC1</t>
  </si>
  <si>
    <t>P35227, Q99496, O95931, P78364</t>
  </si>
  <si>
    <t>CPX-7531</t>
  </si>
  <si>
    <t>PCGF2,RNF2,CBX7,PHC2</t>
  </si>
  <si>
    <t>P35227, Q99496, O95931, Q8IXK0</t>
  </si>
  <si>
    <t>CPX-7532</t>
  </si>
  <si>
    <t>PCGF2,RNF2,CBX7,PHC3</t>
  </si>
  <si>
    <t>P35227, Q99496, O95931, Q8NDX5</t>
  </si>
  <si>
    <t>PCGF2,RNF2,PHC1,CBX8</t>
  </si>
  <si>
    <t>P35227, Q99496, P78364, Q9HC52</t>
  </si>
  <si>
    <t>CPX-7534</t>
  </si>
  <si>
    <t>PCGF2,CBX8,PHC2,RNF2</t>
  </si>
  <si>
    <t>P35227, Q9HC52, Q8IXK0, Q99496</t>
  </si>
  <si>
    <t>CPX-7535</t>
  </si>
  <si>
    <t>PCGF2,CBX8,PHC3,RNF2</t>
  </si>
  <si>
    <t>P35227, Q9HC52, Q8NDX5, Q99496</t>
  </si>
  <si>
    <t>CPX-7541</t>
  </si>
  <si>
    <t>BMI1,RNF2,CBX2,PHC1</t>
  </si>
  <si>
    <t>P35226, Q99496, Q14781, P78364</t>
  </si>
  <si>
    <t>CPX-7542</t>
  </si>
  <si>
    <t>BMI1,RNF2,CBX2,PHC2</t>
  </si>
  <si>
    <t>P35226, Q99496, Q14781, Q8IXK0</t>
  </si>
  <si>
    <t>CPX-7544</t>
  </si>
  <si>
    <t>BMI1,RNF2,CBX2,PHC3</t>
  </si>
  <si>
    <t>P35226, Q99496, Q14781, Q8NDX5</t>
  </si>
  <si>
    <t>CPX-7545</t>
  </si>
  <si>
    <t>BMI1,PHC1,RNF2,CBX4</t>
  </si>
  <si>
    <t>P35226, P78364, Q99496, O00257</t>
  </si>
  <si>
    <t>CPX-7546</t>
  </si>
  <si>
    <t>BMI1,CBX4,PHC2,RNF2</t>
  </si>
  <si>
    <t>P35226, O00257, Q8IXK0, Q99496</t>
  </si>
  <si>
    <t>CPX-7547</t>
  </si>
  <si>
    <t>BMI1,CBX4,PHC3,RNF2</t>
  </si>
  <si>
    <t>P35226, O00257, Q8NDX5, Q99496</t>
  </si>
  <si>
    <t>CPX-7548</t>
  </si>
  <si>
    <t>BMI1,RNF2,CBX6,PHC1</t>
  </si>
  <si>
    <t>P35226, Q99496, O95503, P78364</t>
  </si>
  <si>
    <t>CPX-7549</t>
  </si>
  <si>
    <t>RNF2,BMI1,CBX6,PHC2</t>
  </si>
  <si>
    <t>Q99496, P35226, O95503, Q8IXK0</t>
  </si>
  <si>
    <t>CPX-7550</t>
  </si>
  <si>
    <t>RNF2,BMI1,PHC3,CBX6</t>
  </si>
  <si>
    <t>Q99496, P35226, Q8NDX5, O95503</t>
  </si>
  <si>
    <t>CPX-7551</t>
  </si>
  <si>
    <t>BMI1,RNF2,CBX7,PHC1</t>
  </si>
  <si>
    <t>P35226, Q99496, O95931, P78364</t>
  </si>
  <si>
    <t>CPX-7552</t>
  </si>
  <si>
    <t>BMI1,RNF2,CBX7,PHC2</t>
  </si>
  <si>
    <t>P35226, Q99496, O95931, Q8IXK0</t>
  </si>
  <si>
    <t>CPX-7553</t>
  </si>
  <si>
    <t>BMI1,RNF2,CBX7,PHC3</t>
  </si>
  <si>
    <t>P35226, Q99496, O95931, Q8NDX5</t>
  </si>
  <si>
    <t>CPX-7554</t>
  </si>
  <si>
    <t>CBX8,BMI1,RNF2,PHC1</t>
  </si>
  <si>
    <t>Q9HC52, P35226, Q99496, P78364</t>
  </si>
  <si>
    <t>CPX-7555</t>
  </si>
  <si>
    <t>BMI1,CBX8,PHC2,RNF2</t>
  </si>
  <si>
    <t>P35226, Q9HC52, Q8IXK0, Q99496</t>
  </si>
  <si>
    <t>CPX-7556</t>
  </si>
  <si>
    <t>BMI1,CBX8,PHC3,RNF2</t>
  </si>
  <si>
    <t>P35226, Q9HC52, Q8NDX5, Q99496</t>
  </si>
  <si>
    <t>CPX-7561</t>
  </si>
  <si>
    <t>YAF2,SKP1,PCGF1,BCOR,RING1,KDM2B</t>
  </si>
  <si>
    <t>Q8IY57, P63208, Q9BSM1, Q6W2J9, Q06587, Q8NHM5</t>
  </si>
  <si>
    <t>CPX-7581</t>
  </si>
  <si>
    <t>RING1,AUTS2,RYBP,PCGF5,CSNK2B,CSNK2A2</t>
  </si>
  <si>
    <t>Q06587, Q8WXX7, Q8N488, Q86SE9, P67870, P19784</t>
  </si>
  <si>
    <t>CPX-7582</t>
  </si>
  <si>
    <t>AUTS2,CSNK2B,CSNK2A2,CSNK2A1,,PCGF5,RYBP</t>
  </si>
  <si>
    <t>Q8WXX7, P67870, P19784, P68400, Q86SE9, Q8N488, Q06587</t>
  </si>
  <si>
    <t>CPX-7583</t>
  </si>
  <si>
    <t>CSNK2A1,CSNK2B,,RING1,AUTS2,PCGF5</t>
  </si>
  <si>
    <t>P68400, P67870, Q06587, Q8WXX7, Q86SE9, Q8N488</t>
  </si>
  <si>
    <t>CPX-7584</t>
  </si>
  <si>
    <t>RING1,YAF2,AUTS2,PCGF5,CSNK2B,CSNK2A2</t>
  </si>
  <si>
    <t>Q06587, Q8IY57, Q8WXX7, Q86SE9, P67870, P19784</t>
  </si>
  <si>
    <t>CPX-7585</t>
  </si>
  <si>
    <t>CSNK2B,CSNK2A2,CSNK2A1,,PCGF5,AUTS2,RING1</t>
  </si>
  <si>
    <t>P67870, P19784, P68400, Q86SE9, Q8WXX7, Q06587, Q8IY57</t>
  </si>
  <si>
    <t>CPX-7586</t>
  </si>
  <si>
    <t>PCGF5,AUTS2,RING1,CSNK2A1,CSNK2B,</t>
  </si>
  <si>
    <t>Q86SE9, Q8WXX7, Q06587, P68400, P67870, Q8IY57</t>
  </si>
  <si>
    <t>CPX-7587</t>
  </si>
  <si>
    <t>RNF2,AUTS2,RYBP,PCGF5,CSNK2B,CSNK2A2</t>
  </si>
  <si>
    <t>Q99496, Q8WXX7, Q8N488, Q86SE9, P67870, P19784</t>
  </si>
  <si>
    <t>CPX-7588</t>
  </si>
  <si>
    <t>RYBP,AUTS2,RNF2,PCGF5,CSNK2B,CSNK2A2,CSNK2A1</t>
  </si>
  <si>
    <t>Q8N488, Q8WXX7, Q99496, Q86SE9, P67870, P19784, P68400</t>
  </si>
  <si>
    <t>CPX-7589</t>
  </si>
  <si>
    <t>CSNK2A1,CSNK2B,,AUTS2,PCGF5,RYBP</t>
  </si>
  <si>
    <t>P68400, P67870, Q8WXX7, Q86SE9, Q8N488, Q99496</t>
  </si>
  <si>
    <t>CPX-7590</t>
  </si>
  <si>
    <t>AUTS2,CSNK2B,CSNK2A2,,PCGF5,YAF2</t>
  </si>
  <si>
    <t>Q8WXX7, P67870, P19784, Q86SE9, Q8IY57, Q99496</t>
  </si>
  <si>
    <t>CPX-7591</t>
  </si>
  <si>
    <t>AUTS2,CSNK2B,CSNK2A2,CSNK2A1,,PCGF5,RNF2</t>
  </si>
  <si>
    <t>Q8WXX7, P67870, P19784, P68400, Q86SE9, Q99496, Q8IY57</t>
  </si>
  <si>
    <t>CPX-7592</t>
  </si>
  <si>
    <t>CSNK2A1,CSNK2B,,AUTS2,PCGF5,RNF2</t>
  </si>
  <si>
    <t>P68400, P67870, Q8WXX7, Q86SE9, Q99496, Q8IY57</t>
  </si>
  <si>
    <t>MXD4,MAX</t>
  </si>
  <si>
    <t>Q14582, P61244</t>
  </si>
  <si>
    <t>CPX-7664</t>
  </si>
  <si>
    <t>RPL10A,RPL11,RPL12,RPL13,RPL13A,RPL14,RPL15,RPL17,RPL18,RPL18A,RPL19,RPL21,RPL23,RPL23A,RPL24,RPL27,RPL27A,RPL28,RPL29,RPL30,RPL31,RPL32,RPL34,RPL35,RPL35A,RPL36,RPL37,RPL37A,RPL38,RPL4,UBA52,RPL41,RPL5,RPL6,RPL7,RPL7A,RPL8,RPL9,RPLP0,RPLP1,RPLP2,RPL10L,RPL3,RPL39L</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</si>
  <si>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Q96L21, P39023, Q96EH5</t>
  </si>
  <si>
    <t>CPX-7665</t>
  </si>
  <si>
    <t>RPL10A,RPL11,RPL12,RPL13,RPL13A,RPL14,RPL15,RPL17,RPL18,RPL18A,RPL19,RPL21,RPL23,RPL23A,RPL24,RPL27,RPL27A,RPL28,RPL29,RPL30,RPL31,RPL32,RPL34,RPL35,RPL35A,RPL36,RPL37,RPL37A,RPL38,RPL4,UBA52,RPL41,RPL5,RPL6,RPL7,RPL7A,RPL8,RPL9,RPLP0,RPLP1,RPLP2,RPL10,RPL3L,RPL36A,RPL39</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</si>
  <si>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P27635, Q92901, P83881, P62891</t>
  </si>
  <si>
    <t>CPX-7667</t>
  </si>
  <si>
    <t>nesprin-1 (enaptin) (kash domain-containing protein 1) (kash1) (myocyte nuclear envelope protein 1) (myne-1) (nuclear envelope spectrin repeat protein 1) (synaptic nuclear envelope protein 1) (syne-1)</t>
  </si>
  <si>
    <t>SUN2,SYNE1</t>
  </si>
  <si>
    <t>Q9UH99, Q8NF91</t>
  </si>
  <si>
    <t>CPX-7668</t>
  </si>
  <si>
    <t>SUN1,SYNE1</t>
  </si>
  <si>
    <t>O94901, Q8NF91</t>
  </si>
  <si>
    <t>CPX-7669</t>
  </si>
  <si>
    <t>nesprin-2 (kash domain-containing protein 2) (kash2) (nuclear envelope spectrin repeat protein 2) (nucleus and actin connecting element protein) (protein nuance) (synaptic nuclear envelope protein 2) (syne-2)</t>
  </si>
  <si>
    <t>SUN2,SYNE2</t>
  </si>
  <si>
    <t>Q9UH99, Q8WXH0</t>
  </si>
  <si>
    <t>CPX-7670</t>
  </si>
  <si>
    <t>SUN1,SYNE2</t>
  </si>
  <si>
    <t>O94901, Q8WXH0</t>
  </si>
  <si>
    <t>CPX-7722</t>
  </si>
  <si>
    <t>ribitol 5-phosphate transferase fkrp (ec 2.7.8.-) (fukutin-related protein) (ribitol-5-phosphate transferase)</t>
  </si>
  <si>
    <t>RXYLT1,FKTN,FKRP</t>
  </si>
  <si>
    <t>Q9Y2B1, O75072, Q9H9S5</t>
  </si>
  <si>
    <t>CPX-7724</t>
  </si>
  <si>
    <t>pdz domain-containing protein gipc1 (gaip c-terminus-interacting protein) (rgs-gaip-interacting protein) (rgs19-interacting protein 1) (synectin) (tax interaction protein 2) (tip-2)</t>
  </si>
  <si>
    <t>ARHGEF12,MYO6,SH3BP4,GIPC1</t>
  </si>
  <si>
    <t>Q9NZN5, Q9UM54, Q9P0V3, O14908</t>
  </si>
  <si>
    <t>CPX-7725</t>
  </si>
  <si>
    <t>dedicator of cytokinesis protein 7</t>
  </si>
  <si>
    <t>MYO6,LRCH3,DOCK7</t>
  </si>
  <si>
    <t>Q9UM54, Q96II8, Q96N67</t>
  </si>
  <si>
    <t>CPX-7728</t>
  </si>
  <si>
    <t>TFDP1,E2F3,RB1</t>
  </si>
  <si>
    <t>Q14186, O00716, P06400</t>
  </si>
  <si>
    <t>CPX-7764</t>
  </si>
  <si>
    <t>splicing factor, proline- and glutamine-rich (100 kda dna-pairing protein) (hpomp100) (dna-binding p52/p100 complex, 100 kda subunit) (polypyrimidine tract-binding protein-associated-splicing factor) (psf) (ptb-associated-splicing factor)</t>
  </si>
  <si>
    <t>PSPC1,SFPQ</t>
  </si>
  <si>
    <t>Q8WXF1, P23246</t>
  </si>
  <si>
    <t>CPX-7765</t>
  </si>
  <si>
    <t>NONO,SFPQ</t>
  </si>
  <si>
    <t>Q15233, P23246</t>
  </si>
  <si>
    <t>CPX-7781</t>
  </si>
  <si>
    <t>NONO</t>
  </si>
  <si>
    <t>Q15233</t>
  </si>
  <si>
    <t>CPX-7782</t>
  </si>
  <si>
    <t>SFPQ</t>
  </si>
  <si>
    <t>P23246</t>
  </si>
  <si>
    <t>CPX-7803</t>
  </si>
  <si>
    <t>coatomer subunit alpha (alpha-coat protein) (alpha-cop) (hep-cop) (hepcop) [cleaved into: xenin (xenopsin-related peptide); proxenin]</t>
  </si>
  <si>
    <t>ARCN1,COPA,COPB2,COPZ1,COPG1,COPE,COPB1</t>
  </si>
  <si>
    <t>P48444, P53621, P35606, P61923, Q9Y678, O14579, P53618</t>
  </si>
  <si>
    <t>CPX-7842</t>
  </si>
  <si>
    <t>vacuolar protein sorting-associated protein 35 (hvps35) (maternal-embryonic 3) (vesicle protein sorting 35)</t>
  </si>
  <si>
    <t>VPS26A,VPS35,VPS29</t>
  </si>
  <si>
    <t>O75436, Q96QK1, Q9UBQ0</t>
  </si>
  <si>
    <t>CPX-7843</t>
  </si>
  <si>
    <t>VPS26B,VPS35,VPS29</t>
  </si>
  <si>
    <t>Q4G0F5, Q96QK1, Q9UBQ0</t>
  </si>
  <si>
    <t>CPX-7844</t>
  </si>
  <si>
    <t>glycine receptor subunit alpha-2</t>
  </si>
  <si>
    <t>GLRA2,GLRB</t>
  </si>
  <si>
    <t>P23416, P48167</t>
  </si>
  <si>
    <t>CPX-7849</t>
  </si>
  <si>
    <t>2-(3-amino-3-carboxypropyl)histidine synthase subunit 1 (ec 2.5.1.108) (diphthamide biosynthesis protein 1) (diphtheria toxin resistance protein 1) (ovarian cancer-associated gene 1 protein) (s-adenosyl-l-methionine:l-histidine 3-amino-3-carboxypropyltransferase 1)</t>
  </si>
  <si>
    <t>DPH1,DPH2</t>
  </si>
  <si>
    <t>Q9BZG8, Q9BQC3</t>
  </si>
  <si>
    <t>CPX-7861</t>
  </si>
  <si>
    <t>at-rich interactive domain-containing protein 5b (arid domain-containing protein 5b) (mrf1-like protein) (modulator recognition factor 2) (mrf-2)</t>
  </si>
  <si>
    <t>PHF2,ARID5B</t>
  </si>
  <si>
    <t>O75151, Q14865</t>
  </si>
  <si>
    <t>CPX-7901</t>
  </si>
  <si>
    <t>ARMC8,RANBP9,GID8,MKLN1,MAEA,YPEL5,GID4,RMND5B,WDR26</t>
  </si>
  <si>
    <t>Q8IUR7, Q96S59, Q9NWU2, Q9UL63, Q7L5Y9, P62699, Q8IVV7, Q96G75, Q9H7D7</t>
  </si>
  <si>
    <t>CPX-7902</t>
  </si>
  <si>
    <t>ARMC8,RANBP10,GID8,MKLN1,MAEA,YPEL5,GID4,RMND5A,WDR26</t>
  </si>
  <si>
    <t>Q8IUR7, Q6VN20, Q9NWU2, Q9UL63, Q7L5Y9, P62699, Q8IVV7, Q9H871, Q9H7D7</t>
  </si>
  <si>
    <t>CPX-7903</t>
  </si>
  <si>
    <t>ARMC8,RANBP10,GID8,MKLN1,MAEA,YPEL5,GID4,RMND5B,WDR26</t>
  </si>
  <si>
    <t>Q8IUR7, Q6VN20, Q9NWU2, Q9UL63, Q7L5Y9, P62699, Q8IVV7, Q96G75, Q9H7D7</t>
  </si>
  <si>
    <t>CPX-7931</t>
  </si>
  <si>
    <t>replication factor c subunit 2 (activator 1 40 kda subunit) (a1 40 kda subunit) (activator 1 subunit 2) (replication factor c 40 kda subunit) (rf-c 40 kda subunit) (rfc40)</t>
  </si>
  <si>
    <t>RFC4,RFC2,RAD17,RFC5,RFC3</t>
  </si>
  <si>
    <t>P35249, P35250, O75943, P40937, P40938</t>
  </si>
  <si>
    <t>CPX-7969</t>
  </si>
  <si>
    <t>ARCN1,COPA,COPB2,COPZ1,COPG2,COPE,COPB1</t>
  </si>
  <si>
    <t>P48444, P53621, P35606, P61923, Q9UBF2, O14579, P53618</t>
  </si>
  <si>
    <t>CPX-7970</t>
  </si>
  <si>
    <t>ARCN1,COPA,COPB2,COPZ2,COPG1,COPE,COPB1</t>
  </si>
  <si>
    <t>P48444, P53621, P35606, Q9P299, Q9Y678, O14579, P53618</t>
  </si>
  <si>
    <t>CPX-7978</t>
  </si>
  <si>
    <t>TAF1D,TAF1A,TAF1C,TAF1B,TBP</t>
  </si>
  <si>
    <t>Q9H5J8, Q15573, Q15572, Q53T94, P20226</t>
  </si>
  <si>
    <t>CPX-8001</t>
  </si>
  <si>
    <t>multiple coagulation factor deficiency protein 2 (neural stem cell-derived neuronal survival protein)</t>
  </si>
  <si>
    <t>MCFD2,LMAN1</t>
  </si>
  <si>
    <t>Q8NI22, P49257</t>
  </si>
  <si>
    <t>CPX-8021</t>
  </si>
  <si>
    <t>bos complex subunit tmem147 (protein nifie 14) (transmembrane protein 147)</t>
  </si>
  <si>
    <t>TMEM147,NOMO1,NCLN</t>
  </si>
  <si>
    <t>Q9BVK8, Q15155, Q969V3</t>
  </si>
  <si>
    <t>CPX-8022</t>
  </si>
  <si>
    <t>TMEM147,NOMO2,NCLN</t>
  </si>
  <si>
    <t>Q9BVK8, Q5JPE7, Q969V3</t>
  </si>
  <si>
    <t>CPX-8023</t>
  </si>
  <si>
    <t>TMEM147,NOMO3,NCLN</t>
  </si>
  <si>
    <t>Q9BVK8, P69849, Q969V3</t>
  </si>
  <si>
    <t>CPX-8024</t>
  </si>
  <si>
    <t>translocon-associated protein subunit delta (trap-delta) (signal sequence receptor subunit delta) (ssr-delta)</t>
  </si>
  <si>
    <t>SSR1,SSR4,SSR3,SSR2</t>
  </si>
  <si>
    <t>P43307, P51571, Q9UNL2, P43308</t>
  </si>
  <si>
    <t>CPX-8070</t>
  </si>
  <si>
    <t>nipped-b-like protein (delangin) (scc2 homolog)</t>
  </si>
  <si>
    <t>MAU2,NIPBL</t>
  </si>
  <si>
    <t>Q9Y6X3, Q6KC79</t>
  </si>
  <si>
    <t>CPX-8073</t>
  </si>
  <si>
    <t>protein transport protein sec61 subunit alpha isoform 1 (sec61 alpha-1)</t>
  </si>
  <si>
    <t>SEC61A1,SEC61B,SEC61G</t>
  </si>
  <si>
    <t>P61619, P60468, P60059</t>
  </si>
  <si>
    <t>CPX-8086</t>
  </si>
  <si>
    <t>dynein regulatory complex protein 1 (coiled-coil domain-containing protein 164)</t>
  </si>
  <si>
    <t>DRC1,CCDC65,DRC3,GAS8,TCTE1,FBXL13,DRC7,EFCAB2,IQCG,IQCD,IQCA1</t>
  </si>
  <si>
    <t>Q96MC2, Q8IXS2, Q9H069, O95995, Q5JU00, Q8NEE6, Q8IY82, Q5VUJ9, Q9H095, Q96DY2, Q86XH1</t>
  </si>
  <si>
    <t>CPX-8095</t>
  </si>
  <si>
    <t>FAF1,VCP</t>
  </si>
  <si>
    <t>Q9UNN5, P55072</t>
  </si>
  <si>
    <t>CPX-8096</t>
  </si>
  <si>
    <t>VCP,UFD1,NPLOC4,FAF1</t>
  </si>
  <si>
    <t>P55072, Q92890, Q8TAT6, Q9UNN5</t>
  </si>
  <si>
    <t>CPX-8101</t>
  </si>
  <si>
    <t>NPLOC4,UFD1,VCP,UBXN7</t>
  </si>
  <si>
    <t>Q8TAT6, Q92890, P55072, O94888</t>
  </si>
  <si>
    <t>CPX-8104</t>
  </si>
  <si>
    <t>VCP,UFD1,NPLOC4,FAF2</t>
  </si>
  <si>
    <t>P55072, Q92890, Q8TAT6, Q96CS3</t>
  </si>
  <si>
    <t>CPX-8105</t>
  </si>
  <si>
    <t>NPLOC4,UFD1,VCP,UBXN1</t>
  </si>
  <si>
    <t>Q8TAT6, Q92890, P55072, Q04323</t>
  </si>
  <si>
    <t>CPX-8121</t>
  </si>
  <si>
    <t>UBXN2B,VCP</t>
  </si>
  <si>
    <t>Q14CS0, P55072</t>
  </si>
  <si>
    <t>CPX-8124</t>
  </si>
  <si>
    <t>UBXN2A,VCP</t>
  </si>
  <si>
    <t>P68543, P55072</t>
  </si>
  <si>
    <t>CPX-8128</t>
  </si>
  <si>
    <t>myoblast determination protein 1 (class c basic helix-loop-helix protein 1) (bhlhc1) (myogenic factor 3) (myf-3)</t>
  </si>
  <si>
    <t>MYOD1,VCP</t>
  </si>
  <si>
    <t>P15172, P55072</t>
  </si>
  <si>
    <t>CPX-8129</t>
  </si>
  <si>
    <t>phospholipase a-2-activating protein (pla2p) (plap)</t>
  </si>
  <si>
    <t>VCP,PLAA</t>
  </si>
  <si>
    <t>P55072, Q9Y263</t>
  </si>
  <si>
    <t>CPX-8132</t>
  </si>
  <si>
    <t>VCPIP1,VCP</t>
  </si>
  <si>
    <t>Q96JH7, P55072</t>
  </si>
  <si>
    <t>CPX-8133</t>
  </si>
  <si>
    <t>UBXN6,VCP</t>
  </si>
  <si>
    <t>Q9BZV1, P55072</t>
  </si>
  <si>
    <t>CPX-8134</t>
  </si>
  <si>
    <t>AMFR,VCP</t>
  </si>
  <si>
    <t>Q9UKV5, P55072</t>
  </si>
  <si>
    <t>CPX-8163</t>
  </si>
  <si>
    <t>dnaj homolog subfamily b member 13 (testis and spermatogenesis cell-related protein 6) (testis spermatocyte apoptosis-related gene 6 protein) (testis spermatogenesis apoptosis-related gene 3 protein) (testis spermatogenesis apoptosis-related gene 6 protein)</t>
  </si>
  <si>
    <t>RSPH1,RSPH3,RSPH4A,RSPH9,CYB5D1,DYNLL2,DYDC1,NME5,CFAP206,ROPN1L,DNAJB13,RSPH14</t>
  </si>
  <si>
    <t>Q8WYR4, Q86UC2, Q5TD94, Q9H1X1, Q6P9G0, Q96FJ2, Q8WWB3, P56597, Q8IYR0, Q96C74, P59910, Q9UHP6</t>
  </si>
  <si>
    <t>CPX-8164</t>
  </si>
  <si>
    <t>DNAJB13,RSPH1,RSPH3,RSPH6A,RSPH9,CYB5D1,DYNLL2,DYDC1,NME5,CFAP206,ROPN1L,RSPH14,IQUB</t>
  </si>
  <si>
    <t>P59910, Q8WYR4, Q86UC2, Q9H0K4, Q9H1X1, Q6P9G0, Q96FJ2, Q8WWB3, P56597, Q8IYR0, Q96C74, Q9UHP6, Q8NA54</t>
  </si>
  <si>
    <t>CPX-8169</t>
  </si>
  <si>
    <t>protein transport protein sec61 subunit beta</t>
  </si>
  <si>
    <t>SEC61A2,SEC61B,SEC61G</t>
  </si>
  <si>
    <t>Q9H9S3, P60468, P60059</t>
  </si>
  <si>
    <t>CPX-8173</t>
  </si>
  <si>
    <t>proteasome assembly chaperone 2 (pac-2) (hepatocellular carcinoma-susceptibility protein 3) (tumor necrosis factor superfamily member 5-induced protein 1)</t>
  </si>
  <si>
    <t>PSMG1,PSMG2</t>
  </si>
  <si>
    <t>O95456, Q969U7</t>
  </si>
  <si>
    <t>CPX-8175</t>
  </si>
  <si>
    <t>SLX4,SLX1A</t>
  </si>
  <si>
    <t>Q8IY92, Q9BQ83</t>
  </si>
  <si>
    <t>CPX-8182</t>
  </si>
  <si>
    <t>dual oxidase 2 (ec 1.11.1.-) (ec 1.6.3.1) (large nox 2) (long nox 2) (nadh/nadph thyroid oxidase p138-tox) (nadph oxidase/peroxidase duox2) (nadph thyroid oxidase 2) (thyroid oxidase 2) (p138 thyroid oxidase)</t>
  </si>
  <si>
    <t>DUOX2,DUOXA2</t>
  </si>
  <si>
    <t>Q9NRD8, Q1HG44</t>
  </si>
  <si>
    <t>CPX-8184</t>
  </si>
  <si>
    <t>amino acid transporter heavy chain slc3a1 (d2h) (neutral and basic amino acid transport protein) (nbat) (solute carrier family 3 member 1) (b(0,+)-type amino acid transporter-related heavy chain) (rbat)</t>
  </si>
  <si>
    <t>SLC7A9,SLC3A1</t>
  </si>
  <si>
    <t>P82251, Q07837</t>
  </si>
  <si>
    <t>CPX-8187</t>
  </si>
  <si>
    <t>y+l amino acid transporter 1 (monocyte amino acid permease 2) (mop-2) (solute carrier family 7 member 7) (y(+)l-type amino acid transporter 1) (y+lat1) (y+lat-1)</t>
  </si>
  <si>
    <t>SLC7A7,SLC3A2</t>
  </si>
  <si>
    <t>Q9UM01, P08195</t>
  </si>
  <si>
    <t>CPX-8191</t>
  </si>
  <si>
    <t>CLTRN,SLC6A19</t>
  </si>
  <si>
    <t>Q9HBJ8, Q695T7</t>
  </si>
  <si>
    <t>CPX-8192</t>
  </si>
  <si>
    <t>ACE2,SLC6A19</t>
  </si>
  <si>
    <t>Q9BYF1, Q695T7</t>
  </si>
  <si>
    <t>CPX-8304</t>
  </si>
  <si>
    <t>ddrgk domain-containing protein 1 (dashurin) (ufm1-binding and pci domain-containing protein 1)</t>
  </si>
  <si>
    <t>DDRGK1,UFL1,CDK5RAP3</t>
  </si>
  <si>
    <t>Q96HY6, O94874, Q96JB5</t>
  </si>
  <si>
    <t>CPX-8305</t>
  </si>
  <si>
    <t>fragile x messenger ribonucleoprotein 1 (fragile x messenger ribonucleoprotein) (fmrp) (protein fmr-1)</t>
  </si>
  <si>
    <t>FMR1</t>
  </si>
  <si>
    <t>Q06787</t>
  </si>
  <si>
    <t>CPX-8306</t>
  </si>
  <si>
    <t>FXR1,FMR1</t>
  </si>
  <si>
    <t>P51114, Q06787</t>
  </si>
  <si>
    <t>CPX-8307</t>
  </si>
  <si>
    <t>exostosin-1 (ec 2.4.1.225) (exostosin glycosyltransferase 1) (heparan sulfate co-polymerase subunit ext1) (multiple exostoses protein 1) (n-acetylglucosaminyl-proteoglycan 4-beta-glucuronosyltransferase)</t>
  </si>
  <si>
    <t>EXT1,EXT2</t>
  </si>
  <si>
    <t>Q16394, Q93063</t>
  </si>
  <si>
    <t>CPX-8322</t>
  </si>
  <si>
    <t>FXR2,FMR1</t>
  </si>
  <si>
    <t>P51116, Q06787</t>
  </si>
  <si>
    <t>CPX-8323</t>
  </si>
  <si>
    <t>rna-binding protein fxr1 (fmr1 autosomal homolog 1) (hfxr1p)</t>
  </si>
  <si>
    <t>FXR1</t>
  </si>
  <si>
    <t>P51114</t>
  </si>
  <si>
    <t>CPX-8342</t>
  </si>
  <si>
    <t>FXR2,FXR1</t>
  </si>
  <si>
    <t>P51116, P51114</t>
  </si>
  <si>
    <t>CPX-8343</t>
  </si>
  <si>
    <t>translation initiation factor eif2b subunit alpha (eif2b gdp-gtp exchange factor subunit alpha)</t>
  </si>
  <si>
    <t>EIF2B1,EIF2B2,EIF2B3,EIF2B4,EIF2B5</t>
  </si>
  <si>
    <t>Q14232, P49770, Q9NR50, Q9UI10, Q13144</t>
  </si>
  <si>
    <t>CPX-8406</t>
  </si>
  <si>
    <t>proton-coupled zinc antiporter slc30a2 (solute carrier family 30 member 2) (zinc transporter 2) (znt-2)</t>
  </si>
  <si>
    <t>SLC30A2</t>
  </si>
  <si>
    <t>Q9BRI3</t>
  </si>
  <si>
    <t>CPX-8407</t>
  </si>
  <si>
    <t>SLC30A1,SLC30A2</t>
  </si>
  <si>
    <t>Q9Y6M5, Q9BRI3</t>
  </si>
  <si>
    <t>CPX-8422</t>
  </si>
  <si>
    <t>hyaluronan synthase 2 (ec 2.4.1.212) (hyaluronate synthase 2) (hyaluronic acid synthase 2) (ha synthase 2)</t>
  </si>
  <si>
    <t>HAS2,HAS1</t>
  </si>
  <si>
    <t>Q92819, Q92839</t>
  </si>
  <si>
    <t>CPX-8424</t>
  </si>
  <si>
    <t>HAS2,HAS3</t>
  </si>
  <si>
    <t>Q92819, O00219</t>
  </si>
  <si>
    <t>CPX-8428</t>
  </si>
  <si>
    <t>SLC30A3,SLC30A2</t>
  </si>
  <si>
    <t>Q99726, Q9BRI3</t>
  </si>
  <si>
    <t>CPX-8432</t>
  </si>
  <si>
    <t>g protein-coupled receptor 88 (striatum-specific g-protein coupled receptor)</t>
  </si>
  <si>
    <t>GNAI1,GPR88,GNB1,GNGT1</t>
  </si>
  <si>
    <t>P63096, Q9GZN0, P62873, P63211</t>
  </si>
  <si>
    <t>CPX-8442</t>
  </si>
  <si>
    <t>SLC30A2,SLC30A4</t>
  </si>
  <si>
    <t>Q9BRI3, O14863</t>
  </si>
  <si>
    <t>CPX-8462</t>
  </si>
  <si>
    <t>calcium/manganese antiporter slc30a10 (solute carrier family 30 member 10) (zinc transporter 10) (znt-10)</t>
  </si>
  <si>
    <t>SLC30A10</t>
  </si>
  <si>
    <t>Q6XR72</t>
  </si>
  <si>
    <t>CPX-8463</t>
  </si>
  <si>
    <t>SLC30A2,SLC30A10</t>
  </si>
  <si>
    <t>Q9BRI3, Q6XR72</t>
  </si>
  <si>
    <t>CPX-8464</t>
  </si>
  <si>
    <t>SLC30A3,SLC30A10</t>
  </si>
  <si>
    <t>Q99726, Q6XR72</t>
  </si>
  <si>
    <t>CPX-8465</t>
  </si>
  <si>
    <t>SLC30A4,SLC30A10</t>
  </si>
  <si>
    <t>O14863, Q6XR72</t>
  </si>
  <si>
    <t>CPX-8467</t>
  </si>
  <si>
    <t>HAS2</t>
  </si>
  <si>
    <t>Q92819</t>
  </si>
  <si>
    <t>CPX-8468</t>
  </si>
  <si>
    <t>glutamate receptor ionotropic, kainate 2 (gluk2) (excitatory amino acid receptor 4) (eaa4) (glutamate receptor 6) (glur-6) (glur6)</t>
  </si>
  <si>
    <t>GRIK2</t>
  </si>
  <si>
    <t>Q13002</t>
  </si>
  <si>
    <t>CPX-8503</t>
  </si>
  <si>
    <t>GRIK5,GRIK2</t>
  </si>
  <si>
    <t>Q16478, Q13002</t>
  </si>
  <si>
    <t>CPX-8525</t>
  </si>
  <si>
    <t>GRIK5,GRIK2,GRIK1</t>
  </si>
  <si>
    <t>Q16478, Q13002, P39086</t>
  </si>
  <si>
    <t>CPX-8545</t>
  </si>
  <si>
    <t>GRIK2,GRIK1</t>
  </si>
  <si>
    <t>Q13002, P39086</t>
  </si>
  <si>
    <t>CPX-8553</t>
  </si>
  <si>
    <t>GRIK3,GRIK2</t>
  </si>
  <si>
    <t>Q13003, Q13002</t>
  </si>
  <si>
    <t>CPX-8556</t>
  </si>
  <si>
    <t>GRIK5,GRIK2,GRIK3,GRIK1</t>
  </si>
  <si>
    <t>Q16478, Q13002, Q13003, P39086</t>
  </si>
  <si>
    <t>CPX-8570</t>
  </si>
  <si>
    <t>DERL1,VCP</t>
  </si>
  <si>
    <t>Q9BUN8, P55072</t>
  </si>
  <si>
    <t>CPX-8572</t>
  </si>
  <si>
    <t>ITGA3,ITGB3</t>
  </si>
  <si>
    <t>P26006, P05106</t>
  </si>
  <si>
    <t>CPX-8601</t>
  </si>
  <si>
    <t>PPP2CA,PPP2R1A,STRN3,STRIP2,MOB4</t>
  </si>
  <si>
    <t>P67775, P30153, Q13033, Q9ULQ0, Q9Y3A3</t>
  </si>
  <si>
    <t>CPX-8604</t>
  </si>
  <si>
    <t>PPP2CA,PPP2R1A,STRN,STRIP1,MOB4</t>
  </si>
  <si>
    <t>P67775, P30153, O43815, Q5VSL9, Q9Y3A3</t>
  </si>
  <si>
    <t>CPX-8605</t>
  </si>
  <si>
    <t>PPP2CA,PPP2R1A,STRN,STRIP2,MOB4</t>
  </si>
  <si>
    <t>P67775, P30153, O43815, Q9ULQ0, Q9Y3A3</t>
  </si>
  <si>
    <t>CPX-8606</t>
  </si>
  <si>
    <t>PPP2CA,PPP2R1A,STRN4,STRIP1,MOB4</t>
  </si>
  <si>
    <t>P67775, P30153, Q9NRL3, Q5VSL9, Q9Y3A3</t>
  </si>
  <si>
    <t>CPX-8607</t>
  </si>
  <si>
    <t>PPP2CA,PPP2R1A,STRN4,STRIP2,MOB4</t>
  </si>
  <si>
    <t>P67775, P30153, Q9NRL3, Q9ULQ0, Q9Y3A3</t>
  </si>
  <si>
    <t>CPX-8623</t>
  </si>
  <si>
    <t>protein argonaute-2 (argonaute2) (hago2) (ec 3.1.26.n2) (argonaute risc catalytic component 2) (eukaryotic translation initiation factor 2c 2) (eif-2c 2) (eif2c 2) (paz piwi domain protein) (ppd) (protein slicer)</t>
  </si>
  <si>
    <t>TNRC6A,AGO1,AGO3,AGO2,AGO4</t>
  </si>
  <si>
    <t>Q8NDV7, Q9UL18, Q9H9G7, Q9UKV8, Q9HCK5</t>
  </si>
  <si>
    <t>CPX-8624</t>
  </si>
  <si>
    <t>TNRC6B,AGO1,AGO3,AGO2,AGO4</t>
  </si>
  <si>
    <t>Q9UPQ9, Q9UL18, Q9H9G7, Q9UKV8, Q9HCK5</t>
  </si>
  <si>
    <t>CPX-8625</t>
  </si>
  <si>
    <t>TNRC6C,AGO1,AGO3,AGO2,AGO4</t>
  </si>
  <si>
    <t>Q9HCJ0-1, Q9UL18, Q9H9G7, Q9UKV8, Q9HCK5</t>
  </si>
  <si>
    <t>CPX-8630</t>
  </si>
  <si>
    <t>GRIK2,GRIK4</t>
  </si>
  <si>
    <t>Q13002, Q16099</t>
  </si>
  <si>
    <t>CPX-8632</t>
  </si>
  <si>
    <t>GRIK2,GRIK1,GRIK4</t>
  </si>
  <si>
    <t>Q13002, P39086, Q16099</t>
  </si>
  <si>
    <t>CPX-8634</t>
  </si>
  <si>
    <t>GRIK2,GRIK3,GRIK1,GRIK4</t>
  </si>
  <si>
    <t>Q13002, Q13003, P39086, Q16099</t>
  </si>
  <si>
    <t>sodium channel protein type 1 subunit alpha (sodium channel protein brain i subunit alpha) (sodium channel protein type i subunit alpha) (voltage-gated sodium channel subunit alpha nav1.1)</t>
  </si>
  <si>
    <t>SCN1B,SCN2B,SCN1A</t>
  </si>
  <si>
    <t>Q07699, O60939, P35498</t>
  </si>
  <si>
    <t>SCN3B,SCN2B,SCN1A</t>
  </si>
  <si>
    <t>Q9NY72, O60939, P35498</t>
  </si>
  <si>
    <t>SCN1B,SCN4B,SCN1A</t>
  </si>
  <si>
    <t>Q07699, Q8IWT1, P35498</t>
  </si>
  <si>
    <t>SCN3B,SCN4B,SCN1A</t>
  </si>
  <si>
    <t>Q9NY72, Q8IWT1, P35498</t>
  </si>
  <si>
    <t>CPX-8661</t>
  </si>
  <si>
    <t>sodium channel protein type 3 subunit alpha (sodium channel protein brain iii subunit alpha) (sodium channel protein type iii subunit alpha) (voltage-gated sodium channel subtype iii) (voltage-gated sodium channel subunit alpha nav1.3)</t>
  </si>
  <si>
    <t>SCN1B,SCN2B,SCN3A</t>
  </si>
  <si>
    <t>Q07699, O60939, Q9NY46</t>
  </si>
  <si>
    <t>CPX-8662</t>
  </si>
  <si>
    <t>SCN3A,SCN3B,SCN2B</t>
  </si>
  <si>
    <t>Q9NY46, Q9NY72, O60939</t>
  </si>
  <si>
    <t>CPX-8663</t>
  </si>
  <si>
    <t>SCN3A,SCN3B,SCN4B</t>
  </si>
  <si>
    <t>Q9NY46, Q9NY72, Q8IWT1</t>
  </si>
  <si>
    <t>CPX-8664</t>
  </si>
  <si>
    <t>SCN3A,SCN1B,SCN4B</t>
  </si>
  <si>
    <t>Q9NY46, Q07699, Q8IWT1</t>
  </si>
  <si>
    <t>CPX-8665</t>
  </si>
  <si>
    <t>sodium channel protein type 4 subunit alpha (skm1) (sodium channel protein skeletal muscle subunit alpha) (sodium channel protein type iv subunit alpha) (voltage-gated sodium channel subunit alpha nav1.4)</t>
  </si>
  <si>
    <t>SCN4A,SCN1B,SCN2B</t>
  </si>
  <si>
    <t>P35499, Q07699, O60939</t>
  </si>
  <si>
    <t>CPX-8666</t>
  </si>
  <si>
    <t>SCN4A,SCN1B,SCN4B</t>
  </si>
  <si>
    <t>P35499, Q07699, Q8IWT1</t>
  </si>
  <si>
    <t>CPX-8667</t>
  </si>
  <si>
    <t>SCN4A,SCN3B,SCN2B</t>
  </si>
  <si>
    <t>P35499, Q9NY72, O60939</t>
  </si>
  <si>
    <t>CPX-8668</t>
  </si>
  <si>
    <t>SCN4A,SCN3B,SCN4B</t>
  </si>
  <si>
    <t>P35499, Q9NY72, Q8IWT1</t>
  </si>
  <si>
    <t>CPX-8673</t>
  </si>
  <si>
    <t>sodium channel protein type 8 subunit alpha (sodium channel protein type viii subunit alpha) (voltage-gated sodium channel subunit alpha nav1.6)</t>
  </si>
  <si>
    <t>SCN1B,SCN2B,SCN8A</t>
  </si>
  <si>
    <t>Q07699, O60939, Q9UQD0</t>
  </si>
  <si>
    <t>SCN1B,SCN4B,SCN8A</t>
  </si>
  <si>
    <t>Q07699, Q8IWT1, Q9UQD0</t>
  </si>
  <si>
    <t>CPX-8675</t>
  </si>
  <si>
    <t>SCN3B,SCN4B,SCN8A</t>
  </si>
  <si>
    <t>Q9NY72, Q8IWT1, Q9UQD0</t>
  </si>
  <si>
    <t>CPX-8676</t>
  </si>
  <si>
    <t>SCN3B,SCN2B,SCN8A</t>
  </si>
  <si>
    <t>Q9NY72, O60939, Q9UQD0</t>
  </si>
  <si>
    <t>CPX-8677</t>
  </si>
  <si>
    <t>sodium channel protein type 9 subunit alpha (neuroendocrine sodium channel) (hne-na) (peripheral sodium channel 1) (pn1) (sodium channel protein type ix subunit alpha) (voltage-gated sodium channel subunit alpha nav1.7)</t>
  </si>
  <si>
    <t>SCN1B,SCN2B,SCN9A</t>
  </si>
  <si>
    <t>Q07699, O60939, Q15858</t>
  </si>
  <si>
    <t>CPX-8678</t>
  </si>
  <si>
    <t>SCN1B,SCN4B,SCN9A</t>
  </si>
  <si>
    <t>Q07699, Q8IWT1, Q15858</t>
  </si>
  <si>
    <t>CPX-8679</t>
  </si>
  <si>
    <t>SCN3B,SCN4B,SCN9A</t>
  </si>
  <si>
    <t>Q9NY72, Q8IWT1, Q15858</t>
  </si>
  <si>
    <t>CPX-8680</t>
  </si>
  <si>
    <t>SCN3B,SCN2B,SCN9A</t>
  </si>
  <si>
    <t>Q9NY72, O60939, Q15858</t>
  </si>
  <si>
    <t>CPX-8681</t>
  </si>
  <si>
    <t>sodium channel protein type 10 subunit alpha (peripheral nerve sodium channel 3) (pn3) (hpn3) (sodium channel protein type x subunit alpha) (voltage-gated sodium channel subunit alpha nav1.8)</t>
  </si>
  <si>
    <t>SCN1B,SCN2B,SCN10A</t>
  </si>
  <si>
    <t>Q07699, O60939, Q9Y5Y9</t>
  </si>
  <si>
    <t>CPX-8682</t>
  </si>
  <si>
    <t>SCN1B,SCN4B,SCN10A</t>
  </si>
  <si>
    <t>Q07699, Q8IWT1, Q9Y5Y9</t>
  </si>
  <si>
    <t>CPX-8683</t>
  </si>
  <si>
    <t>SCN3B,SCN4B,SCN10A</t>
  </si>
  <si>
    <t>Q9NY72, Q8IWT1, Q9Y5Y9</t>
  </si>
  <si>
    <t>CPX-8684</t>
  </si>
  <si>
    <t>SCN3B,SCN2B,SCN10A</t>
  </si>
  <si>
    <t>Q9NY72, O60939, Q9Y5Y9</t>
  </si>
  <si>
    <t>CPX-8685</t>
  </si>
  <si>
    <t>sodium channel protein type 11 subunit alpha (peripheral nerve sodium channel 5) (pn5) (sensory neuron sodium channel 2) (sodium channel protein type xi subunit alpha) (voltage-gated sodium channel subunit alpha nav1.9) (hnan)</t>
  </si>
  <si>
    <t>SCN1B,SCN2B,SCN11A</t>
  </si>
  <si>
    <t>Q07699, O60939, Q9UI33</t>
  </si>
  <si>
    <t>CPX-8686</t>
  </si>
  <si>
    <t>SCN1B,SCN4B,SCN11A</t>
  </si>
  <si>
    <t>Q07699, Q8IWT1, Q9UI33</t>
  </si>
  <si>
    <t>CPX-8687</t>
  </si>
  <si>
    <t>SCN3B,SCN4B,SCN11A</t>
  </si>
  <si>
    <t>Q9NY72, Q8IWT1, Q9UI33</t>
  </si>
  <si>
    <t>CPX-8690</t>
  </si>
  <si>
    <t>SCN3B,SCN2B,SCN11A</t>
  </si>
  <si>
    <t>Q9NY72, O60939, Q9UI33</t>
  </si>
  <si>
    <t>CPX-8691</t>
  </si>
  <si>
    <t>sodium channel regulatory subunit beta-3</t>
  </si>
  <si>
    <t>SCN3B,SCN2B,SCN7A</t>
  </si>
  <si>
    <t>Q9NY72, O60939, Q01118</t>
  </si>
  <si>
    <t>CPX-8692</t>
  </si>
  <si>
    <t>SCN3B,SCN4B,SCN7A</t>
  </si>
  <si>
    <t>Q9NY72, Q8IWT1, Q01118</t>
  </si>
  <si>
    <t>CPX-8693</t>
  </si>
  <si>
    <t>sodium channel subunit beta-1</t>
  </si>
  <si>
    <t>SCN1B,SCN4B,SCN7A</t>
  </si>
  <si>
    <t>Q07699, Q8IWT1, Q01118</t>
  </si>
  <si>
    <t>CPX-8694</t>
  </si>
  <si>
    <t>SCN1B,SCN2B,SCN7A</t>
  </si>
  <si>
    <t>Q07699, O60939, Q01118</t>
  </si>
  <si>
    <t>CPX-8699</t>
  </si>
  <si>
    <t>CACNB2,CACNA1S,CACNG1,P54289-PRO_0000005002,P54289-PRO_0000005001</t>
  </si>
  <si>
    <t>Q08289, Q13698, Q06432, P54289, P54289</t>
  </si>
  <si>
    <t>CPX-8725</t>
  </si>
  <si>
    <t>CACNB3,CACNA1S,CACNG1,P54289-PRO_0000005002,P54289-PRO_0000005001</t>
  </si>
  <si>
    <t>P54284, Q13698, Q06432, P54289, P54289</t>
  </si>
  <si>
    <t>CPX-8726</t>
  </si>
  <si>
    <t>CACNB4,CACNA1S,CACNG1,P54289-PRO_0000005002,P54289-PRO_0000005001</t>
  </si>
  <si>
    <t>O00305, Q13698, Q06432, P54289, P54289</t>
  </si>
  <si>
    <t>CPX-8738</t>
  </si>
  <si>
    <t>STT3B,OST4,DAD1,RPN1,RPN2,DDOST,TUSC3,TMEM258</t>
  </si>
  <si>
    <t>Q8TCJ2, P0C6T2, P61803, P04843, P04844, P39656, Q13454, P61165</t>
  </si>
  <si>
    <t>CPX-8740</t>
  </si>
  <si>
    <t>voltage-dependent calcium channel subunit alpha-2/delta-2 (voltage-gated calcium channel subunit alpha-2/delta-2) [cleaved into: voltage-dependent calcium channel subunit alpha-2-2; voltage-dependent calcium channel subunit delta-2]</t>
  </si>
  <si>
    <t>CACNA1S,CACNG1,CACNB1,Q9NY47-PRO_0000304637,Q9NY47-PRO_0000304639</t>
  </si>
  <si>
    <t>Q13698, Q06432, Q02641, Q9NY47, Q9NY47</t>
  </si>
  <si>
    <t>CPX-8741</t>
  </si>
  <si>
    <t>CACNA1S,CACNG1,CACNB2,Q9NY47-PRO_0000304637,Q9NY47-PRO_0000304639</t>
  </si>
  <si>
    <t>Q13698, Q06432, Q08289, Q9NY47, Q9NY47</t>
  </si>
  <si>
    <t>CPX-8742</t>
  </si>
  <si>
    <t>CACNA1S,CACNG1,CACNB3,Q9NY47-PRO_0000304637,Q9NY47-PRO_0000304639</t>
  </si>
  <si>
    <t>Q13698, Q06432, P54284, Q9NY47, Q9NY47</t>
  </si>
  <si>
    <t>CPX-8743</t>
  </si>
  <si>
    <t>CACNA1S,CACNG1,CACNB4,Q9NY47-PRO_0000304637,Q9NY47-PRO_0000304639</t>
  </si>
  <si>
    <t>Q13698, Q06432, O00305, Q9NY47, Q9NY47</t>
  </si>
  <si>
    <t>CPX-8762</t>
  </si>
  <si>
    <t>CACNA1S,CACNG1,CACNB1,Q8IZS8-PRO_0000304647,Q8IZS8-PRO_0000304648</t>
  </si>
  <si>
    <t>Q13698, Q06432, Q02641, Q8IZS8, Q8IZS8</t>
  </si>
  <si>
    <t>CPX-8763</t>
  </si>
  <si>
    <t>CACNA1S,CACNG1,CACNB2,Q8IZS8-PRO_0000304647,Q8IZS8-PRO_0000304648</t>
  </si>
  <si>
    <t>Q13698, Q06432, Q08289, Q8IZS8, Q8IZS8</t>
  </si>
  <si>
    <t>CPX-8764</t>
  </si>
  <si>
    <t>CACNA1S,CACNG1,CACNB3,Q8IZS8-PRO_0000304648,Q8IZS8-PRO_0000304647</t>
  </si>
  <si>
    <t>Q13698, Q06432, P54284, Q8IZS8, Q8IZS8</t>
  </si>
  <si>
    <t>CPX-8768</t>
  </si>
  <si>
    <t>CACNA1S,CACNG1,CACNB4,Q8IZS8-PRO_0000304648,Q8IZS8-PRO_0000304647</t>
  </si>
  <si>
    <t>Q13698, Q06432, O00305, Q8IZS8, Q8IZS8</t>
  </si>
  <si>
    <t>CPX-8769</t>
  </si>
  <si>
    <t>voltage-dependent calcium channel subunit alpha-2/delta-4 (voltage-gated calcium channel subunit alpha-2/delta-4) [cleaved into: voltage-dependent calcium channel subunit alpha-2-4; voltage-dependent calcium channel subunit delta-4]</t>
  </si>
  <si>
    <t>CACNA1S,CACNG1,CACNB1,Q7Z3S7-PRO_0000304656,Q7Z3S7-PRO_0000304657</t>
  </si>
  <si>
    <t>Q13698, Q06432, Q02641, Q7Z3S7, Q7Z3S7</t>
  </si>
  <si>
    <t>CPX-8771</t>
  </si>
  <si>
    <t>CACNA1S,CACNG1,CACNB2,Q7Z3S7-PRO_0000304656,Q7Z3S7-PRO_0000304657</t>
  </si>
  <si>
    <t>Q13698, Q06432, Q08289, Q7Z3S7, Q7Z3S7</t>
  </si>
  <si>
    <t>CPX-8772</t>
  </si>
  <si>
    <t>CACNA1S,CACNG1,CACNB3,Q7Z3S7-PRO_0000304656,Q7Z3S7-PRO_0000304657</t>
  </si>
  <si>
    <t>Q13698, Q06432, P54284, Q7Z3S7, Q7Z3S7</t>
  </si>
  <si>
    <t>CPX-8773</t>
  </si>
  <si>
    <t>CACNA1S,CACNG1,CACNB4,Q7Z3S7-PRO_0000304656,Q7Z3S7-PRO_0000304657</t>
  </si>
  <si>
    <t>Q13698, Q06432, O00305, Q7Z3S7, Q7Z3S7</t>
  </si>
  <si>
    <t>CPX-8782</t>
  </si>
  <si>
    <t>DERL2,VCP</t>
  </si>
  <si>
    <t>Q9GZP9, P55072</t>
  </si>
  <si>
    <t>CPX-8783</t>
  </si>
  <si>
    <t>DERL3,VCP</t>
  </si>
  <si>
    <t>Q96Q80, P55072</t>
  </si>
  <si>
    <t>CPX-8834</t>
  </si>
  <si>
    <t>IL4,IL2RG,JAK3,IL4R,JAK1</t>
  </si>
  <si>
    <t>P05112, P31785, P52333, P24394, P23458</t>
  </si>
  <si>
    <t>CR2</t>
  </si>
  <si>
    <t>complement receptor type 2 (cr2) (complement c3d receptor) (epstein-barr virus receptor) (ebv receptor) (cd antigen cd21)</t>
  </si>
  <si>
    <t>P20023</t>
  </si>
  <si>
    <t>CRACD</t>
  </si>
  <si>
    <t>capping protein-inhibiting regulator of actin dynamics (cancer-related regulator of actin dynamics)</t>
  </si>
  <si>
    <t>Q6ZU35</t>
  </si>
  <si>
    <t>CRAT</t>
  </si>
  <si>
    <t>carnitine o-acetyltransferase (carnitine acetylase) (ec 2.3.1.137) (ec 2.3.1.7) (carnitine acetyltransferase) (cat) (crat)</t>
  </si>
  <si>
    <t>P43155</t>
  </si>
  <si>
    <t>CREB3L1</t>
  </si>
  <si>
    <t>cyclic amp-responsive element-binding protein 3-like protein 1 (camp-responsive element-binding protein 3-like protein 1) (old astrocyte specifically-induced substance) (oasis) [cleaved into: processed cyclic amp-responsive element-binding protein 3-like protein 1]</t>
  </si>
  <si>
    <t>Q96BA8</t>
  </si>
  <si>
    <t>CREB3L2</t>
  </si>
  <si>
    <t>cyclic amp-responsive element-binding protein 3-like protein 2 (camp-responsive element-binding protein 3-like protein 2) (bbf2 human homolog on chromosome 7) [cleaved into: processed cyclic amp-responsive element-binding protein 3-like protein 2]</t>
  </si>
  <si>
    <t>Q70SY1</t>
  </si>
  <si>
    <t>CREB3L3</t>
  </si>
  <si>
    <t>cyclic amp-responsive element-binding protein 3-like protein 3 (camp-responsive element-binding protein 3-like protein 3) (transcription factor creb-h) [cleaved into: processed cyclic amp-responsive element-binding protein 3-like protein 3]</t>
  </si>
  <si>
    <t>Q68CJ9</t>
  </si>
  <si>
    <t>CRELD1</t>
  </si>
  <si>
    <t>protein disulfide isomerase creld1 (ec 5.3.4.1) (cysteine-rich with egf-like domain protein 1)</t>
  </si>
  <si>
    <t>Q96HD1</t>
  </si>
  <si>
    <t>CRIPT</t>
  </si>
  <si>
    <t>cysteine-rich pdz-binding protein (cysteine-rich interactor of pdz three) (cysteine-rich interactor of pdz3)</t>
  </si>
  <si>
    <t>Q9P021</t>
  </si>
  <si>
    <t>CRLF1</t>
  </si>
  <si>
    <t>cytokine receptor-like factor 1 (cytokine-like factor 1) (clf-1) (zcytor5)</t>
  </si>
  <si>
    <t>O75462</t>
  </si>
  <si>
    <t>CRPPA</t>
  </si>
  <si>
    <t>d-ribitol-5-phosphate cytidylyltransferase (ec 2.7.7.40) (2-c-methyl-d-erythritol 4-phosphate cytidylyltransferase-like protein) (isoprenoid synthase domain-containing protein) (hispd)</t>
  </si>
  <si>
    <t>A4D126</t>
  </si>
  <si>
    <t>CRTAP</t>
  </si>
  <si>
    <t>cartilage-associated protein</t>
  </si>
  <si>
    <t>O75718</t>
  </si>
  <si>
    <t>CRTC1</t>
  </si>
  <si>
    <t>creb-regulated transcription coactivator 1 (mucoepidermoid carcinoma translocated protein 1) (transducer of regulated camp response element-binding protein 1) (torc-1) (transducer of creb protein 1)</t>
  </si>
  <si>
    <t>Q6UUV9</t>
  </si>
  <si>
    <t>cone-rod homeobox protein</t>
  </si>
  <si>
    <t>O43186</t>
  </si>
  <si>
    <t>CRYAA</t>
  </si>
  <si>
    <t>alpha-crystallin a chain (heat shock protein beta-4) (hspb4) (heat shock protein family b member 4) [cleaved into: alpha-crystallin a(1-172); alpha-crystallin a(1-168); alpha-crystallin a(1-162)]</t>
  </si>
  <si>
    <t>P02489</t>
  </si>
  <si>
    <t>CRYAB</t>
  </si>
  <si>
    <t>alpha-crystallin b chain (alpha(b)-crystallin) (heat shock protein beta-5) (hspb5) (heat shock protein family b member 5) (renal carcinoma antigen ny-ren-27) (rosenthal fiber component)</t>
  </si>
  <si>
    <t>P02511</t>
  </si>
  <si>
    <t>CRYBA1</t>
  </si>
  <si>
    <t>beta-crystallin a3 [cleaved into: beta-crystallin a3, isoform a1, delta4 form; beta-crystallin a3, isoform a1, delta7 form; beta-crystallin a3, isoform a1, delta8 form]</t>
  </si>
  <si>
    <t>P05813</t>
  </si>
  <si>
    <t>CRYBA2</t>
  </si>
  <si>
    <t>beta-crystallin a2 (beta-a2 crystallin)</t>
  </si>
  <si>
    <t>P53672</t>
  </si>
  <si>
    <t>CRYBA4</t>
  </si>
  <si>
    <t>beta-crystallin a4 (beta-a4 crystallin)</t>
  </si>
  <si>
    <t>P53673</t>
  </si>
  <si>
    <t>CRYBB1</t>
  </si>
  <si>
    <t>beta-crystallin b1 (beta-b1 crystallin)</t>
  </si>
  <si>
    <t>P53674</t>
  </si>
  <si>
    <t>CRYBB2</t>
  </si>
  <si>
    <t>beta-crystallin b2 (beta-b2 crystallin) (beta-crystallin bp)</t>
  </si>
  <si>
    <t>P43320</t>
  </si>
  <si>
    <t>CRYBB3</t>
  </si>
  <si>
    <t>beta-crystallin b3 (beta-b3 crystallin) [cleaved into: beta-crystallin b3, n-terminally processed]</t>
  </si>
  <si>
    <t>P26998</t>
  </si>
  <si>
    <t>CRYGC</t>
  </si>
  <si>
    <t>gamma-crystallin c (gamma-c-crystallin) (gamma-crystallin 2-1) (gamma-crystallin 3)</t>
  </si>
  <si>
    <t>P07315</t>
  </si>
  <si>
    <t>CRYGD</t>
  </si>
  <si>
    <t>gamma-crystallin d (gamma-d-crystallin) (gamma-crystallin 4)</t>
  </si>
  <si>
    <t>P07320</t>
  </si>
  <si>
    <t>CRYGS</t>
  </si>
  <si>
    <t>gamma-crystallin s (beta-crystallin s) (gamma-s-crystallin)</t>
  </si>
  <si>
    <t>P22914</t>
  </si>
  <si>
    <t>CRYM</t>
  </si>
  <si>
    <t>ketimine reductase mu-crystallin (ec 1.5.1.25) (nadp-regulated thyroid-hormone-binding protein)</t>
  </si>
  <si>
    <t>Q14894</t>
  </si>
  <si>
    <t>CSF1</t>
  </si>
  <si>
    <t>macrophage colony-stimulating factor 1 (csf-1) (m-csf) (mcsf) (lanimostim) (proteoglycan macrophage colony-stimulating factor) (pg-m-csf) [cleaved into: processed macrophage colony-stimulating factor 1; macrophage colony-stimulating factor 1 43 kda subunit]</t>
  </si>
  <si>
    <t>P09603</t>
  </si>
  <si>
    <t>CSGALNACT1</t>
  </si>
  <si>
    <t>chondroitin sulfate n-acetylgalactosaminyltransferase 1 (csgalnact-1) (ec 2.4.1.174) (chondroitin beta-1,4-n-acetylgalactosaminyltransferase 1) (beta4galnact-1)</t>
  </si>
  <si>
    <t>Q8TDX6</t>
  </si>
  <si>
    <t>CSNK2B</t>
  </si>
  <si>
    <t>casein kinase ii subunit beta (ck ii beta) (phosvitin) (protein g5a)</t>
  </si>
  <si>
    <t>CSNK2B,CSNK2A2</t>
  </si>
  <si>
    <t>P67870</t>
  </si>
  <si>
    <t>CSPP1</t>
  </si>
  <si>
    <t>centrosome and spindle pole-associated protein 1</t>
  </si>
  <si>
    <t>Q1MSJ5</t>
  </si>
  <si>
    <t>CSRP3</t>
  </si>
  <si>
    <t>cysteine and glycine-rich protein 3 (cardiac lim protein) (cysteine-rich protein 3) (crp3) (lim domain protein, cardiac) (muscle lim protein)</t>
  </si>
  <si>
    <t>P50461</t>
  </si>
  <si>
    <t>CST3</t>
  </si>
  <si>
    <t>cystatin-c (cystatin-3) (gamma-trace) (neuroendocrine basic polypeptide) (post-gamma-globulin)</t>
  </si>
  <si>
    <t>P01034</t>
  </si>
  <si>
    <t>CST6</t>
  </si>
  <si>
    <t>cystatin-m (cystatin-6) (cystatin-e)</t>
  </si>
  <si>
    <t>Q15828</t>
  </si>
  <si>
    <t>CSTB</t>
  </si>
  <si>
    <t>cystatin-b (cpi-b) (liver thiol proteinase inhibitor) (stefin-b)</t>
  </si>
  <si>
    <t>P04080</t>
  </si>
  <si>
    <t>CTBP1</t>
  </si>
  <si>
    <t>c-terminal-binding protein 1 (ctbp1) (ec 1.1.1.-)</t>
  </si>
  <si>
    <t>Q13363</t>
  </si>
  <si>
    <t>CTCF</t>
  </si>
  <si>
    <t>transcriptional repressor ctcf (11-zinc finger protein) (ccctc-binding factor) (ctcfl paralog)</t>
  </si>
  <si>
    <t>P49711</t>
  </si>
  <si>
    <t>CTDP1</t>
  </si>
  <si>
    <t>rna polymerase ii subunit a c-terminal domain phosphatase (ec 3.1.3.16) (tfiif-associating ctd phosphatase)</t>
  </si>
  <si>
    <t>Q9Y5B0</t>
  </si>
  <si>
    <t>CTH</t>
  </si>
  <si>
    <t>cystathionine gamma-lyase (cgl) (cse) (ec 4.4.1.1) (cysteine desulfhydrase) (cysteine-protein sulfhydrase) (gamma-cystathionase) (homocysteine desulfhydrase) (ec 4.4.1.2)</t>
  </si>
  <si>
    <t>P32929</t>
  </si>
  <si>
    <t>CTHRC1</t>
  </si>
  <si>
    <t>collagen triple helix repeat-containing protein 1</t>
  </si>
  <si>
    <t>Q96CG8</t>
  </si>
  <si>
    <t>CTLA4</t>
  </si>
  <si>
    <t>cytotoxic t-lymphocyte protein 4 (cytotoxic t-lymphocyte-associated antigen 4) (ctla-4) (cd antigen cd152)</t>
  </si>
  <si>
    <t>P16410</t>
  </si>
  <si>
    <t>CTNNA1</t>
  </si>
  <si>
    <t>catenin alpha-1 (alpha e-catenin) (cadherin-associated protein) (renal carcinoma antigen ny-ren-13)</t>
  </si>
  <si>
    <t>P35221</t>
  </si>
  <si>
    <t>CTNNA2</t>
  </si>
  <si>
    <t>catenin alpha-2 (alpha n-catenin) (alpha-catenin-related protein)</t>
  </si>
  <si>
    <t>P26232</t>
  </si>
  <si>
    <t>CTNNA3</t>
  </si>
  <si>
    <t>catenin alpha-3 (alpha t-catenin) (cadherin-associated protein)</t>
  </si>
  <si>
    <t>Q9UI47</t>
  </si>
  <si>
    <t>CTNND1</t>
  </si>
  <si>
    <t>catenin delta-1 (cadherin-associated src substrate) (cas) (p120 catenin) (p120(ctn)) (p120(cas))</t>
  </si>
  <si>
    <t>O60716</t>
  </si>
  <si>
    <t>CTNND2</t>
  </si>
  <si>
    <t>catenin delta-2 (delta-catenin) (gt24) (neural plakophilin-related arm-repeat protein) (nprap) (neurojungin)</t>
  </si>
  <si>
    <t>Q9UQB3</t>
  </si>
  <si>
    <t>CTNS</t>
  </si>
  <si>
    <t>cystinosin</t>
  </si>
  <si>
    <t>O60931</t>
  </si>
  <si>
    <t>CTPS1</t>
  </si>
  <si>
    <t>ctp synthase 1 (ec 6.3.4.2) (ctp synthetase 1) (utp--ammonia ligase 1)</t>
  </si>
  <si>
    <t>P17812</t>
  </si>
  <si>
    <t>CTSA</t>
  </si>
  <si>
    <t>lysosomal protective protein (ec 3.4.16.5) (carboxypeptidase c) (carboxypeptidase l) (cathepsin a) (protective protein cathepsin a) (ppca) (protective protein for beta-galactosidase) [cleaved into: lysosomal protective protein 32 kda chain; lysosomal protective protein 20 kda chain]</t>
  </si>
  <si>
    <t>P10619</t>
  </si>
  <si>
    <t>CTSC</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</si>
  <si>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</si>
  <si>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P53634</t>
  </si>
  <si>
    <t>CTSF</t>
  </si>
  <si>
    <t>cathepsin f (catsf) (ec 3.4.22.41)</t>
  </si>
  <si>
    <t>Q9UBX1</t>
  </si>
  <si>
    <t>CTSK</t>
  </si>
  <si>
    <t>cathepsin k (ec 3.4.22.38) (cathepsin o) (cathepsin o2) (cathepsin x)</t>
  </si>
  <si>
    <t>P43235</t>
  </si>
  <si>
    <t>CTU2</t>
  </si>
  <si>
    <t>cytoplasmic trna 2-thiolation protein 2 (cytosolic thiouridylase subunit 2)</t>
  </si>
  <si>
    <t>Q2VPK5</t>
  </si>
  <si>
    <t>CUEDC2</t>
  </si>
  <si>
    <t>cue domain-containing protein 2</t>
  </si>
  <si>
    <t>Q9H467</t>
  </si>
  <si>
    <t>CUX1</t>
  </si>
  <si>
    <t>homeobox protein cut-like 1 (ccaat displacement protein) (cdp) (cdp/cux p200) (homeobox protein cux-1) [cleaved into: cdp/cux p110]</t>
  </si>
  <si>
    <t>P39880</t>
  </si>
  <si>
    <t>CUX2</t>
  </si>
  <si>
    <t>homeobox protein cut-like 2 (homeobox protein cux-2)</t>
  </si>
  <si>
    <t>O14529</t>
  </si>
  <si>
    <t>CWC27</t>
  </si>
  <si>
    <t>spliceosome-associated protein cwc27 homolog (antigen ny-co-10) (probable inactive peptidyl-prolyl cis-trans isomerase cwc27 homolog) (ppiase cwc27) (serologically defined colon cancer antigen 10)</t>
  </si>
  <si>
    <t>Q6UX04</t>
  </si>
  <si>
    <t>CX3CR1</t>
  </si>
  <si>
    <t>cx3c chemokine receptor 1 (c-x3-c ckr-1) (cx3cr1) (beta chemokine receptor-like 1) (cmk-brl-1) (cmk-brl1) (fractalkine receptor) (g-protein coupled receptor 13) (v28)</t>
  </si>
  <si>
    <t>P49238</t>
  </si>
  <si>
    <t>CXCR4</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</si>
  <si>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</si>
  <si>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P61073</t>
  </si>
  <si>
    <t>cytochrome b5 (microsomal cytochrome b5 type a) (mcb5)</t>
  </si>
  <si>
    <t>P00167</t>
  </si>
  <si>
    <t>CYB5R3</t>
  </si>
  <si>
    <t>nadh-cytochrome b5 reductase 3 (b5r) (cytochrome b5 reductase) (ec 1.6.2.2) (diaphorase-1)</t>
  </si>
  <si>
    <t>P00387</t>
  </si>
  <si>
    <t>CYBC1</t>
  </si>
  <si>
    <t>cytochrome b-245 chaperone 1 (essential for reactive oxygen species protein) (eros)</t>
  </si>
  <si>
    <t>Q9BQA9</t>
  </si>
  <si>
    <t>CYFIP2</t>
  </si>
  <si>
    <t>cytoplasmic fmr1-interacting protein 2 (p53-inducible protein 121)</t>
  </si>
  <si>
    <t>Q96F07</t>
  </si>
  <si>
    <t>CYLD</t>
  </si>
  <si>
    <t>ubiquitin carboxyl-terminal hydrolase cyld (ec 3.4.19.12) (deubiquitinating enzyme cyld) (ubiquitin thioesterase cyld) (ubiquitin-specific-processing protease cyld)</t>
  </si>
  <si>
    <t>Q9NQC7</t>
  </si>
  <si>
    <t>CYP2U1</t>
  </si>
  <si>
    <t>cytochrome p450 2u1 (long-chain fatty acid omega-monooxygenase) (ec 1.14.14.80)</t>
  </si>
  <si>
    <t>Q7Z449</t>
  </si>
  <si>
    <t>CYP4F22</t>
  </si>
  <si>
    <t>ultra-long-chain fatty acid omega-hydroxylase (ec 1.14.14.177) (cytochrome p450 4f22)</t>
  </si>
  <si>
    <t>Q6NT55</t>
  </si>
  <si>
    <t>CYP4V2</t>
  </si>
  <si>
    <t>cytochrome p450 4v2 (docosahexaenoic acid omega-hydroxylase cyp4v2) (ec 1.14.14.79) (long-chain fatty acid omega-monooxygenase) (ec 1.14.14.80)</t>
  </si>
  <si>
    <t>Q6ZWL3</t>
  </si>
  <si>
    <t>CYP7B1</t>
  </si>
  <si>
    <t>cytochrome p450 7b1 (24-hydroxycholesterol 7-alpha-hydroxylase) (ec 1.14.14.26) (25/26-hydroxycholesterol 7-alpha-hydroxylase) (ec 1.14.14.29) (3-hydroxysteroid 7-alpha hydroxylase) (oxysterol 7-alpha-hydroxylase)</t>
  </si>
  <si>
    <t>O75881</t>
  </si>
  <si>
    <t>CYP11A1</t>
  </si>
  <si>
    <t>cholesterol side-chain cleavage enzyme, mitochondrial (ec 1.14.15.6) (cypxia1) (cholesterol desmolase) (cytochrome p450 11a1) (cytochrome p450(scc))</t>
  </si>
  <si>
    <t>P05108</t>
  </si>
  <si>
    <t>cytochrome p450 26c1 (cyp26c1) (ec 1.14.14.1)</t>
  </si>
  <si>
    <t>Q6V0L0</t>
  </si>
  <si>
    <t>CYP27A1</t>
  </si>
  <si>
    <t>sterol 26-hydroxylase, mitochondrial (ec 1.14.15.15) (5-beta-cholestane-3-alpha,7-alpha,12-alpha-triol 26-hydroxylase) (cytochrome p-450c27/25) (cytochrome p450 27) (sterol 27-hydroxylase) (vitamin d(3) 25-hydroxylase)</t>
  </si>
  <si>
    <t>Q02318</t>
  </si>
  <si>
    <t>D2HGDH</t>
  </si>
  <si>
    <t>d-2-hydroxyglutarate dehydrogenase, mitochondrial (ec 1.1.99.39)</t>
  </si>
  <si>
    <t>Q8N465</t>
  </si>
  <si>
    <t>DAB1</t>
  </si>
  <si>
    <t>disabled homolog 1</t>
  </si>
  <si>
    <t>O75553</t>
  </si>
  <si>
    <t>DAB2IP</t>
  </si>
  <si>
    <t>disabled homolog 2-interacting protein (dab2 interaction protein) (dab2-interacting protein) (ask-interacting protein 1) (aip-1) (doc-2/dab-2 interactive protein)</t>
  </si>
  <si>
    <t>Q5VWQ8</t>
  </si>
  <si>
    <t>DACT1</t>
  </si>
  <si>
    <t>dapper homolog 1 (hdpr1) (dapper antagonist of catenin 1) (hepatocellular carcinoma novel gene 3 protein)</t>
  </si>
  <si>
    <t>Q9NYF0</t>
  </si>
  <si>
    <t>DAGLA</t>
  </si>
  <si>
    <t>diacylglycerol lipase-alpha (dagl-alpha) (dgl-alpha) (ec 3.1.1.116) (neural stem cell-derived dendrite regulator) (sn1-specific diacylglycerol lipase alpha)</t>
  </si>
  <si>
    <t>Q9Y4D2</t>
  </si>
  <si>
    <t>DALRD3</t>
  </si>
  <si>
    <t>dalr anticodon-binding domain-containing protein 3</t>
  </si>
  <si>
    <t>Q5D0E6</t>
  </si>
  <si>
    <t>DAO</t>
  </si>
  <si>
    <t>d-amino-acid oxidase (daao) (damox) (dao) (ec 1.4.3.3)</t>
  </si>
  <si>
    <t>P14920</t>
  </si>
  <si>
    <t>DAOA</t>
  </si>
  <si>
    <t>d-amino acid oxidase regulator (protein g72)</t>
  </si>
  <si>
    <t>P59103</t>
  </si>
  <si>
    <t>aspartate--trna ligase, mitochondrial (ec 6.1.1.12) (aspartyl-trna synthetase) (asprs)</t>
  </si>
  <si>
    <t>Q6PI48</t>
  </si>
  <si>
    <t>DAZ1</t>
  </si>
  <si>
    <t>deleted in azoospermia protein 1</t>
  </si>
  <si>
    <t>Q9NQZ3</t>
  </si>
  <si>
    <t>DBH</t>
  </si>
  <si>
    <t>dopamine beta-hydroxylase (ec 1.14.17.1) (dopamine beta-monooxygenase) [cleaved into: soluble dopamine beta-hydroxylase]</t>
  </si>
  <si>
    <t>P09172</t>
  </si>
  <si>
    <t>DBN1</t>
  </si>
  <si>
    <t>drebrin (developmentally-regulated brain protein)</t>
  </si>
  <si>
    <t>Q16643</t>
  </si>
  <si>
    <t>DBR1</t>
  </si>
  <si>
    <t>lariat debranching enzyme (ec 3.1.4.-)</t>
  </si>
  <si>
    <t>Q9UK59</t>
  </si>
  <si>
    <t>DCC</t>
  </si>
  <si>
    <t>netrin receptor dcc (colorectal cancer suppressor) (immunoglobulin superfamily dcc subclass member 1) (tumor suppressor protein dcc)</t>
  </si>
  <si>
    <t>P43146</t>
  </si>
  <si>
    <t>DCDC2</t>
  </si>
  <si>
    <t>doublecortin domain-containing protein 2 (protein ru2s)</t>
  </si>
  <si>
    <t>Q9UHG0</t>
  </si>
  <si>
    <t>DCHS1</t>
  </si>
  <si>
    <t>protocadherin-16 (cadherin-19) (cadherin-25) (fibroblast cadherin-1) (protein dachsous homolog 1)</t>
  </si>
  <si>
    <t>Q96JQ0</t>
  </si>
  <si>
    <t>DCLRE1B</t>
  </si>
  <si>
    <t>5' exonuclease apollo (ec 3.1.-.-) (beta-lactamase dclre1b) (ec 3.5.2.6) (dna cross-link repair 1b protein) (snm1 homolog b) (snmib) (hsnm1b)</t>
  </si>
  <si>
    <t>Q9H816</t>
  </si>
  <si>
    <t>DCLRE1C</t>
  </si>
  <si>
    <t>protein artemis (ec 3.1.-.-) (dna cross-link repair 1c protein) (protein a-scid) (snm1 homolog c) (hsnm1c) (snm1-like protein)</t>
  </si>
  <si>
    <t>Q96SD1</t>
  </si>
  <si>
    <t>DCN</t>
  </si>
  <si>
    <t>decorin (bone proteoglycan ii) (pg-s2) (pg40)</t>
  </si>
  <si>
    <t>P07585</t>
  </si>
  <si>
    <t>DCPS</t>
  </si>
  <si>
    <t>m7gpppx diphosphatase (ec 3.6.1.59) (dcs-1) (decapping scavenger enzyme) (hint-related 7megmp-directed hydrolase) (histidine triad nucleotide-binding protein 5) (histidine triad protein member 5) (hint-5) (scavenger mrna-decapping enzyme dcps)</t>
  </si>
  <si>
    <t>Q96C86</t>
  </si>
  <si>
    <t>DCT</t>
  </si>
  <si>
    <t>l-dopachrome tautomerase (dct) (dt) (ec 5.3.3.12) (l-dopachrome delta-isomerase) (tyrosinase-related protein 2) (trp-2) (trp2)</t>
  </si>
  <si>
    <t>P40126</t>
  </si>
  <si>
    <t>DCTN1</t>
  </si>
  <si>
    <t>dynactin subunit 1 (150 kda dynein-associated polypeptide) (dap-150) (dp-150) (p135) (p150-glued)</t>
  </si>
  <si>
    <t>Q14203</t>
  </si>
  <si>
    <t>DCX</t>
  </si>
  <si>
    <t>neuronal migration protein doublecortin (doublin) (lissencephalin-x) (lis-x)</t>
  </si>
  <si>
    <t>O43602</t>
  </si>
  <si>
    <t>DCXR</t>
  </si>
  <si>
    <t>l-xylulose reductase (xr) (ec 1.1.1.10) (carbonyl reductase ii) (dicarbonyl/l-xylulose reductase) (kidney dicarbonyl reductase) (kidcr) (short chain dehydrogenase/reductase family 20c member 1) (sperm surface protein p34h)</t>
  </si>
  <si>
    <t>Q7Z4W1</t>
  </si>
  <si>
    <t>DDC</t>
  </si>
  <si>
    <t>aromatic-l-amino-acid decarboxylase (aadc) (ec 4.1.1.28) (dopa decarboxylase) (ddc)</t>
  </si>
  <si>
    <t>P20711</t>
  </si>
  <si>
    <t>DDHD1</t>
  </si>
  <si>
    <t>phospholipase ddhd1 (ec 3.1.1.111) (ec 3.1.1.32) (ddhd domain-containing protein 1) (phosphatidic acid-preferring phospholipase a1 homolog) (pa-pla1) (ec 3.1.1.118) (phospholipid sn-1 acylhydrolase)</t>
  </si>
  <si>
    <t>Q8NEL9</t>
  </si>
  <si>
    <t>DDX3Y</t>
  </si>
  <si>
    <t>atp-dependent rna helicase ddx3y (ec 3.6.4.13) (dead box protein 3, y-chromosomal)</t>
  </si>
  <si>
    <t>O15523</t>
  </si>
  <si>
    <t>DDX11</t>
  </si>
  <si>
    <t>atp-dependent dna helicase ddx11 (ec 5.6.2.3) (chl1-related protein 1) (hchlr1) (dead/h-box protein 11) (dna 5'-3' helicase ddx11) (keratinocyte growth factor-regulated gene 2 protein) (krg-2)</t>
  </si>
  <si>
    <t>Q96FC9</t>
  </si>
  <si>
    <t>DDX41</t>
  </si>
  <si>
    <t>probable atp-dependent rna helicase ddx41 (ec 3.6.4.13) (dead box protein 41) (dead box protein abstrakt homolog)</t>
  </si>
  <si>
    <t>Q9UJV9</t>
  </si>
  <si>
    <t>DDX59</t>
  </si>
  <si>
    <t>probable atp-dependent rna helicase ddx59 (ec 3.6.4.13) (dead box protein 59) (zinc finger hit domain-containing protein 5)</t>
  </si>
  <si>
    <t>Q5T1V6</t>
  </si>
  <si>
    <t>DEAF1</t>
  </si>
  <si>
    <t>deformed epidermal autoregulatory factor 1 homolog (nuclear deaf-1-related transcriptional regulator) (nudr) (suppressin) (zinc finger mynd domain-containing protein 5)</t>
  </si>
  <si>
    <t>O75398</t>
  </si>
  <si>
    <t>DECR1</t>
  </si>
  <si>
    <t>2,4-dienoyl-coa reductase [(3e)-enoyl-coa-producing], mitochondrial (ec 1.3.1.124) (2,4-dienoyl-coa reductase [nadph]) (4-enoyl-coa reductase [nadph]) (short chain dehydrogenase/reductase family 18c member 1)</t>
  </si>
  <si>
    <t>Q16698</t>
  </si>
  <si>
    <t>DEF6</t>
  </si>
  <si>
    <t>differentially expressed in fdcp 6 homolog (def-6) (irf4-binding protein)</t>
  </si>
  <si>
    <t>Q9H4E7</t>
  </si>
  <si>
    <t>DEGS1</t>
  </si>
  <si>
    <t>sphingolipid delta(4)-desaturase des1 (ec 1.14.19.17) (cell migration-inducing gene 15 protein) (degenerative spermatocyte homolog 1) (dihydroceramide desaturase-1) (membrane lipid desaturase) (retinol isomerase) (ec 5.2.1.-)</t>
  </si>
  <si>
    <t>O15121</t>
  </si>
  <si>
    <t>DENND1A</t>
  </si>
  <si>
    <t>denn domain-containing protein 1a (connecdenn 1) (connecdenn) (protein fam31a)</t>
  </si>
  <si>
    <t>Q8TEH3</t>
  </si>
  <si>
    <t>DENND1B</t>
  </si>
  <si>
    <t>denn domain-containing protein 1b (connecdenn 2) (protein fam31b)</t>
  </si>
  <si>
    <t>Q6P3S1</t>
  </si>
  <si>
    <t>DENND5A</t>
  </si>
  <si>
    <t>denn domain-containing protein 5a (rab6-interacting protein 1) (rab6ip1)</t>
  </si>
  <si>
    <t>Q6IQ26</t>
  </si>
  <si>
    <t>DES</t>
  </si>
  <si>
    <t>desmin</t>
  </si>
  <si>
    <t>P17661</t>
  </si>
  <si>
    <t>DGAT1</t>
  </si>
  <si>
    <t>diacylglycerol o-acyltransferase 1 (ec 2.3.1.20) (acat-related gene product 1) (acyl-coa retinol o-fatty-acyltransferase) (arat) (retinol o-fatty-acyltransferase) (ec 2.3.1.76) (diglyceride acyltransferase)</t>
  </si>
  <si>
    <t>O75907</t>
  </si>
  <si>
    <t>DGKE</t>
  </si>
  <si>
    <t>diacylglycerol kinase epsilon (dag kinase epsilon) (ec 2.7.1.107) (diglyceride kinase epsilon) (dgk-epsilon)</t>
  </si>
  <si>
    <t>P52429</t>
  </si>
  <si>
    <t>DGUOK</t>
  </si>
  <si>
    <t>deoxyguanosine kinase, mitochondrial (ec 2.7.1.113) (deoxyadenosine kinase, mitochondrial) (ec 2.7.1.76)</t>
  </si>
  <si>
    <t>Q16854</t>
  </si>
  <si>
    <t>DHCR7</t>
  </si>
  <si>
    <t>7-dehydrocholesterol reductase (7-dhc reductase) (ec 1.3.1.21) (delta7-sterol reductase) (sterol delta(7)-reductase) (sterol reductase sr-2)</t>
  </si>
  <si>
    <t>Q9UBM7</t>
  </si>
  <si>
    <t>DHH</t>
  </si>
  <si>
    <t>desert hedgehog protein (dhh) (ec 3.1.-.-) (hhg-3) [cleaved into: desert hedgehog protein n-product (dhh-n)]</t>
  </si>
  <si>
    <t>O43323</t>
  </si>
  <si>
    <t>DHODH</t>
  </si>
  <si>
    <t>dihydroorotate dehydrogenase (quinone), mitochondrial (dhodehase) (ec 1.3.5.2) (dihydroorotate oxidase)</t>
  </si>
  <si>
    <t>Q02127</t>
  </si>
  <si>
    <t>DHPS</t>
  </si>
  <si>
    <t>deoxyhypusine synthase (dhs) (ec 2.5.1.46)</t>
  </si>
  <si>
    <t>P49366</t>
  </si>
  <si>
    <t>DHTKD1</t>
  </si>
  <si>
    <t>2-oxoadipate dehydrogenase complex component e1 (e1a) (oadc-e1) (oadh-e1) (ec 1.2.4.-) (2-oxoadipate dehydrogenase, mitochondrial) (alpha-ketoadipate dehydrogenase) (alpha-kadh-e1) (dehydrogenase e1 and transketolase domain-containing protein 1) (probable 2-oxoglutarate dehydrogenase e1 component dhktd1, mitochondrial)</t>
  </si>
  <si>
    <t>Q96HY7</t>
  </si>
  <si>
    <t>DHX16</t>
  </si>
  <si>
    <t>pre-mrna-splicing factor atp-dependent rna helicase dhx16 (ec 3.6.4.13) (atp-dependent rna helicase #3) (deah-box protein 16)</t>
  </si>
  <si>
    <t>O60231</t>
  </si>
  <si>
    <t>DHX37</t>
  </si>
  <si>
    <t>probable atp-dependent rna helicase dhx37 (ec 3.6.4.13) (deah box protein 37)</t>
  </si>
  <si>
    <t>Q8IY37</t>
  </si>
  <si>
    <t>DHX38</t>
  </si>
  <si>
    <t>pre-mrna-splicing factor atp-dependent rna helicase prp16 (ec 3.6.4.13) (atp-dependent rna helicase dhx38) (deah box protein 38)</t>
  </si>
  <si>
    <t>Q92620</t>
  </si>
  <si>
    <t>DIABLO</t>
  </si>
  <si>
    <t>diablo iap-binding mitochondrial protein (diablo homolog, mitochondrial) (direct iap-binding protein with low pi) (second mitochondria-derived activator of caspase) (smac) [cleaved into: diablo iap-binding mitochondrial protein, cleaved form]</t>
  </si>
  <si>
    <t>Q9NR28</t>
  </si>
  <si>
    <t>DIAPH1</t>
  </si>
  <si>
    <t>protein diaphanous homolog 1 (diaphanous-related formin-1) (drf1)</t>
  </si>
  <si>
    <t>O60610</t>
  </si>
  <si>
    <t>DIAPH2</t>
  </si>
  <si>
    <t>protein diaphanous homolog 2 (diaphanous-related formin-2) (drf2)</t>
  </si>
  <si>
    <t>O60879</t>
  </si>
  <si>
    <t>DIAPH3</t>
  </si>
  <si>
    <t>protein diaphanous homolog 3 (diaphanous-related formin-3) (drf3) (mdia2)</t>
  </si>
  <si>
    <t>Q9NSV4</t>
  </si>
  <si>
    <t>DIO1</t>
  </si>
  <si>
    <t>type i iodothyronine deiodinase (ec 1.21.99.4) (5di) (dioi) (type 1 di) (type-i 5'-deiodinase)</t>
  </si>
  <si>
    <t>P49895</t>
  </si>
  <si>
    <t>DIPK2B</t>
  </si>
  <si>
    <t>divergent protein kinase domain 2b (deleted in autism-related protein 1)</t>
  </si>
  <si>
    <t>Q9H7Y0</t>
  </si>
  <si>
    <t>DIS3L2</t>
  </si>
  <si>
    <t>dis3-like exonuclease 2 (hdis3l2) (ec 3.1.13.-)</t>
  </si>
  <si>
    <t>Q8IYB7</t>
  </si>
  <si>
    <t>DISC1</t>
  </si>
  <si>
    <t>disrupted in schizophrenia 1 protein</t>
  </si>
  <si>
    <t>Q9NRI5</t>
  </si>
  <si>
    <t>DLEC1</t>
  </si>
  <si>
    <t>deleted in lung and esophageal cancer protein 1 (deleted in lung cancer protein 1) (dlc-1)</t>
  </si>
  <si>
    <t>Q9Y238</t>
  </si>
  <si>
    <t>DLL1</t>
  </si>
  <si>
    <t>delta-like protein 1 (drosophila delta homolog 1) (delta1) (h-delta-1)</t>
  </si>
  <si>
    <t>O00548</t>
  </si>
  <si>
    <t>DLL3</t>
  </si>
  <si>
    <t>delta-like protein 3 (drosophila delta homolog 3) (delta3)</t>
  </si>
  <si>
    <t>Q9NYJ7</t>
  </si>
  <si>
    <t>DLL4</t>
  </si>
  <si>
    <t>delta-like protein 4 (drosophila delta homolog 4) (delta4)</t>
  </si>
  <si>
    <t>Q9NR61</t>
  </si>
  <si>
    <t>DLST</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</si>
  <si>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</si>
  <si>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P36957</t>
  </si>
  <si>
    <t>DLX3</t>
  </si>
  <si>
    <t>homeobox protein dlx-3</t>
  </si>
  <si>
    <t>O60479</t>
  </si>
  <si>
    <t>DLX4</t>
  </si>
  <si>
    <t>homeobox protein dlx-4 (beta protein 1) (homeobox protein dlx-7) (homeobox protein dlx-8)</t>
  </si>
  <si>
    <t>Q92988</t>
  </si>
  <si>
    <t>DLX5</t>
  </si>
  <si>
    <t>homeobox protein dlx-5</t>
  </si>
  <si>
    <t>P56178</t>
  </si>
  <si>
    <t>DMBT1</t>
  </si>
  <si>
    <t>deleted in malignant brain tumors 1 protein (glycoprotein 340) (gp-340) (hensin) (salivary agglutinin) (sag) (surfactant pulmonary-associated d-binding protein)</t>
  </si>
  <si>
    <t>Q9UGM3</t>
  </si>
  <si>
    <t>DMGDH</t>
  </si>
  <si>
    <t>dimethylglycine dehydrogenase, mitochondrial (ec 1.5.8.4) (me2glydh)</t>
  </si>
  <si>
    <t>Q9UI17</t>
  </si>
  <si>
    <t>DMP1</t>
  </si>
  <si>
    <t>dentin matrix acidic phosphoprotein 1 (dmp-1) (dentin matrix protein 1)</t>
  </si>
  <si>
    <t>Q13316</t>
  </si>
  <si>
    <t>DMRT1</t>
  </si>
  <si>
    <t>doublesex- and mab-3-related transcription factor 1 (dm domain expressed in testis protein 1)</t>
  </si>
  <si>
    <t>Q9Y5R6</t>
  </si>
  <si>
    <t>DNA2</t>
  </si>
  <si>
    <t>dna replication atp-dependent helicase/nuclease dna2 (hdna2) (dna replication atp-dependent helicase-like homolog) [includes: dna replication nuclease dna2 (ec 3.1.-.-); dna replication atp-dependent helicase dna2 (ec 3.6.4.12)]</t>
  </si>
  <si>
    <t>P51530</t>
  </si>
  <si>
    <t>DNAAF1</t>
  </si>
  <si>
    <t>dynein axonemal assembly factor 1 (leucine-rich repeat-containing protein 50)</t>
  </si>
  <si>
    <t>Q8NEP3</t>
  </si>
  <si>
    <t>DNAAF4</t>
  </si>
  <si>
    <t>dynein axonemal assembly factor 4 (dyslexia susceptibility 1 candidate gene 1 protein)</t>
  </si>
  <si>
    <t>Q8WXU2</t>
  </si>
  <si>
    <t>DNAAF5</t>
  </si>
  <si>
    <t>dynein axonemal assembly factor 5 (heat repeat-containing protein 2)</t>
  </si>
  <si>
    <t>Q86Y56</t>
  </si>
  <si>
    <t>DNAH1</t>
  </si>
  <si>
    <t>dynein axonemal heavy chain 1 (axonemal beta dynein heavy chain 1) (ciliary dynein heavy chain 1) (heat shock regulated protein 1) (hsrf-1) (hdhc7)</t>
  </si>
  <si>
    <t>Q9P2D7</t>
  </si>
  <si>
    <t>DNAH8</t>
  </si>
  <si>
    <t>dynein axonemal heavy chain 8 (axonemal beta dynein heavy chain 8) (ciliary dynein heavy chain 8)</t>
  </si>
  <si>
    <t>Q96JB1</t>
  </si>
  <si>
    <t>DNAH9</t>
  </si>
  <si>
    <t>dynein axonemal heavy chain 9 (axonemal beta dynein heavy chain 9) (ciliary dynein heavy chain 9)</t>
  </si>
  <si>
    <t>Q9NYC9</t>
  </si>
  <si>
    <t>DNAH10</t>
  </si>
  <si>
    <t>dynein axonemal heavy chain 10 (axonemal beta dynein heavy chain 10) (ciliary dynein heavy chain 10)</t>
  </si>
  <si>
    <t>Q8IVF4</t>
  </si>
  <si>
    <t>DNAH11</t>
  </si>
  <si>
    <t>dynein axonemal heavy chain 11 (axonemal beta dynein heavy chain 11) (ciliary dynein heavy chain 11)</t>
  </si>
  <si>
    <t>Q96DT5</t>
  </si>
  <si>
    <t>DNAJB2</t>
  </si>
  <si>
    <t>dnaj homolog subfamily b member 2 (heat shock 40 kda protein 3) (heat shock protein j1) (hsj-1)</t>
  </si>
  <si>
    <t>P25686</t>
  </si>
  <si>
    <t>DNAJB6</t>
  </si>
  <si>
    <t>dnaj homolog subfamily b member 6 (hhdj1) (heat shock protein j2) (hsj-2) (mrj) (msj-1)</t>
  </si>
  <si>
    <t>O75190</t>
  </si>
  <si>
    <t>DNAJB11</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</si>
  <si>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</si>
  <si>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Q9UBS4</t>
  </si>
  <si>
    <t>DNAJC3</t>
  </si>
  <si>
    <t>dnaj homolog subfamily c member 3 (endoplasmic reticulum dna j domain-containing protein 6) (er-resident protein erdj6) (erdj6) (interferon-induced, double-stranded rna-activated protein kinase inhibitor) (protein kinase inhibitor of 58 kda) (protein kinase inhibitor p58)</t>
  </si>
  <si>
    <t>Q13217</t>
  </si>
  <si>
    <t>DNAJC5</t>
  </si>
  <si>
    <t>dnaj homolog subfamily c member 5 (ceroid-lipofuscinosis neuronal protein 4) (cysteine string protein) (csp)</t>
  </si>
  <si>
    <t>Q9H3Z4</t>
  </si>
  <si>
    <t>DNAJC6</t>
  </si>
  <si>
    <t>auxilin (ec 3.1.3.-) (dnaj homolog subfamily c member 6)</t>
  </si>
  <si>
    <t>O75061</t>
  </si>
  <si>
    <t>DNAJC12</t>
  </si>
  <si>
    <t>dnaj homolog subfamily c member 12 (j domain-containing protein 1)</t>
  </si>
  <si>
    <t>Q9UKB3</t>
  </si>
  <si>
    <t>DNAJC13</t>
  </si>
  <si>
    <t>dnaj homolog subfamily c member 13 (required for receptor-mediated endocytosis 8) (rme-8)</t>
  </si>
  <si>
    <t>O75165</t>
  </si>
  <si>
    <t>DNAJC21</t>
  </si>
  <si>
    <t>dnaj homolog subfamily c member 21 (dnaj homolog subfamily a member 5) (protein gs3)</t>
  </si>
  <si>
    <t>Q5F1R6</t>
  </si>
  <si>
    <t>DNAJC30</t>
  </si>
  <si>
    <t>dnaj homolog subfamily c member 30, mitochondrial (williams-beuren syndrome chromosomal region 18 protein)</t>
  </si>
  <si>
    <t>Q96LL9</t>
  </si>
  <si>
    <t>DNAL1</t>
  </si>
  <si>
    <t>dynein axonemal light chain 1 (lc1)</t>
  </si>
  <si>
    <t>Q4LDG9</t>
  </si>
  <si>
    <t>DNAL4</t>
  </si>
  <si>
    <t>dynein axonemal light chain 4</t>
  </si>
  <si>
    <t>O96015</t>
  </si>
  <si>
    <t>DNASE1</t>
  </si>
  <si>
    <t>deoxyribonuclease-1 (ec 3.1.21.1) (deoxyribonuclease i) (dnase i) (dornase alfa)</t>
  </si>
  <si>
    <t>P24855</t>
  </si>
  <si>
    <t>DNASE2</t>
  </si>
  <si>
    <t>deoxyribonuclease-2-alpha (ec 3.1.22.1) (acid dnase) (deoxyribonuclease ii alpha) (dnase ii alpha) (lysosomal dnase ii) (r31240_2)</t>
  </si>
  <si>
    <t>O00115</t>
  </si>
  <si>
    <t>DNHD1</t>
  </si>
  <si>
    <t>dynein heavy chain domain-containing protein 1 (coiled-coil domain-containing protein 35) (dynein heavy chain domain 1-like protein)</t>
  </si>
  <si>
    <t>Q96M86</t>
  </si>
  <si>
    <t>DNM1</t>
  </si>
  <si>
    <t>dynamin-1 (ec 3.6.5.5) (dynamin) (dynamin i)</t>
  </si>
  <si>
    <t>Q05193</t>
  </si>
  <si>
    <t>DNM1L</t>
  </si>
  <si>
    <t>dynamin-1-like protein (ec 3.6.5.5) (dnm1p/vps1p-like protein) (dvlp) (dynamin family member proline-rich carboxyl-terminal domain less) (dymple) (dynamin-like protein) (dynamin-like protein 4) (dynamin-like protein iv) (hdyniv) (dynamin-related protein 1)</t>
  </si>
  <si>
    <t>O00429</t>
  </si>
  <si>
    <t>DNM2</t>
  </si>
  <si>
    <t>dynamin-2 (ec 3.6.5.5) (dynamin 2) (dynamin ii)</t>
  </si>
  <si>
    <t>P50570</t>
  </si>
  <si>
    <t>DNMBP</t>
  </si>
  <si>
    <t>dynamin-binding protein (scaffold protein tuba)</t>
  </si>
  <si>
    <t>Q6XZF7</t>
  </si>
  <si>
    <t>DOCK2</t>
  </si>
  <si>
    <t>dedicator of cytokinesis protein 2</t>
  </si>
  <si>
    <t>Q92608</t>
  </si>
  <si>
    <t>DOCK3</t>
  </si>
  <si>
    <t>dedicator of cytokinesis protein 3 (modifier of cell adhesion) (presenilin-binding protein) (pbp)</t>
  </si>
  <si>
    <t>Q8IZD9</t>
  </si>
  <si>
    <t>DOCK6</t>
  </si>
  <si>
    <t>dedicator of cytokinesis protein 6</t>
  </si>
  <si>
    <t>Q96HP0</t>
  </si>
  <si>
    <t>DOCK8</t>
  </si>
  <si>
    <t>dedicator of cytokinesis protein 8</t>
  </si>
  <si>
    <t>Q8NF50</t>
  </si>
  <si>
    <t>DOK7</t>
  </si>
  <si>
    <t>protein dok-7 (downstream of tyrosine kinase 7)</t>
  </si>
  <si>
    <t>Q18PE1</t>
  </si>
  <si>
    <t>DOLK</t>
  </si>
  <si>
    <t>dolichol kinase (ec 2.7.1.108) (transmembrane protein 15)</t>
  </si>
  <si>
    <t>Q9UPQ8</t>
  </si>
  <si>
    <t>DONSON</t>
  </si>
  <si>
    <t>protein downstream neighbor of son (b17)</t>
  </si>
  <si>
    <t>Q9NYP3</t>
  </si>
  <si>
    <t>DPAGT1</t>
  </si>
  <si>
    <t>udp-n-acetylglucosamine--dolichyl-phosphate n-acetylglucosaminephosphotransferase (ec 2.7.8.15) (glcnac-1-p transferase) (g1pt) (gpt) (n-acetylglucosamine-1-phosphate transferase)</t>
  </si>
  <si>
    <t>Q9H3H5</t>
  </si>
  <si>
    <t>DPP6</t>
  </si>
  <si>
    <t>a-type potassium channel modulatory protein dpp6 (dppx) (dipeptidyl aminopeptidase-like protein 6) (dipeptidyl aminopeptidase-related protein) (dipeptidyl peptidase 6) (dipeptidyl peptidase iv-like protein) (dipeptidyl peptidase vi) (dpp vi)</t>
  </si>
  <si>
    <t>P42658</t>
  </si>
  <si>
    <t>DPP10</t>
  </si>
  <si>
    <t>inactive dipeptidyl peptidase 10 (dipeptidyl peptidase iv-related protein 3) (dprp-3) (dipeptidyl peptidase x) (dpp x) (dipeptidyl peptidase-like protein 2) (dpl2)</t>
  </si>
  <si>
    <t>Q8N608</t>
  </si>
  <si>
    <t>DPY19L2</t>
  </si>
  <si>
    <t>probable c-mannosyltransferase dpy19l2 (ec 2.4.1.-) (dpy-19-like protein 2) (protein dpy-19 homolog 2)</t>
  </si>
  <si>
    <t>Q6NUT2</t>
  </si>
  <si>
    <t>DPYD</t>
  </si>
  <si>
    <t>dihydropyrimidine dehydrogenase [nadp(+)] (dhpdhase) (dpd) (ec 1.3.1.2) (dihydrothymine dehydrogenase) (dihydrouracil dehydrogenase)</t>
  </si>
  <si>
    <t>Q12882</t>
  </si>
  <si>
    <t>DPYS</t>
  </si>
  <si>
    <t>dihydropyrimidinase (dhp) (dhpase) (ec 3.5.2.2) (dihydropyrimidine amidohydrolase) (hydantoinase)</t>
  </si>
  <si>
    <t>Q14117</t>
  </si>
  <si>
    <t>DPYSL5</t>
  </si>
  <si>
    <t>dihydropyrimidinase-related protein 5 (drp-5) (crmp3-associated molecule) (cram) (collapsin response mediator protein 5) (crmp-5) (unc33-like phosphoprotein 6) (ulip-6)</t>
  </si>
  <si>
    <t>Q9BPU6</t>
  </si>
  <si>
    <t>DSC2</t>
  </si>
  <si>
    <t>desmocollin-2 (cadherin family member 2) (desmocollin-3) (desmosomal glycoprotein ii) (desmosomal glycoprotein iii)</t>
  </si>
  <si>
    <t>Q02487</t>
  </si>
  <si>
    <t>DSC3</t>
  </si>
  <si>
    <t>desmocollin-3 (cadherin family member 3) (desmocollin-4) (ht-cp)</t>
  </si>
  <si>
    <t>Q14574</t>
  </si>
  <si>
    <t>DSE</t>
  </si>
  <si>
    <t>dermatan-sulfate epimerase (ds epimerase) (ec 5.1.3.19) (chondroitin-glucuronate 5-epimerase) (squamous cell carcinoma antigen recognized by t-cells 2) (sart-2)</t>
  </si>
  <si>
    <t>Q9UL01</t>
  </si>
  <si>
    <t>DSG1</t>
  </si>
  <si>
    <t>desmoglein-1 (cadherin family member 4) (desmosomal glycoprotein 1) (dg1) (dgi) (pemphigus foliaceus antigen)</t>
  </si>
  <si>
    <t>Q02413</t>
  </si>
  <si>
    <t>DSG2</t>
  </si>
  <si>
    <t>desmoglein-2 (cadherin family member 5) (hdgc)</t>
  </si>
  <si>
    <t>Q14126</t>
  </si>
  <si>
    <t>DSG3</t>
  </si>
  <si>
    <t>desmoglein-3 (130 kda pemphigus vulgaris antigen) (pva) (cadherin family member 6)</t>
  </si>
  <si>
    <t>P32926</t>
  </si>
  <si>
    <t>DSP</t>
  </si>
  <si>
    <t>desmoplakin (dp) (250/210 kda paraneoplastic pemphigus antigen)</t>
  </si>
  <si>
    <t>P15924</t>
  </si>
  <si>
    <t>DSPP</t>
  </si>
  <si>
    <t>dentin sialophosphoprotein [cleaved into: dentin phosphoprotein (dentin phosphophoryn) (dpp); dentin sialoprotein (dsp)]</t>
  </si>
  <si>
    <t>Q9NZW4</t>
  </si>
  <si>
    <t>DST</t>
  </si>
  <si>
    <t>dystonin (230 kda bullous pemphigoid antigen) (230/240 kda bullous pemphigoid antigen) (bullous pemphigoid antigen 1) (bpa) (bullous pemphigoid antigen) (dystonia musculorum protein) (hemidesmosomal plaque protein)</t>
  </si>
  <si>
    <t>Q03001</t>
  </si>
  <si>
    <t>DTYMK</t>
  </si>
  <si>
    <t>thymidylate kinase (ec 2.7.4.9) (dtmp kinase)</t>
  </si>
  <si>
    <t>P23919</t>
  </si>
  <si>
    <t>DUSP6</t>
  </si>
  <si>
    <t>dual specificity protein phosphatase 6 (ec 3.1.3.16) (ec 3.1.3.48) (dual specificity protein phosphatase pyst1) (mitogen-activated protein kinase phosphatase 3) (map kinase phosphatase 3) (mkp-3)</t>
  </si>
  <si>
    <t>Q16828</t>
  </si>
  <si>
    <t>DUX4</t>
  </si>
  <si>
    <t>double homeobox protein 4 (double homeobox protein 10)</t>
  </si>
  <si>
    <t>Q9UBX2</t>
  </si>
  <si>
    <t>DVL1</t>
  </si>
  <si>
    <t>segment polarity protein dishevelled homolog dvl-1 (dishevelled-1) (dsh homolog 1)</t>
  </si>
  <si>
    <t>O14640</t>
  </si>
  <si>
    <t>DVL3</t>
  </si>
  <si>
    <t>segment polarity protein dishevelled homolog dvl-3 (dishevelled-3) (dsh homolog 3)</t>
  </si>
  <si>
    <t>Q92997</t>
  </si>
  <si>
    <t>DYNC2H1</t>
  </si>
  <si>
    <t>cytoplasmic dynein 2 heavy chain 1 (cytoplasmic dynein 2 heavy chain) (dynein cytoplasmic heavy chain 2) (dynein heavy chain 11) (hdhc11) (dynein heavy chain isotype 1b)</t>
  </si>
  <si>
    <t>Q8NCM8</t>
  </si>
  <si>
    <t>DYNC2LI1</t>
  </si>
  <si>
    <t>cytoplasmic dynein 2 light intermediate chain 1 (dynein 2 light intermediate chain)</t>
  </si>
  <si>
    <t>Q8TCX1</t>
  </si>
  <si>
    <t>DYSF</t>
  </si>
  <si>
    <t>dysferlin (dystrophy-associated fer-1-like protein) (fer-1-like protein 1)</t>
  </si>
  <si>
    <t>O75923</t>
  </si>
  <si>
    <t>DZIP1</t>
  </si>
  <si>
    <t>cilium assembly protein dzip1 (daz-interacting protein 1/2) (daz-interacting zinc finger protein 1)</t>
  </si>
  <si>
    <t>Q86YF9</t>
  </si>
  <si>
    <t>nondiscriminating glutamyl-trna synthetase ears2, mitochondrial (ec 6.1.1.24) (glutamate--trna(gln) ligase ears2, mitochondrial) (ec 6.1.1.17) (glutamyl-trna synthetase) (glurs) (mitochondrial glutamyl-trna synthetase) (mtglurs)</t>
  </si>
  <si>
    <t>Q5JPH6</t>
  </si>
  <si>
    <t>ECE1</t>
  </si>
  <si>
    <t>endothelin-converting enzyme 1 (ece-1) (ec 3.4.24.71)</t>
  </si>
  <si>
    <t>P42892</t>
  </si>
  <si>
    <t>ECEL1</t>
  </si>
  <si>
    <t>endothelin-converting enzyme-like 1 (ec 3.4.24.-) (xce protein)</t>
  </si>
  <si>
    <t>O95672</t>
  </si>
  <si>
    <t>enoyl-coa hydratase, mitochondrial (mech) (mech1) (ec 4.2.1.17) (ec 5.3.3.8) (enoyl-coa hydratase 1) (echs1) (short-chain enoyl-coa hydratase) (sceh)</t>
  </si>
  <si>
    <t>P30084</t>
  </si>
  <si>
    <t>ECM1</t>
  </si>
  <si>
    <t>extracellular matrix protein 1 (secretory component p85)</t>
  </si>
  <si>
    <t>Q16610</t>
  </si>
  <si>
    <t>EDA</t>
  </si>
  <si>
    <t>ectodysplasin-a (ectodermal dysplasia protein) (eda protein) [cleaved into: ectodysplasin-a, membrane form; ectodysplasin-a, secreted form]</t>
  </si>
  <si>
    <t>Q92838</t>
  </si>
  <si>
    <t>EDAR</t>
  </si>
  <si>
    <t>tumor necrosis factor receptor superfamily member edar (anhidrotic ectodysplasin receptor 1) (downless homolog) (eda-a1 receptor) (ectodermal dysplasia receptor) (ectodysplasin-a receptor)</t>
  </si>
  <si>
    <t>Q9UNE0</t>
  </si>
  <si>
    <t>EDARADD</t>
  </si>
  <si>
    <t>ectodysplasin-a receptor-associated adapter protein (edar-associated death domain protein) (protein crinkled homolog)</t>
  </si>
  <si>
    <t>Q8WWZ3</t>
  </si>
  <si>
    <t>EDEM3</t>
  </si>
  <si>
    <t>er degradation-enhancing alpha-mannosidase-like protein 3 (ec 3.2.1.113) (alpha-1,2-mannosidase edem3)</t>
  </si>
  <si>
    <t>Q9BZQ6</t>
  </si>
  <si>
    <t>EDN1</t>
  </si>
  <si>
    <t>endothelin-1 (preproendothelin-1) (ppet1) [cleaved into: endothelin-1 (et-1); big endothelin-1]</t>
  </si>
  <si>
    <t>P05305</t>
  </si>
  <si>
    <t>EDN3</t>
  </si>
  <si>
    <t>endothelin-3 (et-3) (preproendothelin-3) (ppet3)</t>
  </si>
  <si>
    <t>P14138</t>
  </si>
  <si>
    <t>EDNRB</t>
  </si>
  <si>
    <t>endothelin receptor type b (et-b) (et-br) (endothelin receptor non-selective type)</t>
  </si>
  <si>
    <t>P24530</t>
  </si>
  <si>
    <t>EEF1A2</t>
  </si>
  <si>
    <t>elongation factor 1-alpha 2 (ef-1-alpha-2) (eukaryotic elongation factor 1 a-2) (eef1a-2) (statin-s1)</t>
  </si>
  <si>
    <t>Q05639</t>
  </si>
  <si>
    <t>EEF2</t>
  </si>
  <si>
    <t>elongation factor 2 (ef-2) (ec 3.6.5.-)</t>
  </si>
  <si>
    <t>P13639</t>
  </si>
  <si>
    <t>EFEMP1</t>
  </si>
  <si>
    <t>egf-containing fibulin-like extracellular matrix protein 1 (extracellular protein s1-5) (fibrillin-like protein) (fibulin-3) (fibl-3)</t>
  </si>
  <si>
    <t>Q12805</t>
  </si>
  <si>
    <t>EFEMP2</t>
  </si>
  <si>
    <t>egf-containing fibulin-like extracellular matrix protein 2 (fibulin-4) (fibl-4) (protein uph1)</t>
  </si>
  <si>
    <t>O95967</t>
  </si>
  <si>
    <t>EFHC1</t>
  </si>
  <si>
    <t>ef-hand domain-containing protein 1 (myoclonin-1)</t>
  </si>
  <si>
    <t>Q5JVL4</t>
  </si>
  <si>
    <t>EFL1</t>
  </si>
  <si>
    <t>elongation factor-like gtpase 1 (elongation factor tu gtp-binding domain-containing protein 1) (elongation factor-like 1) (protein fam42a)</t>
  </si>
  <si>
    <t>Q7Z2Z2</t>
  </si>
  <si>
    <t>EFNB1</t>
  </si>
  <si>
    <t>ephrin-b1 (efl-3) (elk ligand) (elk-l) (eph-related receptor tyrosine kinase ligand 2) (lerk-2) [cleaved into: ephrin-b1 c-terminal fragment (ephrin-b1 ctf); ephrin-b1 intracellular domain (ephrin-b1 icd)]</t>
  </si>
  <si>
    <t>P98172</t>
  </si>
  <si>
    <t>EFR3A</t>
  </si>
  <si>
    <t>protein efr3 homolog a (protein efr3-like)</t>
  </si>
  <si>
    <t>Q14156</t>
  </si>
  <si>
    <t>EGF</t>
  </si>
  <si>
    <t>pro-epidermal growth factor (egf) [cleaved into: epidermal growth factor (urogastrone)]</t>
  </si>
  <si>
    <t>P01133</t>
  </si>
  <si>
    <t>EGLN1</t>
  </si>
  <si>
    <t>egl nine homolog 1 (ec 1.14.11.29) (hypoxia-inducible factor prolyl hydroxylase 2) (hif-ph2) (hif-prolyl hydroxylase 2) (hph-2) (prolyl hydroxylase domain-containing protein 2) (phd2) (sm-20)</t>
  </si>
  <si>
    <t>Q9GZT9</t>
  </si>
  <si>
    <t>EGR2</t>
  </si>
  <si>
    <t>e3 sumo-protein ligase egr2 (ec 2.3.2.-) (at591) (e3 sumo-protein transferase erg2) (early growth response protein 2) (egr-2) (zinc finger protein krox-20)</t>
  </si>
  <si>
    <t>P11161</t>
  </si>
  <si>
    <t>EHBP1</t>
  </si>
  <si>
    <t>eh domain-binding protein 1</t>
  </si>
  <si>
    <t>Q8NDI1</t>
  </si>
  <si>
    <t>EHHADH</t>
  </si>
  <si>
    <t>peroxisomal bifunctional enzyme (pbe) (pbfe) (l-bifunctional protein) (lbp) (multifunctional enzyme 1) (mfe1) [includes: enoyl-coa hydratase/3,2-trans-enoyl-coa isomerase (ec 4.2.1.17) (ec 5.3.3.8); 3-hydroxyacyl-coa dehydrogenase (ec 1.1.1.35)]</t>
  </si>
  <si>
    <t>Q08426</t>
  </si>
  <si>
    <t>EHMT1</t>
  </si>
  <si>
    <t>histone-lysine n-methyltransferase ehmt1 (ec 2.1.1.-) (ec 2.1.1.367) (euchromatic histone-lysine n-methyltransferase 1) (eu-hmtase1) (g9a-like protein 1) (glp) (glp1) (histone h3-k9 methyltransferase 5) (h3-k9-hmtase 5) (lysine n-methyltransferase 1d)</t>
  </si>
  <si>
    <t>Q9H9B1</t>
  </si>
  <si>
    <t>EI24</t>
  </si>
  <si>
    <t>etoposide-induced protein 2.4 homolog (p53-induced gene 8 protein)</t>
  </si>
  <si>
    <t>O14681</t>
  </si>
  <si>
    <t>EIF4H</t>
  </si>
  <si>
    <t>eukaryotic translation initiation factor 4h (eif-4h) (williams-beuren syndrome chromosomal region 1 protein)</t>
  </si>
  <si>
    <t>Q15056</t>
  </si>
  <si>
    <t>EIF5A</t>
  </si>
  <si>
    <t>eukaryotic translation initiation factor 5a-1 (eif-5a-1) (eif-5a1) (eukaryotic initiation factor 5a isoform 1) (eif-5a) (rev-binding factor) (eif-4d)</t>
  </si>
  <si>
    <t>P63241</t>
  </si>
  <si>
    <t>ELAC2</t>
  </si>
  <si>
    <t>zinc phosphodiesterase elac protein 2 (ec 3.1.26.11) (elac homolog protein 2) (heredity prostate cancer protein 2) (ribonuclease z 2) (rnase z 2) (trna 3 endonuclease 2) (trnase z 2)</t>
  </si>
  <si>
    <t>Q9BQ52</t>
  </si>
  <si>
    <t>ELF4</t>
  </si>
  <si>
    <t>ets-related transcription factor elf-4 (e74-like factor 4) (myeloid elf-1-like factor)</t>
  </si>
  <si>
    <t>Q99607</t>
  </si>
  <si>
    <t>ELMO2</t>
  </si>
  <si>
    <t>engulfment and cell motility protein 2 (protein ced-12 homolog a) (hced-12a)</t>
  </si>
  <si>
    <t>Q96JJ3</t>
  </si>
  <si>
    <t>ELN</t>
  </si>
  <si>
    <t>elastin (tropoelastin)</t>
  </si>
  <si>
    <t>P15502</t>
  </si>
  <si>
    <t>ELOVL1</t>
  </si>
  <si>
    <t>very long chain fatty acid elongase 1 (ec 2.3.1.199) (3-keto acyl-coa synthase elovl1) (elovl fatty acid elongase 1) (elovl fa elongase 1) (elongation of very long chain fatty acids protein 1) (very long chain 3-ketoacyl-coa synthase 1) (very long chain 3-oxoacyl-coa synthase 1)</t>
  </si>
  <si>
    <t>Q9BW60</t>
  </si>
  <si>
    <t>ELOVL4</t>
  </si>
  <si>
    <t>very long chain fatty acid elongase 4 (ec 2.3.1.199) (3-keto acyl-coa synthase elovl4) (elovl fatty acid elongase 4) (elovl fa elongase 4) (elongation of very long chain fatty acids protein 4) (very long chain 3-ketoacyl-coa synthase 4) (very long chain 3-oxoacyl-coa synthase 4)</t>
  </si>
  <si>
    <t>Q9GZR5</t>
  </si>
  <si>
    <t>ELOVL5</t>
  </si>
  <si>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t>
  </si>
  <si>
    <t>Q9NYP7</t>
  </si>
  <si>
    <t>ELP1</t>
  </si>
  <si>
    <t>elongator complex protein 1 (elp1) (ikappab kinase complex-associated protein) (ikk complex-associated protein) (p150)</t>
  </si>
  <si>
    <t>O95163</t>
  </si>
  <si>
    <t>EMD</t>
  </si>
  <si>
    <t>emerin</t>
  </si>
  <si>
    <t>P50402</t>
  </si>
  <si>
    <t>EML1</t>
  </si>
  <si>
    <t>echinoderm microtubule-associated protein-like 1 (emap-1) (huemap-1)</t>
  </si>
  <si>
    <t>O00423</t>
  </si>
  <si>
    <t>EML4</t>
  </si>
  <si>
    <t>echinoderm microtubule-associated protein-like 4 (emap-4) (restrictedly overexpressed proliferation-associated protein) (ropp 120)</t>
  </si>
  <si>
    <t>Q9HC35</t>
  </si>
  <si>
    <t>EMP2</t>
  </si>
  <si>
    <t>epithelial membrane protein 2 (emp-2) (protein xmp)</t>
  </si>
  <si>
    <t>P54851</t>
  </si>
  <si>
    <t>EMX2</t>
  </si>
  <si>
    <t>homeobox protein emx2 (empty spiracles homolog 2) (empty spiracles-like protein 2)</t>
  </si>
  <si>
    <t>Q04743</t>
  </si>
  <si>
    <t>EN1</t>
  </si>
  <si>
    <t>homeobox protein engrailed-1 (homeobox protein en-1) (hu-en-1)</t>
  </si>
  <si>
    <t>Q05925</t>
  </si>
  <si>
    <t>EN2</t>
  </si>
  <si>
    <t>homeobox protein engrailed-2 (homeobox protein en-2) (hu-en-2)</t>
  </si>
  <si>
    <t>P19622</t>
  </si>
  <si>
    <t>ENG</t>
  </si>
  <si>
    <t>endoglin (cd antigen cd105)</t>
  </si>
  <si>
    <t>P17813</t>
  </si>
  <si>
    <t>ENO3</t>
  </si>
  <si>
    <t>beta-enolase (ec 4.2.1.11) (2-phospho-d-glycerate hydro-lyase) (enolase 3) (muscle-specific enolase) (mse) (skeletal muscle enolase)</t>
  </si>
  <si>
    <t>P13929</t>
  </si>
  <si>
    <t>EOMES</t>
  </si>
  <si>
    <t>eomesodermin homolog (t-box brain protein 2) (t-brain-2) (tbr-2)</t>
  </si>
  <si>
    <t>O95936</t>
  </si>
  <si>
    <t>EPB41</t>
  </si>
  <si>
    <t>protein 4.1 (p4.1) (4.1r) (band 4.1) (epb4.1) (erythrocyte membrane protein band 4.1)</t>
  </si>
  <si>
    <t>P11171</t>
  </si>
  <si>
    <t>EPB41L1</t>
  </si>
  <si>
    <t>band 4.1-like protein 1 (erythrocyte membrane protein band 4.1-like 1) (neuronal protein 4.1) (4.1n)</t>
  </si>
  <si>
    <t>Q9H4G0</t>
  </si>
  <si>
    <t>EPB42</t>
  </si>
  <si>
    <t>protein 4.2 (p4.2) (erythrocyte membrane protein band 4.2) (erythrocyte protein 4.2)</t>
  </si>
  <si>
    <t>P16452</t>
  </si>
  <si>
    <t>EPCAM</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</si>
  <si>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</si>
  <si>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P16422</t>
  </si>
  <si>
    <t>EPG5</t>
  </si>
  <si>
    <t>ectopic p granules protein 5 homolog</t>
  </si>
  <si>
    <t>Q9HCE0</t>
  </si>
  <si>
    <t>epoxide hydrolase 1 (ec 3.3.2.9) (epoxide hydratase) (microsomal epoxide hydrolase) (meh)</t>
  </si>
  <si>
    <t>P07099</t>
  </si>
  <si>
    <t>EPM2A</t>
  </si>
  <si>
    <t>laforin (ec 3.1.3.-) (ec 3.1.3.16) (ec 3.1.3.48) (glucan phosphatase) (glycogen phosphatase) (lafora ptpase) (lafptpase)</t>
  </si>
  <si>
    <t>O95278</t>
  </si>
  <si>
    <t>EPO</t>
  </si>
  <si>
    <t>erythropoietin (epoetin)</t>
  </si>
  <si>
    <t>P01588</t>
  </si>
  <si>
    <t>EPOR</t>
  </si>
  <si>
    <t>erythropoietin receptor (epo-r)</t>
  </si>
  <si>
    <t>P19235</t>
  </si>
  <si>
    <t>EPS8</t>
  </si>
  <si>
    <t>epidermal growth factor receptor kinase substrate 8</t>
  </si>
  <si>
    <t>Q12929</t>
  </si>
  <si>
    <t>EPS8L2</t>
  </si>
  <si>
    <t>epidermal growth factor receptor kinase substrate 8-like protein 2 (eps8-like protein 2) (epidermal growth factor receptor pathway substrate 8-related protein 2) (eps8-related protein 2)</t>
  </si>
  <si>
    <t>Q9H6S3</t>
  </si>
  <si>
    <t>EPS15</t>
  </si>
  <si>
    <t>epidermal growth factor receptor substrate 15 (protein eps15) (protein af-1p)</t>
  </si>
  <si>
    <t>P42566</t>
  </si>
  <si>
    <t>EPX</t>
  </si>
  <si>
    <t>eosinophil peroxidase (epo) (ec 1.11.1.7) [cleaved into: eosinophil peroxidase light chain; eosinophil peroxidase heavy chain]</t>
  </si>
  <si>
    <t>P11678</t>
  </si>
  <si>
    <t>ERAL1</t>
  </si>
  <si>
    <t>gtpase era, mitochondrial (h-era) (hera) (conserved era-like gtpase) (cega) (era-w) (era-like protein 1)</t>
  </si>
  <si>
    <t>O75616</t>
  </si>
  <si>
    <t>ERC1</t>
  </si>
  <si>
    <t>elks/rab6-interacting/cast family member 1 (erc-1) (rab6-interacting protein 2)</t>
  </si>
  <si>
    <t>Q8IUD2</t>
  </si>
  <si>
    <t>ERCC5</t>
  </si>
  <si>
    <t>dna excision repair protein ercc-5 (ec 3.1.-.-) (dna repair protein complementing xp-g cells) (xpg) (xeroderma pigmentosum group g-complementing protein)</t>
  </si>
  <si>
    <t>P28715</t>
  </si>
  <si>
    <t>ERCC6L2</t>
  </si>
  <si>
    <t>dna excision repair protein ercc-6-like 2 (ec 3.6.4.-) (dna repair and recombination protein rad26-like)</t>
  </si>
  <si>
    <t>Q5T890</t>
  </si>
  <si>
    <t>ERF</t>
  </si>
  <si>
    <t>ets domain-containing transcription factor erf (ets2 repressor factor) (pe-2)</t>
  </si>
  <si>
    <t>P50548</t>
  </si>
  <si>
    <t>ERGIC1</t>
  </si>
  <si>
    <t>endoplasmic reticulum-golgi intermediate compartment protein 1 (er-golgi intermediate compartment 32 kda protein) (ergic-32)</t>
  </si>
  <si>
    <t>Q969X5</t>
  </si>
  <si>
    <t>ERMARD</t>
  </si>
  <si>
    <t>endoplasmic reticulum membrane-associated rna degradation protein (er membrane-associated rna degradation protein)</t>
  </si>
  <si>
    <t>Q5T6L9</t>
  </si>
  <si>
    <t>ESCO2</t>
  </si>
  <si>
    <t>n-acetyltransferase esco2 (ec 2.3.1.-) (establishment factor-like protein 2) (efo2) (efo2p) (hefo2) (establishment of cohesion 1 homolog 2) (eco1 homolog 2)</t>
  </si>
  <si>
    <t>Q56NI9</t>
  </si>
  <si>
    <t>espin (autosomal recessive deafness type 36 protein) (ectoplasmic specialization protein)</t>
  </si>
  <si>
    <t>B1AK53</t>
  </si>
  <si>
    <t>ESRP1</t>
  </si>
  <si>
    <t>epithelial splicing regulatory protein 1 (rna-binding motif protein 35a) (rna-binding protein 35a)</t>
  </si>
  <si>
    <t>Q6NXG1</t>
  </si>
  <si>
    <t>ETFDH</t>
  </si>
  <si>
    <t>electron transfer flavoprotein-ubiquinone oxidoreductase, mitochondrial (etf-qo) (etf-ubiquinone oxidoreductase) (ec 1.5.5.1) (electron-transferring-flavoprotein dehydrogenase) (etf dehydrogenase)</t>
  </si>
  <si>
    <t>Q16134</t>
  </si>
  <si>
    <t>ETHE1</t>
  </si>
  <si>
    <t>persulfide dioxygenase ethe1, mitochondrial (ec 1.13.11.18) (ethylmalonic encephalopathy protein 1) (hepatoma subtracted clone one protein) (sulfur dioxygenase ethe1)</t>
  </si>
  <si>
    <t>O95571</t>
  </si>
  <si>
    <t>ETV1</t>
  </si>
  <si>
    <t>ets translocation variant 1 (ets-related protein 81)</t>
  </si>
  <si>
    <t>P50549</t>
  </si>
  <si>
    <t>ETV6</t>
  </si>
  <si>
    <t>transcription factor etv6 (ets translocation variant 6) (ets-related protein tel1) (tel)</t>
  </si>
  <si>
    <t>P41212</t>
  </si>
  <si>
    <t>EVC</t>
  </si>
  <si>
    <t>evc complex member evc (dwf-1) (ellis-van creveld syndrome protein)</t>
  </si>
  <si>
    <t>P57679</t>
  </si>
  <si>
    <t>EVC2</t>
  </si>
  <si>
    <t>limbin (ellis-van creveld syndrome protein 2) (evc2)</t>
  </si>
  <si>
    <t>Q86UK5</t>
  </si>
  <si>
    <t>EVI5</t>
  </si>
  <si>
    <t>ecotropic viral integration site 5 protein homolog (evi-5) (neuroblastoma stage 4s gene protein)</t>
  </si>
  <si>
    <t>O60447</t>
  </si>
  <si>
    <t>EWSR1</t>
  </si>
  <si>
    <t>rna-binding protein ews (ews oncogene) (ewing sarcoma breakpoint region 1 protein)</t>
  </si>
  <si>
    <t>Q01844</t>
  </si>
  <si>
    <t>EXPH5</t>
  </si>
  <si>
    <t>exophilin-5 (synaptotagmin-like protein homolog lacking c2 domains b) (slac2-b) (slp homolog lacking c2 domains b)</t>
  </si>
  <si>
    <t>Q8NEV8</t>
  </si>
  <si>
    <t>EXTL3</t>
  </si>
  <si>
    <t>exostosin-like 3 (ec 2.4.1.223) (ext-related protein 1) (glucuronyl-galactosyl-proteoglycan 4-alpha-n-acetylglucosaminyltransferase) (hereditary multiple exostoses gene isolog) (multiple exostosis-like protein 3) (putative tumor suppressor protein extl3)</t>
  </si>
  <si>
    <t>O43909</t>
  </si>
  <si>
    <t>EYA1</t>
  </si>
  <si>
    <t>eyes absent homolog 1 (ec 3.1.3.16) (ec 3.1.3.48)</t>
  </si>
  <si>
    <t>Q99502</t>
  </si>
  <si>
    <t>EYA4</t>
  </si>
  <si>
    <t>eyes absent homolog 4 (ec 3.1.3.48)</t>
  </si>
  <si>
    <t>O95677</t>
  </si>
  <si>
    <t>EYS</t>
  </si>
  <si>
    <t>protein eyes shut homolog (epidermal growth factor-like protein 10) (egf-like protein 10) (epidermal growth factor-like protein 11) (egf-like protein 11) (protein spacemaker homolog)</t>
  </si>
  <si>
    <t>Q5T1H1</t>
  </si>
  <si>
    <t>F8A1</t>
  </si>
  <si>
    <t>coagulation factor viii</t>
  </si>
  <si>
    <t>Q0GE96</t>
  </si>
  <si>
    <t>F8A2</t>
  </si>
  <si>
    <t>40-kda huntingtin-associated protein (hap40) (cpg island protein) (factor viii intron 22 protein)</t>
  </si>
  <si>
    <t>P23610</t>
  </si>
  <si>
    <t>F8A3</t>
  </si>
  <si>
    <t>FA2H</t>
  </si>
  <si>
    <t>fatty acid 2-hydroxylase (ec 1.14.18.-) (fatty acid alpha-hydroxylase) (fatty acid hydroxylase domain-containing protein 1)</t>
  </si>
  <si>
    <t>Q7L5A8</t>
  </si>
  <si>
    <t>FAH</t>
  </si>
  <si>
    <t>fumarylacetoacetase (faa) (ec 3.7.1.2) (beta-diketonase) (fumarylacetoacetate hydrolase)</t>
  </si>
  <si>
    <t>P16930</t>
  </si>
  <si>
    <t>FAM20A</t>
  </si>
  <si>
    <t>pseudokinase fam20a</t>
  </si>
  <si>
    <t>Q96MK3</t>
  </si>
  <si>
    <t>FAM20C</t>
  </si>
  <si>
    <t>extracellular serine/threonine protein kinase fam20c (ec 2.7.11.1) (dentin matrix protein 4) (dmp-4) (golgi casein kinase) (golgi-enriched fraction casein kinase) (gef-ck)</t>
  </si>
  <si>
    <t>Q8IXL6</t>
  </si>
  <si>
    <t>FAM83D</t>
  </si>
  <si>
    <t>protein fam83d (spindle protein chica)</t>
  </si>
  <si>
    <t>Q9H4H8</t>
  </si>
  <si>
    <t>FAM83H</t>
  </si>
  <si>
    <t>protein fam83h</t>
  </si>
  <si>
    <t>Q6ZRV2</t>
  </si>
  <si>
    <t>FAM161A</t>
  </si>
  <si>
    <t>protein fam161a</t>
  </si>
  <si>
    <t>Q3B820</t>
  </si>
  <si>
    <t>FAN1</t>
  </si>
  <si>
    <t>fanconi-associated nuclease 1 (ec 3.1.21.-) (ec 3.1.4.1) (fancd2/fanci-associated nuclease 1) (hfan1) (myotubularin-related protein 15)</t>
  </si>
  <si>
    <t>Q9Y2M0</t>
  </si>
  <si>
    <t>FAR1</t>
  </si>
  <si>
    <t>fatty acyl-coa reductase 1 (ec 1.2.1.84) (male sterility domain-containing protein 2)</t>
  </si>
  <si>
    <t>Q8WVX9</t>
  </si>
  <si>
    <t>FARS2</t>
  </si>
  <si>
    <t>phenylalanine--trna ligase, mitochondrial (ec 6.1.1.20) (phenylalanyl-trna synthetase) (phers)</t>
  </si>
  <si>
    <t>O95363</t>
  </si>
  <si>
    <t>FAS</t>
  </si>
  <si>
    <t>tumor necrosis factor receptor superfamily member 6 (apo-1 antigen) (apoptosis-mediating surface antigen fas) (faslg receptor) (cd antigen cd95)</t>
  </si>
  <si>
    <t>P25445</t>
  </si>
  <si>
    <t>FASLG</t>
  </si>
  <si>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</si>
  <si>
    <t>P48023</t>
  </si>
  <si>
    <t>FAT2</t>
  </si>
  <si>
    <t>protocadherin fat 2 (hfat2) (cadherin family member 8) (multiple epidermal growth factor-like domains protein 1) (multiple egf-like domains protein 1)</t>
  </si>
  <si>
    <t>Q9NYQ8</t>
  </si>
  <si>
    <t>FAT4</t>
  </si>
  <si>
    <t>protocadherin fat 4 (hfat4) (cadherin family member 14) (fat tumor suppressor homolog 4) (fat-like cadherin protein fat-j)</t>
  </si>
  <si>
    <t>Q6V0I7</t>
  </si>
  <si>
    <t>FBLN1</t>
  </si>
  <si>
    <t>fibulin-1 (fibl-1)</t>
  </si>
  <si>
    <t>P23142</t>
  </si>
  <si>
    <t>FBLN5</t>
  </si>
  <si>
    <t>fibulin-5 (fibl-5) (developmental arteries and neural crest egf-like protein) (dance) (urine p50 protein) (up50)</t>
  </si>
  <si>
    <t>Q9UBX5</t>
  </si>
  <si>
    <t>FBN1</t>
  </si>
  <si>
    <t>fibrillin-1 [cleaved into: asprosin]</t>
  </si>
  <si>
    <t>P35555</t>
  </si>
  <si>
    <t>FBN2</t>
  </si>
  <si>
    <t>fibrillin-2 [cleaved into: placensin]</t>
  </si>
  <si>
    <t>P35556</t>
  </si>
  <si>
    <t>FBP1</t>
  </si>
  <si>
    <t>fructose-1,6-bisphosphatase 1 (fbpase 1) (ec 3.1.3.11) (d-fructose-1,6-bisphosphate 1-phosphohydrolase 1) (liver fbpase)</t>
  </si>
  <si>
    <t>P09467</t>
  </si>
  <si>
    <t>FBP2</t>
  </si>
  <si>
    <t>fructose-1,6-bisphosphatase isozyme 2 (fbpase 2) (ec 3.1.3.11) (d-fructose-1,6-bisphosphate 1-phosphohydrolase 2) (muscle fbpase)</t>
  </si>
  <si>
    <t>O00757</t>
  </si>
  <si>
    <t>FCGR2B</t>
  </si>
  <si>
    <t>low affinity immunoglobulin gamma fc region receptor ii-b (igg fc receptor ii-b) (cdw32) (fc-gamma rii-b) (fc-gamma-riib) (fcrii-b) (cd antigen cd32)</t>
  </si>
  <si>
    <t>P31994</t>
  </si>
  <si>
    <t>FCGR3A</t>
  </si>
  <si>
    <t>low affinity immunoglobulin gamma fc region receptor iii-a (igg fc receptor iii-a) (cd16-ii) (cd16a antigen) (fc-gamma riii-alpha) (fc-gamma riii) (fc-gamma riiia) (fcriii) (fcriiia) (fcgammariiia) (fcr-10) (igg fc receptor iii-2) (cd antigen cd16a)</t>
  </si>
  <si>
    <t>P08637</t>
  </si>
  <si>
    <t>FCHO1</t>
  </si>
  <si>
    <t>f-bar domain only protein 1</t>
  </si>
  <si>
    <t>O14526</t>
  </si>
  <si>
    <t>FCRL3</t>
  </si>
  <si>
    <t>fc receptor-like protein 3 (fcr-like protein 3) (fcrl3) (fc receptor homolog 3) (fcrh3) (ifgp family protein 3) (hifgp3) (immune receptor translocation-associated protein 3) (maia) (sh2 domain-containing phosphatase anchor protein 2) (cd antigen cd307c)</t>
  </si>
  <si>
    <t>Q96P31</t>
  </si>
  <si>
    <t>FCRL4</t>
  </si>
  <si>
    <t>fc receptor-like protein 4 (fcr-like protein 4) (fcrl4) (fc receptor homolog 4) (fcrh4) (ifgp family protein 2) (hifgp2) (immune receptor translocation-associated protein 1) (cd antigen cd307d)</t>
  </si>
  <si>
    <t>Q96PJ5</t>
  </si>
  <si>
    <t>FCRL5</t>
  </si>
  <si>
    <t>fc receptor-like protein 5 (fcr-like protein 5) (fcrl5) (bxmas1) (fc receptor homolog 5) (fcrh5) (immune receptor translocation-associated protein 2) (cd antigen cd307e)</t>
  </si>
  <si>
    <t>Q96RD9</t>
  </si>
  <si>
    <t>FDFT1</t>
  </si>
  <si>
    <t>squalene synthase (sqs) (ss) (ec 2.5.1.21) (fpp:fpp farnesyltransferase) (farnesyl-diphosphate farnesyltransferase) (farnesyl-diphosphate farnesyltransferase 1)</t>
  </si>
  <si>
    <t>P37268</t>
  </si>
  <si>
    <t>FDPS</t>
  </si>
  <si>
    <t>farnesyl pyrophosphate synthase (fpp synthase) (fps) (ec 2.5.1.10) ((2e,6e)-farnesyl diphosphate synthase) (dimethylallyltranstransferase) (ec 2.5.1.1) (farnesyl diphosphate synthase) (geranyltranstransferase)</t>
  </si>
  <si>
    <t>P14324</t>
  </si>
  <si>
    <t>FDXR</t>
  </si>
  <si>
    <t>nadph:adrenodoxin oxidoreductase, mitochondrial (ar) (adrenodoxin reductase) (ec 1.18.1.6) (ferredoxin--nadp(+) reductase) (ferredoxin reductase)</t>
  </si>
  <si>
    <t>P22570</t>
  </si>
  <si>
    <t>FERMT1</t>
  </si>
  <si>
    <t>fermitin family homolog 1 (kindlerin) (kindlin syndrome protein) (kindlin-1) (unc-112-related protein 1)</t>
  </si>
  <si>
    <t>Q9BQL6</t>
  </si>
  <si>
    <t>FERMT3</t>
  </si>
  <si>
    <t>fermitin family homolog 3 (kindlin-3) (mig2-like protein) (unc-112-related protein 2)</t>
  </si>
  <si>
    <t>Q86UX7</t>
  </si>
  <si>
    <t>FEV</t>
  </si>
  <si>
    <t>protein fev (fifth ewing variant protein) (pc12 ets domain-containing transcription factor 1) (pc12 ets factor 1) (pet-1)</t>
  </si>
  <si>
    <t>Q99581</t>
  </si>
  <si>
    <t>FEZF1</t>
  </si>
  <si>
    <t>fez family zinc finger protein 1 (zinc finger protein 312b)</t>
  </si>
  <si>
    <t>A0PJY2</t>
  </si>
  <si>
    <t>FGD1</t>
  </si>
  <si>
    <t>fyve, rhogef and ph domain-containing protein 1 (faciogenital dysplasia 1 protein) (rho/rac guanine nucleotide exchange factor fgd1) (rho/rac gef) (zinc finger fyve domain-containing protein 3)</t>
  </si>
  <si>
    <t>P98174</t>
  </si>
  <si>
    <t>FGD4</t>
  </si>
  <si>
    <t>fyve, rhogef and ph domain-containing protein 4 (actin filament-binding protein frabin) (fgd1-related f-actin-binding protein) (zinc finger fyve domain-containing protein 6)</t>
  </si>
  <si>
    <t>Q96M96</t>
  </si>
  <si>
    <t>FGF3</t>
  </si>
  <si>
    <t>fibroblast growth factor 3 (fgf-3) (heparin-binding growth factor 3) (hbgf-3) (proto-oncogene int-2)</t>
  </si>
  <si>
    <t>P11487</t>
  </si>
  <si>
    <t>FGF5</t>
  </si>
  <si>
    <t>fibroblast growth factor 5 (fgf-5) (heparin-binding growth factor 5) (hbgf-5) (smag-82)</t>
  </si>
  <si>
    <t>P12034</t>
  </si>
  <si>
    <t>FGF8</t>
  </si>
  <si>
    <t>fibroblast growth factor 8 (fgf-8) (androgen-induced growth factor) (aigf) (heparin-binding growth factor 8) (hbgf-8)</t>
  </si>
  <si>
    <t>P55075</t>
  </si>
  <si>
    <t>FGF9</t>
  </si>
  <si>
    <t>fibroblast growth factor 9 (fgf-9) (glia-activating factor) (gaf) (heparin-binding growth factor 9) (hbgf-9)</t>
  </si>
  <si>
    <t>P31371</t>
  </si>
  <si>
    <t>FGF10</t>
  </si>
  <si>
    <t>fibroblast growth factor 10 (fgf-10) (keratinocyte growth factor 2)</t>
  </si>
  <si>
    <t>O15520</t>
  </si>
  <si>
    <t>FGF12</t>
  </si>
  <si>
    <t>fibroblast growth factor 12 (fgf-12) (fibroblast growth factor homologous factor 1) (fhf-1) (myocyte-activating factor)</t>
  </si>
  <si>
    <t>P61328</t>
  </si>
  <si>
    <t>FGF14</t>
  </si>
  <si>
    <t>fibroblast growth factor 14 (fgf-14) (fibroblast growth factor homologous factor 4) (fhf-4)</t>
  </si>
  <si>
    <t>Q92915</t>
  </si>
  <si>
    <t>FGF16</t>
  </si>
  <si>
    <t>fibroblast growth factor 16 (fgf-16)</t>
  </si>
  <si>
    <t>O43320</t>
  </si>
  <si>
    <t>FGF17</t>
  </si>
  <si>
    <t>fibroblast growth factor 17 (fgf-17)</t>
  </si>
  <si>
    <t>O60258</t>
  </si>
  <si>
    <t>FGF20</t>
  </si>
  <si>
    <t>fibroblast growth factor 20 (fgf-20)</t>
  </si>
  <si>
    <t>Q9NP95</t>
  </si>
  <si>
    <t>FGF23</t>
  </si>
  <si>
    <t>fibroblast growth factor 23 (fgf-23) (phosphatonin) (tumor-derived hypophosphatemia-inducing factor) [cleaved into: fibroblast growth factor 23 n-terminal peptide; fibroblast growth factor 23 c-terminal peptide]</t>
  </si>
  <si>
    <t>Q9GZV9</t>
  </si>
  <si>
    <t>FGFR1OP2</t>
  </si>
  <si>
    <t>fgfr1 oncogene partner 2</t>
  </si>
  <si>
    <t>Q9NVK5</t>
  </si>
  <si>
    <t>FGGY</t>
  </si>
  <si>
    <t>fggy carbohydrate kinase domain-containing protein (d-ribulokinase fggy) (ec 2.7.1.47)</t>
  </si>
  <si>
    <t>Q96C11</t>
  </si>
  <si>
    <t>FH</t>
  </si>
  <si>
    <t>fumarate hydratase, mitochondrial (fumarase) (hsfh) (ec 4.2.1.2)</t>
  </si>
  <si>
    <t>P07954</t>
  </si>
  <si>
    <t>FHIT</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</si>
  <si>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</si>
  <si>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P49789</t>
  </si>
  <si>
    <t>FHL1</t>
  </si>
  <si>
    <t>four and a half lim domains protein 1 (fhl-1) (skeletal muscle lim-protein 1) (slim) (slim-1)</t>
  </si>
  <si>
    <t>Q13642</t>
  </si>
  <si>
    <t>FIBP</t>
  </si>
  <si>
    <t>acidic fibroblast growth factor intracellular-binding protein (afgf intracellular-binding protein) (fgf-1 intracellular-binding protein)</t>
  </si>
  <si>
    <t>O43427</t>
  </si>
  <si>
    <t>FIG4</t>
  </si>
  <si>
    <t>polyphosphoinositide phosphatase (ec 3.1.3.-) (ec 3.1.3.36) (ec 3.1.3.86) (phosphatidylinositol 3,5-bisphosphate 5-phosphatase) (sac domain-containing protein 3) (serine-protein phosphatase fig4) (ec 3.1.3.16)</t>
  </si>
  <si>
    <t>Q92562</t>
  </si>
  <si>
    <t>FIGLA</t>
  </si>
  <si>
    <t>factor in the germline alpha (figalpha) (class c basic helix-loop-helix protein 8) (bhlhc8) (folliculogenesis-specific basic helix-loop-helix protein) (transcription factor figa)</t>
  </si>
  <si>
    <t>Q6QHK4</t>
  </si>
  <si>
    <t>FKBP6</t>
  </si>
  <si>
    <t>inactive peptidyl-prolyl cis-trans isomerase fkbp6 (inactive ppiase fkbp6) (36 kda fk506-binding protein) (36 kda fkbp) (fkbp-36) (fk506-binding protein 6) (fkbp-6) (immunophilin fkbp36)</t>
  </si>
  <si>
    <t>O75344</t>
  </si>
  <si>
    <t>FKBP10</t>
  </si>
  <si>
    <t>peptidyl-prolyl cis-trans isomerase fkbp10 (ppiase fkbp10) (ec 5.2.1.8) (65 kda fk506-binding protein) (65 kda fkbp) (fkbp-65) (fk506-binding protein 10) (fkbp-10) (immunophilin fkbp65) (rotamase)</t>
  </si>
  <si>
    <t>Q96AY3</t>
  </si>
  <si>
    <t>FLAD1</t>
  </si>
  <si>
    <t>fad synthase (ec 2.7.7.2) (fad pyrophosphorylase) (fmn adenylyltransferase) (flavin adenine dinucleotide synthase) [includes: molybdenum cofactor biosynthesis protein-like region; fad synthase region]</t>
  </si>
  <si>
    <t>Q8NFF5</t>
  </si>
  <si>
    <t>FLG</t>
  </si>
  <si>
    <t>filaggrin</t>
  </si>
  <si>
    <t>P20930</t>
  </si>
  <si>
    <t>FLG2</t>
  </si>
  <si>
    <t>filaggrin-2 (flg-2) (intermediate filament-associated and psoriasis-susceptibility protein) (ifapsoriasin)</t>
  </si>
  <si>
    <t>Q5D862</t>
  </si>
  <si>
    <t>FLI1</t>
  </si>
  <si>
    <t>friend leukemia integration 1 transcription factor (proto-oncogene fli-1) (transcription factor ergb)</t>
  </si>
  <si>
    <t>Q01543</t>
  </si>
  <si>
    <t>FLNB</t>
  </si>
  <si>
    <t>filamin-b (fln-b) (abp-278) (abp-280 homolog) (actin-binding-like protein) (beta-filamin) (filamin homolog 1) (fh1) (filamin-3) (thyroid autoantigen) (truncated actin-binding protein) (truncated abp)</t>
  </si>
  <si>
    <t>O75369</t>
  </si>
  <si>
    <t>FLNC</t>
  </si>
  <si>
    <t>filamin-c (fln-c) (flnc) (abp-280-like protein) (abp-l) (actin-binding-like protein) (filamin-2) (gamma-filamin)</t>
  </si>
  <si>
    <t>Q14315</t>
  </si>
  <si>
    <t>FLRT3</t>
  </si>
  <si>
    <t>leucine-rich repeat transmembrane protein flrt3 (fibronectin-like domain-containing leucine-rich transmembrane protein 3)</t>
  </si>
  <si>
    <t>Q9NZU0</t>
  </si>
  <si>
    <t>FLVCR1</t>
  </si>
  <si>
    <t>heme transporter flvcr1 (feline leukemia virus subgroup c receptor-related protein 1) (feline leukemia virus subgroup c receptor) (hflvcr)</t>
  </si>
  <si>
    <t>Q9Y5Y0</t>
  </si>
  <si>
    <t>FMN2</t>
  </si>
  <si>
    <t>formin-2</t>
  </si>
  <si>
    <t>Q9NZ56</t>
  </si>
  <si>
    <t>FNBP1</t>
  </si>
  <si>
    <t>formin-binding protein 1 (formin-binding protein 17) (hfbp17)</t>
  </si>
  <si>
    <t>Q96RU3</t>
  </si>
  <si>
    <t>FOXC1</t>
  </si>
  <si>
    <t>forkhead box protein c1 (forkhead-related protein fkhl7) (forkhead-related transcription factor 3) (freac-3)</t>
  </si>
  <si>
    <t>Q12948</t>
  </si>
  <si>
    <t>FOXC2</t>
  </si>
  <si>
    <t>forkhead box protein c2 (forkhead-related protein fkhl14) (mesenchyme fork head protein 1) (mfh-1 protein) (transcription factor fkh-14)</t>
  </si>
  <si>
    <t>Q99958</t>
  </si>
  <si>
    <t>FOXD3</t>
  </si>
  <si>
    <t>forkhead box protein d3 (hnf3/fh transcription factor genesis)</t>
  </si>
  <si>
    <t>Q9UJU5</t>
  </si>
  <si>
    <t>FOXE1</t>
  </si>
  <si>
    <t>forkhead box protein e1 (forkhead box protein e2) (forkhead-related protein fkhl15) (hfkh4) (hnf-3/fork head-like protein 5) (hfkl5) (thyroid transcription factor 2) (ttf-2)</t>
  </si>
  <si>
    <t>O00358</t>
  </si>
  <si>
    <t>FOXE3</t>
  </si>
  <si>
    <t>forkhead box protein e3 (forkhead-related protein fkhl12) (forkhead-related transcription factor 8) (freac-8)</t>
  </si>
  <si>
    <t>Q13461</t>
  </si>
  <si>
    <t>FOXF1</t>
  </si>
  <si>
    <t>forkhead box protein f1 (forkhead-related activator 1) (freac-1) (forkhead-related protein fkhl5) (forkhead-related transcription factor 1)</t>
  </si>
  <si>
    <t>Q12946</t>
  </si>
  <si>
    <t>FOXG1</t>
  </si>
  <si>
    <t>forkhead box protein g1 (brain factor 1) (bf-1) (bf1) (brain factor 2) (bf-2) (bf2) (hbf-2) (forkhead box protein g1a) (forkhead box protein g1b) (forkhead box protein g1c) (forkhead-related protein fkhl1) (hfk1) (forkhead-related protein fkhl2) (hfk2) (forkhead-related protein fkhl3) (hfk3)</t>
  </si>
  <si>
    <t>P55316</t>
  </si>
  <si>
    <t>FOXJ1</t>
  </si>
  <si>
    <t>forkhead box protein j1 (forkhead-related protein fkhl13) (hepatocyte nuclear factor 3 forkhead homolog 4) (hfh-4)</t>
  </si>
  <si>
    <t>Q92949</t>
  </si>
  <si>
    <t>FOXL2</t>
  </si>
  <si>
    <t>forkhead box protein l2</t>
  </si>
  <si>
    <t>P58012</t>
  </si>
  <si>
    <t>FOXN1</t>
  </si>
  <si>
    <t>forkhead box protein n1 (winged-helix transcription factor nude)</t>
  </si>
  <si>
    <t>O15353</t>
  </si>
  <si>
    <t>FOXO4</t>
  </si>
  <si>
    <t>forkhead box protein o4 (fork head domain transcription factor afx1)</t>
  </si>
  <si>
    <t>P98177</t>
  </si>
  <si>
    <t>FOXP1</t>
  </si>
  <si>
    <t>forkhead box protein p1 (mac-1-regulated forkhead) (mfh)</t>
  </si>
  <si>
    <t>Q9H334</t>
  </si>
  <si>
    <t>FOXP2</t>
  </si>
  <si>
    <t>forkhead box protein p2 (cag repeat protein 44) (trinucleotide repeat-containing gene 10 protein)</t>
  </si>
  <si>
    <t>O15409</t>
  </si>
  <si>
    <t>FOXP3</t>
  </si>
  <si>
    <t>forkhead box protein p3 (scurfin) [cleaved into: forkhead box protein p3, c-terminally processed; forkhead box protein p3 41 kda form]</t>
  </si>
  <si>
    <t>Q9BZS1</t>
  </si>
  <si>
    <t>FOXR1</t>
  </si>
  <si>
    <t>forkhead box protein r1 (forkhead box protein n5)</t>
  </si>
  <si>
    <t>Q6PIV2</t>
  </si>
  <si>
    <t>FOXRED1</t>
  </si>
  <si>
    <t>fad-dependent oxidoreductase domain-containing protein 1 (ec 1.-.-.-)</t>
  </si>
  <si>
    <t>Q96CU9</t>
  </si>
  <si>
    <t>FREM1</t>
  </si>
  <si>
    <t>fras1-related extracellular matrix protein 1 (protein qbrick)</t>
  </si>
  <si>
    <t>Q5H8C1</t>
  </si>
  <si>
    <t>FRG1</t>
  </si>
  <si>
    <t>protein frg1 (fshd region gene 1 protein)</t>
  </si>
  <si>
    <t>Q14331</t>
  </si>
  <si>
    <t>FRMD4A</t>
  </si>
  <si>
    <t>ferm domain-containing protein 4a</t>
  </si>
  <si>
    <t>Q9P2Q2</t>
  </si>
  <si>
    <t>FRMD7</t>
  </si>
  <si>
    <t>ferm domain-containing protein 7</t>
  </si>
  <si>
    <t>Q6ZUT3</t>
  </si>
  <si>
    <t>FRMPD4</t>
  </si>
  <si>
    <t>ferm and pdz domain-containing protein 4 (pdz domain-containing protein 10) (psd-95-interacting regulator of spine morphogenesis) (preso)</t>
  </si>
  <si>
    <t>Q14CM0</t>
  </si>
  <si>
    <t>FRRS1L</t>
  </si>
  <si>
    <t>domon domain-containing protein frrs1l (brain protein cg-6) (ferric-chelate reductase 1-like protein)</t>
  </si>
  <si>
    <t>Q9P0K9</t>
  </si>
  <si>
    <t>FRYL</t>
  </si>
  <si>
    <t>protein furry homolog-like (all1-fused gene from chromosome 4p12 protein)</t>
  </si>
  <si>
    <t>O94915</t>
  </si>
  <si>
    <t>FRZB</t>
  </si>
  <si>
    <t>secreted frizzled-related protein 3 (sfrp-3) (frezzled) (fritz) (frizzled-related protein 1) (frzb-1)</t>
  </si>
  <si>
    <t>Q92765</t>
  </si>
  <si>
    <t>fascin-2 (retinal fascin)</t>
  </si>
  <si>
    <t>O14926</t>
  </si>
  <si>
    <t>FSHR</t>
  </si>
  <si>
    <t>follicle-stimulating hormone receptor (fsh-r) (follitropin receptor)</t>
  </si>
  <si>
    <t>P23945</t>
  </si>
  <si>
    <t>FSIP2</t>
  </si>
  <si>
    <t>fibrous sheath-interacting protein 2</t>
  </si>
  <si>
    <t>Q5CZC0</t>
  </si>
  <si>
    <t>FSTL3</t>
  </si>
  <si>
    <t>follistatin-related protein 3 (follistatin-like protein 3) (follistatin-related gene protein)</t>
  </si>
  <si>
    <t>O95633</t>
  </si>
  <si>
    <t>FTCD</t>
  </si>
  <si>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</si>
  <si>
    <t>O95954</t>
  </si>
  <si>
    <t>FTH1</t>
  </si>
  <si>
    <t>ferritin heavy chain (ferritin h subunit) (ec 1.16.3.1) (cell proliferation-inducing gene 15 protein) [cleaved into: ferritin heavy chain, n-terminally processed]</t>
  </si>
  <si>
    <t>P02794</t>
  </si>
  <si>
    <t>FTL</t>
  </si>
  <si>
    <t>ferritin light chain (ferritin l subunit)</t>
  </si>
  <si>
    <t>P02792</t>
  </si>
  <si>
    <t>FTO</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</si>
  <si>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</si>
  <si>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Q9C0B1</t>
  </si>
  <si>
    <t>FTSJ1</t>
  </si>
  <si>
    <t>trna (cytidine(32)/guanosine(34)-2'-o)-methyltransferase (ec 2.1.1.205) (2'-o-ribose rna methyltransferase trm7 homolog) (protein ftsj homolog 1)</t>
  </si>
  <si>
    <t>Q9UET6</t>
  </si>
  <si>
    <t>tissue alpha-l-fucosidase (ec 3.2.1.51) (alpha-l-fucosidase i) (alpha-l-fucoside fucohydrolase 1) (alpha-l-fucosidase 1)</t>
  </si>
  <si>
    <t>P04066</t>
  </si>
  <si>
    <t>FUS</t>
  </si>
  <si>
    <t>rna-binding protein fus (75 kda dna-pairing protein) (oncogene fus) (oncogene tls) (pomp75) (translocated in liposarcoma protein)</t>
  </si>
  <si>
    <t>P35637</t>
  </si>
  <si>
    <t>FUT8</t>
  </si>
  <si>
    <t>alpha-(1,6)-fucosyltransferase (alpha1-6fuct) (ec 2.4.1.68) (fucosyltransferase 8) (gdp-l-fuc:n-acetyl-beta-d-glucosaminide alpha1,6-fucosyltransferase) (gdp-fucose--glycoprotein fucosyltransferase) (glycoprotein 6-alpha-l-fucosyltransferase)</t>
  </si>
  <si>
    <t>Q9BYC5</t>
  </si>
  <si>
    <t>FYB1</t>
  </si>
  <si>
    <t>fyn-binding protein 1 (adhesion and degranulation promoting adaptor protein) (adap) (fyb-120/130) (p120/p130) (fyn-t-binding protein) (slap-130) (slp-76-associated phosphoprotein)</t>
  </si>
  <si>
    <t>O15117</t>
  </si>
  <si>
    <t>FYCO1</t>
  </si>
  <si>
    <t>fyve and coiled-coil domain-containing protein 1 (zinc finger fyve domain-containing protein 7)</t>
  </si>
  <si>
    <t>Q9BQS8</t>
  </si>
  <si>
    <t>FZD2</t>
  </si>
  <si>
    <t>frizzled-2 (fz-2) (hfz2) (fze2)</t>
  </si>
  <si>
    <t>Q14332</t>
  </si>
  <si>
    <t>FZD4</t>
  </si>
  <si>
    <t>frizzled-4 (fz-4) (hfz4) (fze4) (cd antigen cd344)</t>
  </si>
  <si>
    <t>Q9ULV1</t>
  </si>
  <si>
    <t>FZD6</t>
  </si>
  <si>
    <t>frizzled-6 (fz-6) (hfz6)</t>
  </si>
  <si>
    <t>O60353</t>
  </si>
  <si>
    <t>G6PC3</t>
  </si>
  <si>
    <t>glucose-6-phosphatase 3 (g-6-pase 3) (g6pase 3) (ec 3.1.3.9) (glucose-6-phosphatase beta) (g6pase-beta) (ubiquitous glucose-6-phosphatase catalytic subunit-related protein)</t>
  </si>
  <si>
    <t>Q9BUM1</t>
  </si>
  <si>
    <t>GAB1</t>
  </si>
  <si>
    <t>grb2-associated-binding protein 1 (grb2-associated binder 1) (growth factor receptor bound protein 2-associated protein 1)</t>
  </si>
  <si>
    <t>Q13480</t>
  </si>
  <si>
    <t>GAL</t>
  </si>
  <si>
    <t>galanin peptides [cleaved into: galanin; galanin message-associated peptide (gmap)]</t>
  </si>
  <si>
    <t>P22466</t>
  </si>
  <si>
    <t>GALE</t>
  </si>
  <si>
    <t>udp-glucose 4-epimerase (ec 5.1.3.2) (galactowaldenase) (udp-n-acetylgalactosamine 4-epimerase) (udp-galnac 4-epimerase) (udp-n-acetylglucosamine 4-epimerase) (udp-glcnac 4-epimerase) (ec 5.1.3.7) (udp-galactose 4-epimerase)</t>
  </si>
  <si>
    <t>Q14376</t>
  </si>
  <si>
    <t>GALK1</t>
  </si>
  <si>
    <t>galactokinase (ec 2.7.1.6) (galactose kinase)</t>
  </si>
  <si>
    <t>P51570</t>
  </si>
  <si>
    <t>GALM</t>
  </si>
  <si>
    <t>galactose mutarotase (ec 5.1.3.3) (aldose 1-epimerase)</t>
  </si>
  <si>
    <t>Q96C23</t>
  </si>
  <si>
    <t>GALNT2</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</si>
  <si>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</si>
  <si>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Q10471</t>
  </si>
  <si>
    <t>GALNT3</t>
  </si>
  <si>
    <t>polypeptide n-acetylgalactosaminyltransferase 3 (ec 2.4.1.41) (polypeptide galnac transferase 3) (galnac-t3) (pp-gantase 3) (protein-udp acetylgalactosaminyltransferase 3) (udp-galnac:polypeptide n-acetylgalactosaminyltransferase 3)</t>
  </si>
  <si>
    <t>Q14435</t>
  </si>
  <si>
    <t>GALNT11</t>
  </si>
  <si>
    <t>polypeptide n-acetylgalactosaminyltransferase 11 (ec 2.4.1.41) (polypeptide galnac transferase 11) (galnac-t11) (pp-gantase 11) (protein-udp acetylgalactosaminyltransferase 11) (udp-galnac:polypeptide n-acetylgalactosaminyltransferase 11)</t>
  </si>
  <si>
    <t>Q8NCW6</t>
  </si>
  <si>
    <t>GALNT12</t>
  </si>
  <si>
    <t>polypeptide n-acetylgalactosaminyltransferase 12 (ec 2.4.1.41) (polypeptide galnac transferase 12) (galnac-t12) (pp-gantase 12) (protein-udp acetylgalactosaminyltransferase 12) (udp-galnac:polypeptide n-acetylgalactosaminyltransferase 12)</t>
  </si>
  <si>
    <t>Q8IXK2</t>
  </si>
  <si>
    <t>GALT</t>
  </si>
  <si>
    <t>galactose-1-phosphate uridylyltransferase (gal-1-p uridylyltransferase) (ec 2.7.7.12) (udp-glucose--hexose-1-phosphate uridylyltransferase)</t>
  </si>
  <si>
    <t>P07902</t>
  </si>
  <si>
    <t>GAMT</t>
  </si>
  <si>
    <t>guanidinoacetate n-methyltransferase (ec 2.1.1.2)</t>
  </si>
  <si>
    <t>Q14353</t>
  </si>
  <si>
    <t>GAS7</t>
  </si>
  <si>
    <t>growth arrest-specific protein 7 (gas-7)</t>
  </si>
  <si>
    <t>O60861</t>
  </si>
  <si>
    <t>GATA1</t>
  </si>
  <si>
    <t>erythroid transcription factor (eryf1) (gata-binding factor 1) (gata-1) (gf-1) (nf-e1 dna-binding protein)</t>
  </si>
  <si>
    <t>P15976</t>
  </si>
  <si>
    <t>GATA2</t>
  </si>
  <si>
    <t>endothelial transcription factor gata-2 (gata-binding protein 2)</t>
  </si>
  <si>
    <t>P23769</t>
  </si>
  <si>
    <t>GATA3</t>
  </si>
  <si>
    <t>trans-acting t-cell-specific transcription factor gata-3 (gata-binding factor 3)</t>
  </si>
  <si>
    <t>P23771</t>
  </si>
  <si>
    <t>GATA4</t>
  </si>
  <si>
    <t>transcription factor gata-4 (gata-binding factor 4)</t>
  </si>
  <si>
    <t>P43694</t>
  </si>
  <si>
    <t>GATA5</t>
  </si>
  <si>
    <t>transcription factor gata-5 (gata-binding factor 5)</t>
  </si>
  <si>
    <t>Q9BWX5</t>
  </si>
  <si>
    <t>GATA6</t>
  </si>
  <si>
    <t>transcription factor gata-6 (gata-binding factor 6)</t>
  </si>
  <si>
    <t>Q92908</t>
  </si>
  <si>
    <t>GATAD1</t>
  </si>
  <si>
    <t>gata zinc finger domain-containing protein 1 (ocular development-associated gene protein)</t>
  </si>
  <si>
    <t>Q8WUU5</t>
  </si>
  <si>
    <t>GATM</t>
  </si>
  <si>
    <t>glycine amidinotransferase, mitochondrial (ec 2.1.4.1) (l-arginine:glycine amidinotransferase) (transamidinase)</t>
  </si>
  <si>
    <t>P50440</t>
  </si>
  <si>
    <t>GBA2</t>
  </si>
  <si>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</si>
  <si>
    <t>Q9HCG7</t>
  </si>
  <si>
    <t>GBE1</t>
  </si>
  <si>
    <t>1,4-alpha-glucan-branching enzyme (ec 2.4.1.18) (brancher enzyme) (glycogen-branching enzyme)</t>
  </si>
  <si>
    <t>Q04446</t>
  </si>
  <si>
    <t>GCDH</t>
  </si>
  <si>
    <t>glutaryl-coa dehydrogenase, mitochondrial (gcd) (ec 1.3.8.6)</t>
  </si>
  <si>
    <t>Q92947</t>
  </si>
  <si>
    <t>GCH1</t>
  </si>
  <si>
    <t>gtp cyclohydrolase 1 (ec 3.5.4.16) (gtp cyclohydrolase i) (gtp-ch-i)</t>
  </si>
  <si>
    <t>P30793</t>
  </si>
  <si>
    <t>GCK</t>
  </si>
  <si>
    <t>hexokinase-4 (hk4) (ec 2.7.1.1) (glucokinase) (hexokinase type iv) (hk iv) (hexokinase-d)</t>
  </si>
  <si>
    <t>P35557</t>
  </si>
  <si>
    <t>GCM2</t>
  </si>
  <si>
    <t>chorion-specific transcription factor gcmb (hgcmb) (gcm motif protein 2) (glial cells missing homolog 2)</t>
  </si>
  <si>
    <t>O75603</t>
  </si>
  <si>
    <t>GCSH</t>
  </si>
  <si>
    <t>glycine cleavage system h protein, mitochondrial (lipoic acid-containing protein)</t>
  </si>
  <si>
    <t>P23434</t>
  </si>
  <si>
    <t>GDAP1</t>
  </si>
  <si>
    <t>ganglioside-induced differentiation-associated protein 1 (gdap1)</t>
  </si>
  <si>
    <t>Q8TB36</t>
  </si>
  <si>
    <t>GDAP2</t>
  </si>
  <si>
    <t>ganglioside-induced differentiation-associated protein 2</t>
  </si>
  <si>
    <t>Q9NXN4</t>
  </si>
  <si>
    <t>GDF1</t>
  </si>
  <si>
    <t>embryonic growth/differentiation factor 1 (gdf-1)</t>
  </si>
  <si>
    <t>P27539</t>
  </si>
  <si>
    <t>GDF2</t>
  </si>
  <si>
    <t>growth/differentiation factor 2 (gdf-2) (bone morphogenetic protein 9) (bmp-9)</t>
  </si>
  <si>
    <t>Q9UK05</t>
  </si>
  <si>
    <t>GDF3</t>
  </si>
  <si>
    <t>growth/differentiation factor 3 (gdf-3)</t>
  </si>
  <si>
    <t>Q9NR23</t>
  </si>
  <si>
    <t>GDF5</t>
  </si>
  <si>
    <t>growth/differentiation factor 5 (gdf-5) (bone morphogenetic protein 14) (bmp-14) (cartilage-derived morphogenetic protein 1) (cdmp-1) (lipopolysaccharide-associated protein 4) (lap-4) (lps-associated protein 4) (radotermin)</t>
  </si>
  <si>
    <t>P43026</t>
  </si>
  <si>
    <t>GDF6</t>
  </si>
  <si>
    <t>growth/differentiation factor 6 (gdf-6) (bone morphogenetic protein 13) (bmp-13) (growth/differentiation factor 16)</t>
  </si>
  <si>
    <t>Q6KF10</t>
  </si>
  <si>
    <t>GDF9</t>
  </si>
  <si>
    <t>growth/differentiation factor 9 (gdf-9)</t>
  </si>
  <si>
    <t>O60383</t>
  </si>
  <si>
    <t>GDF11</t>
  </si>
  <si>
    <t>growth/differentiation factor 11 (gdf-11) (bone morphogenetic protein 11) (bmp-11)</t>
  </si>
  <si>
    <t>O95390</t>
  </si>
  <si>
    <t>GDF15</t>
  </si>
  <si>
    <t>growth/differentiation factor 15 (gdf-15) (macrophage inhibitory cytokine 1) (mic-1) (nsaid-activated gene 1 protein) (nag-1) (nsaid-regulated gene 1 protein) (nrg-1) (placental tgf-beta) (placental bone morphogenetic protein) (prostate differentiation factor)</t>
  </si>
  <si>
    <t>Q99988</t>
  </si>
  <si>
    <t>GDI1</t>
  </si>
  <si>
    <t>rab gdp dissociation inhibitor alpha (rab gdi alpha) (guanosine diphosphate dissociation inhibitor 1) (gdi-1) (oligophrenin-2) (protein xap-4)</t>
  </si>
  <si>
    <t>P31150</t>
  </si>
  <si>
    <t>GDNF</t>
  </si>
  <si>
    <t>glial cell line-derived neurotrophic factor (hgdnf) (astrocyte-derived trophic factor) (atf)</t>
  </si>
  <si>
    <t>P39905</t>
  </si>
  <si>
    <t>GFAP</t>
  </si>
  <si>
    <t>glial fibrillary acidic protein (gfap)</t>
  </si>
  <si>
    <t>P14136</t>
  </si>
  <si>
    <t>GFI1</t>
  </si>
  <si>
    <t>zinc finger protein gfi-1 (growth factor independent protein 1) (zinc finger protein 163)</t>
  </si>
  <si>
    <t>Q99684</t>
  </si>
  <si>
    <t>GFI1B</t>
  </si>
  <si>
    <t>zinc finger protein gfi-1b (growth factor independent protein 1b) (potential regulator of cdkn1a translocated in cml)</t>
  </si>
  <si>
    <t>Q5VTD9</t>
  </si>
  <si>
    <t>GFM1</t>
  </si>
  <si>
    <t>elongation factor g, mitochondrial (ef-gmt) (elongation factor g 1, mitochondrial) (mef-g 1) (elongation factor g1) (hefg1)</t>
  </si>
  <si>
    <t>Q96RP9</t>
  </si>
  <si>
    <t>GFM2</t>
  </si>
  <si>
    <t>ribosome-releasing factor 2, mitochondrial (rrf2mt) (ec 3.6.5.-) (elongation factor g 2, mitochondrial) (ef-g2mt) (mef-g 2) (elongation factor g2) (hefg2)</t>
  </si>
  <si>
    <t>Q969S9</t>
  </si>
  <si>
    <t>GFPT1</t>
  </si>
  <si>
    <t>glutamine--fructose-6-phosphate aminotransferase [isomerizing] 1 (ec 2.6.1.16) (d-fructose-6-phosphate amidotransferase 1) (glutamine:fructose-6-phosphate amidotransferase 1) (gfat 1) (gfat1) (hexosephosphate aminotransferase 1)</t>
  </si>
  <si>
    <t>Q06210</t>
  </si>
  <si>
    <t>GFRA1</t>
  </si>
  <si>
    <t>gdnf family receptor alpha-1 (gdnf receptor alpha-1) (gdnfr-alpha-1) (gfr-alpha-1) (ret ligand 1) (tgf-beta-related neurotrophic factor receptor 1)</t>
  </si>
  <si>
    <t>P56159</t>
  </si>
  <si>
    <t>GGCX</t>
  </si>
  <si>
    <t>vitamin k-dependent gamma-carboxylase (ec 4.1.1.90) (gamma-glutamyl carboxylase) (peptidyl-glutamate 4-carboxylase) (vitamin k gamma glutamyl carboxylase)</t>
  </si>
  <si>
    <t>P38435</t>
  </si>
  <si>
    <t>GGPS1</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</si>
  <si>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</si>
  <si>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O95749</t>
  </si>
  <si>
    <t>GGT1</t>
  </si>
  <si>
    <t>glutathione hydrolase 1 proenzyme (ec 3.4.19.13) (gamma-glutamyltransferase 1) (gamma-glutamyltranspeptidase 1) (ggt 1) (ec 2.3.2.2) (leukotriene-c4 hydrolase) (ec 3.4.19.14) (cd antigen cd224) [cleaved into: glutathione hydrolase 1 heavy chain; glutathione hydrolase 1 light chain]</t>
  </si>
  <si>
    <t>P19440</t>
  </si>
  <si>
    <t>GH1</t>
  </si>
  <si>
    <t>somatotropin (growth hormone) (gh) (gh-n) (growth hormone 1) (pituitary growth hormone)</t>
  </si>
  <si>
    <t>P01241</t>
  </si>
  <si>
    <t>GHR</t>
  </si>
  <si>
    <t>growth hormone receptor (gh receptor) (somatotropin receptor) [cleaved into: growth hormone-binding protein (gh-binding protein) (ghbp) (serum-binding protein)]</t>
  </si>
  <si>
    <t>P10912</t>
  </si>
  <si>
    <t>GHRHR</t>
  </si>
  <si>
    <t>growth hormone-releasing hormone receptor (ghrh receptor) (growth hormone-releasing factor receptor) (grf receptor) (grfr)</t>
  </si>
  <si>
    <t>Q02643</t>
  </si>
  <si>
    <t>GHSR</t>
  </si>
  <si>
    <t>growth hormone secretagogue receptor type 1 (ghs-r) (gh-releasing peptide receptor) (ghrp) (ghrelin receptor)</t>
  </si>
  <si>
    <t>Q92847</t>
  </si>
  <si>
    <t>GIMAP5</t>
  </si>
  <si>
    <t>gtpase imap family member 5 (immune-associated nucleotide-binding protein 5) (immunity-associated nucleotide 4-like 1 protein) (immunity-associated nucleotide 5 protein) (ian-5) (hian5) (immunity-associated protein 3)</t>
  </si>
  <si>
    <t>Q96F15</t>
  </si>
  <si>
    <t>GIPC3</t>
  </si>
  <si>
    <t>pdz domain-containing protein gipc3</t>
  </si>
  <si>
    <t>Q8TF64</t>
  </si>
  <si>
    <t>GJA1</t>
  </si>
  <si>
    <t>gap junction alpha-1 protein (connexin-43) (cx43) (gap junction 43 kda heart protein)</t>
  </si>
  <si>
    <t>P17302</t>
  </si>
  <si>
    <t>GJA3</t>
  </si>
  <si>
    <t>gap junction alpha-3 protein (connexin-46) (cx46)</t>
  </si>
  <si>
    <t>Q9Y6H8</t>
  </si>
  <si>
    <t>GJA5</t>
  </si>
  <si>
    <t>gap junction alpha-5 protein (connexin-40) (cx40)</t>
  </si>
  <si>
    <t>P36382</t>
  </si>
  <si>
    <t>GJA8</t>
  </si>
  <si>
    <t>gap junction alpha-8 protein (connexin-50) (cx50) (lens fiber protein mp70)</t>
  </si>
  <si>
    <t>P48165</t>
  </si>
  <si>
    <t>GJB1</t>
  </si>
  <si>
    <t>gap junction beta-1 protein (connexin-32) (cx32) (gap junction 28 kda liver protein)</t>
  </si>
  <si>
    <t>P08034</t>
  </si>
  <si>
    <t>gap junction beta-2 protein (connexin-26) (cx26)</t>
  </si>
  <si>
    <t>P29033</t>
  </si>
  <si>
    <t>GJB3</t>
  </si>
  <si>
    <t>gap junction beta-3 protein (connexin-31) (cx31)</t>
  </si>
  <si>
    <t>O75712</t>
  </si>
  <si>
    <t>GJB6</t>
  </si>
  <si>
    <t>gap junction beta-6 protein (connexin-30) (cx30)</t>
  </si>
  <si>
    <t>O95452</t>
  </si>
  <si>
    <t>GJC2</t>
  </si>
  <si>
    <t>gap junction gamma-2 protein (connexin-46.6) (cx46.6) (connexin-47) (cx47) (gap junction alpha-12 protein)</t>
  </si>
  <si>
    <t>Q5T442</t>
  </si>
  <si>
    <t>GLDC</t>
  </si>
  <si>
    <t>glycine dehydrogenase (decarboxylating), mitochondrial (ec 1.4.4.2) (glycine cleavage system p protein) (glycine decarboxylase) (glycine dehydrogenase (aminomethyl-transferring))</t>
  </si>
  <si>
    <t>P23378</t>
  </si>
  <si>
    <t>GLIS2</t>
  </si>
  <si>
    <t>zinc finger protein glis2 (gli-similar 2) (neuronal krueppel-like protein)</t>
  </si>
  <si>
    <t>Q9BZE0</t>
  </si>
  <si>
    <t>GLIS3</t>
  </si>
  <si>
    <t>zinc finger protein glis3 (gli-similar 3) (zinc finger protein 515)</t>
  </si>
  <si>
    <t>Q8NEA6</t>
  </si>
  <si>
    <t>GLMN</t>
  </si>
  <si>
    <t>glomulin (fk506-binding protein-associated protein) (fap) (fkbp-associated protein)</t>
  </si>
  <si>
    <t>Q92990</t>
  </si>
  <si>
    <t>glutamate dehydrogenase 1, mitochondrial (gdh 1) (ec 1.4.1.3)</t>
  </si>
  <si>
    <t>P00367</t>
  </si>
  <si>
    <t>GLUL</t>
  </si>
  <si>
    <t>glutamine synthetase (gs) (ec 6.3.1.2) (glutamate--ammonia ligase) (palmitoyltransferase glul) (ec 2.3.1.225)</t>
  </si>
  <si>
    <t>P15104</t>
  </si>
  <si>
    <t>GLYCTK</t>
  </si>
  <si>
    <t>glycerate kinase (ec 2.7.1.31) (hbeag-binding protein 4)</t>
  </si>
  <si>
    <t>Q8IVS8</t>
  </si>
  <si>
    <t>GM2A</t>
  </si>
  <si>
    <t>ganglioside gm2 activator (cerebroside sulfate activator protein) (gm2-ap) (sphingolipid activator protein 3) (sap-3) [cleaved into: ganglioside gm2 activator isoform short]</t>
  </si>
  <si>
    <t>P17900</t>
  </si>
  <si>
    <t>GMPPA</t>
  </si>
  <si>
    <t>mannose-1-phosphate guanyltransferase alpha (gdp-mannose pyrophosphorylase a) (gmpp-alpha) (gtp-mannose-1-phosphate guanylyltransferase alpha)</t>
  </si>
  <si>
    <t>Q96IJ6</t>
  </si>
  <si>
    <t>GMPPB</t>
  </si>
  <si>
    <t>mannose-1-phosphate guanyltransferase beta (ec 2.7.7.13) (gdp-mannose pyrophosphorylase b) (gtp-mannose-1-phosphate guanylyltransferase beta)</t>
  </si>
  <si>
    <t>Q9Y5P6</t>
  </si>
  <si>
    <t>GMPS</t>
  </si>
  <si>
    <t>gmp synthase [glutamine-hydrolyzing] (ec 6.3.5.2) (gmp synthetase) (glutamine amidotransferase)</t>
  </si>
  <si>
    <t>P49915</t>
  </si>
  <si>
    <t>GNA11</t>
  </si>
  <si>
    <t>guanine nucleotide-binding protein subunit alpha-11 (g alpha-11) (g-protein subunit alpha-11) (guanine nucleotide-binding protein g(y) subunit alpha)</t>
  </si>
  <si>
    <t>P29992</t>
  </si>
  <si>
    <t>GNAI3</t>
  </si>
  <si>
    <t>guanine nucleotide-binding protein g(i) subunit alpha-3 (g(i) alpha-3)</t>
  </si>
  <si>
    <t>P08754</t>
  </si>
  <si>
    <t>GNAL</t>
  </si>
  <si>
    <t>guanine nucleotide-binding protein g(olf) subunit alpha (adenylate cyclase-stimulating g alpha protein, olfactory type)</t>
  </si>
  <si>
    <t>P38405</t>
  </si>
  <si>
    <t>GNAO1</t>
  </si>
  <si>
    <t>guanine nucleotide-binding protein g(o) subunit alpha</t>
  </si>
  <si>
    <t>P09471</t>
  </si>
  <si>
    <t>GNAQ</t>
  </si>
  <si>
    <t>guanine nucleotide-binding protein g(q) subunit alpha (guanine nucleotide-binding protein alpha-q)</t>
  </si>
  <si>
    <t>P50148</t>
  </si>
  <si>
    <t>guanine nucleotide-binding protein g(t) subunit alpha-1 (transducin alpha-1 chain)</t>
  </si>
  <si>
    <t>P11488</t>
  </si>
  <si>
    <t>GNAT2</t>
  </si>
  <si>
    <t>guanine nucleotide-binding protein g(t) subunit alpha-2 (transducin alpha-2 chain)</t>
  </si>
  <si>
    <t>P19087</t>
  </si>
  <si>
    <t>GNB2</t>
  </si>
  <si>
    <t>guanine nucleotide-binding protein g(i)/g(s)/g(t) subunit beta-2 (g protein subunit beta-2) (transducin beta chain 2)</t>
  </si>
  <si>
    <t>P62879</t>
  </si>
  <si>
    <t>GNB3</t>
  </si>
  <si>
    <t>guanine nucleotide-binding protein g(i)/g(s)/g(t) subunit beta-3 (transducin beta chain 3)</t>
  </si>
  <si>
    <t>P16520</t>
  </si>
  <si>
    <t>GNB4</t>
  </si>
  <si>
    <t>guanine nucleotide-binding protein subunit beta-4 (transducin beta chain 4)</t>
  </si>
  <si>
    <t>Q9HAV0</t>
  </si>
  <si>
    <t>GNB5</t>
  </si>
  <si>
    <t>guanine nucleotide-binding protein subunit beta-5 (gbeta5) (transducin beta chain 5)</t>
  </si>
  <si>
    <t>O14775</t>
  </si>
  <si>
    <t>GNE</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</si>
  <si>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</si>
  <si>
    <t>Q9Y223</t>
  </si>
  <si>
    <t>GNMT</t>
  </si>
  <si>
    <t>glycine n-methyltransferase (ec 2.1.1.20)</t>
  </si>
  <si>
    <t>Q14749</t>
  </si>
  <si>
    <t>GNPAT</t>
  </si>
  <si>
    <t>dihydroxyacetone phosphate acyltransferase (dap-at) (dapat) (dhap-at) (ec 2.3.1.42) (acyl-coa:dihydroxyacetonephosphateacyltransferase) (glycerone-phosphate o-acyltransferase)</t>
  </si>
  <si>
    <t>O15228</t>
  </si>
  <si>
    <t>GNRH1</t>
  </si>
  <si>
    <t>progonadoliberin-1 (progonadoliberin i) [cleaved into: gonadoliberin-1 (gonadoliberin i) (gonadorelin) (gonadotropin-releasing hormone i) (gnrh-i) (luliberin i) (luteinizing hormone-releasing hormone i) (lh-rh i); gnrh-associated peptide 1 (gnrh-associated peptide i)]</t>
  </si>
  <si>
    <t>P01148</t>
  </si>
  <si>
    <t>n-acetylglucosamine-6-sulfatase (ec 3.1.6.14) (glucosamine-6-sulfatase) (g6s)</t>
  </si>
  <si>
    <t>P15586</t>
  </si>
  <si>
    <t>GOLGA5</t>
  </si>
  <si>
    <t>golgin subfamily a member 5 (cell proliferation-inducing gene 31 protein) (golgin-84) (protein ret-ii) (ret-fused gene 5 protein)</t>
  </si>
  <si>
    <t>Q8TBA6</t>
  </si>
  <si>
    <t>GOPC</t>
  </si>
  <si>
    <t>golgi-associated pdz and coiled-coil motif-containing protein (cftr-associated ligand) (fused in glioblastoma) (pdz protein interacting specifically with tc10) (pist)</t>
  </si>
  <si>
    <t>Q9HD26</t>
  </si>
  <si>
    <t>GORAB</t>
  </si>
  <si>
    <t>rab6-interacting golgin (n-terminal kinase-like-binding protein 1) (ntkl-bp1) (ntkl-binding protein 1) (hntkl-bp1) (scy1-like 1-binding protein 1) (scyl1-bp1) (scyl1-binding protein 1)</t>
  </si>
  <si>
    <t>Q5T7V8</t>
  </si>
  <si>
    <t>GOSR2</t>
  </si>
  <si>
    <t>golgi snap receptor complex member 2 (27 kda golgi snare protein) (membrin)</t>
  </si>
  <si>
    <t>O14653</t>
  </si>
  <si>
    <t>GOT2</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</si>
  <si>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</si>
  <si>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P00505</t>
  </si>
  <si>
    <t>GP6</t>
  </si>
  <si>
    <t>platelet glycoprotein vi (gpvi) (glycoprotein 6)</t>
  </si>
  <si>
    <t>Q9HCN6</t>
  </si>
  <si>
    <t>GPATCH3</t>
  </si>
  <si>
    <t>g patch domain-containing protein 3</t>
  </si>
  <si>
    <t>Q96I76</t>
  </si>
  <si>
    <t>GPC1</t>
  </si>
  <si>
    <t>glypican-1 [cleaved into: secreted glypican-1]</t>
  </si>
  <si>
    <t>P35052</t>
  </si>
  <si>
    <t>GPC3</t>
  </si>
  <si>
    <t>glypican-3 (gtr2-2) (intestinal protein oci-5) (mxr7) [cleaved into: glypican-3 alpha subunit; glypican-3 beta subunit]</t>
  </si>
  <si>
    <t>P51654</t>
  </si>
  <si>
    <t>GPC4</t>
  </si>
  <si>
    <t>glypican-4 (k-glypican) [cleaved into: secreted glypican-4]</t>
  </si>
  <si>
    <t>O75487</t>
  </si>
  <si>
    <t>GPD1</t>
  </si>
  <si>
    <t>glycerol-3-phosphate dehydrogenase [nad(+)], cytoplasmic (gpd-c) (gpdh-c) (ec 1.1.1.8)</t>
  </si>
  <si>
    <t>P21695</t>
  </si>
  <si>
    <t>GPD1L</t>
  </si>
  <si>
    <t>glycerol-3-phosphate dehydrogenase 1-like protein (gpd1-l) (ec 1.1.1.8)</t>
  </si>
  <si>
    <t>Q8N335</t>
  </si>
  <si>
    <t>GPHN</t>
  </si>
  <si>
    <t>gephyrin [includes: molybdopterin adenylyltransferase (mpt adenylyltransferase) (ec 2.7.7.75) (domain g); molybdopterin molybdenumtransferase (mpt mo-transferase) (ec 2.10.1.1) (domain e)]</t>
  </si>
  <si>
    <t>Q9NQX3</t>
  </si>
  <si>
    <t>GPI</t>
  </si>
  <si>
    <t>glucose-6-phosphate isomerase (gpi) (ec 5.3.1.9) (autocrine motility factor) (amf) (neuroleukin) (nlk) (phosphoglucose isomerase) (pgi) (phosphohexose isomerase) (phi) (sperm antigen 36) (sa-36)</t>
  </si>
  <si>
    <t>P06744</t>
  </si>
  <si>
    <t>GPNMB</t>
  </si>
  <si>
    <t>transmembrane glycoprotein nmb (hematopoietic growth factor inducible neurokinin-1 type)</t>
  </si>
  <si>
    <t>Q14956</t>
  </si>
  <si>
    <t>GPR68</t>
  </si>
  <si>
    <t>ovarian cancer g-protein coupled receptor 1 (ogr-1) (g-protein coupled receptor 68) (gpr12a) (sphingosylphosphorylcholine receptor)</t>
  </si>
  <si>
    <t>Q15743</t>
  </si>
  <si>
    <t>GPR101</t>
  </si>
  <si>
    <t>probable g-protein coupled receptor 101</t>
  </si>
  <si>
    <t>Q96P66</t>
  </si>
  <si>
    <t>GPR143</t>
  </si>
  <si>
    <t>g-protein coupled receptor 143 (ocular albinism type 1 protein)</t>
  </si>
  <si>
    <t>P51810</t>
  </si>
  <si>
    <t>GPR161</t>
  </si>
  <si>
    <t>g-protein coupled receptor 161 (g-protein coupled receptor re2)</t>
  </si>
  <si>
    <t>Q8N6U8</t>
  </si>
  <si>
    <t>GPRASP2</t>
  </si>
  <si>
    <t>g-protein coupled receptor-associated sorting protein 2 (gasp-2)</t>
  </si>
  <si>
    <t>Q96D09</t>
  </si>
  <si>
    <t>GPSM2</t>
  </si>
  <si>
    <t>g-protein-signaling modulator 2 (mosaic protein lgn)</t>
  </si>
  <si>
    <t>P81274</t>
  </si>
  <si>
    <t>GPT2</t>
  </si>
  <si>
    <t>alanine aminotransferase 2 (alt2) (ec 2.6.1.2) (glutamate pyruvate transaminase 2) (gpt 2) (glutamic--alanine transaminase 2) (glutamic--pyruvic transaminase 2)</t>
  </si>
  <si>
    <t>Q8TD30</t>
  </si>
  <si>
    <t>GPX4</t>
  </si>
  <si>
    <t>phospholipid hydroperoxide glutathione peroxidase gpx4 (phgpx) (ec 1.11.1.12) (glutathione peroxidase 4) (gpx-4) (gshpx-4) (ec 1.11.1.9)</t>
  </si>
  <si>
    <t>P36969</t>
  </si>
  <si>
    <t>GPX7</t>
  </si>
  <si>
    <t>glutathione peroxidase 7 (gpx-7) (gshpx-7) (ec 1.11.1.9) (cl683)</t>
  </si>
  <si>
    <t>Q96SL4</t>
  </si>
  <si>
    <t>GRAP</t>
  </si>
  <si>
    <t>grb2-related adapter protein</t>
  </si>
  <si>
    <t>Q13588</t>
  </si>
  <si>
    <t>GREB1L</t>
  </si>
  <si>
    <t>greb1-like protein (growth regulation by estrogen in breast cancer 1-like protein)</t>
  </si>
  <si>
    <t>Q9C091</t>
  </si>
  <si>
    <t>GREM1</t>
  </si>
  <si>
    <t>gremlin-1 (cell proliferation-inducing gene 2 protein) (cysteine knot superfamily 1, bmp antagonist 1) (dan domain family member 2) (down-regulated in mos-transformed cells protein) (increased in high glucose protein 2) (ihg-2)</t>
  </si>
  <si>
    <t>O60565</t>
  </si>
  <si>
    <t>GREM2</t>
  </si>
  <si>
    <t>gremlin-2 (cysteine knot superfamily 1, bmp antagonist 2) (dan domain family member 3) (protein related to dan and cerberus)</t>
  </si>
  <si>
    <t>Q9H772</t>
  </si>
  <si>
    <t>GRHL3</t>
  </si>
  <si>
    <t>grainyhead-like protein 3 homolog (sister of mammalian grainyhead) (transcription factor cp2-like 4)</t>
  </si>
  <si>
    <t>Q8TE85</t>
  </si>
  <si>
    <t>GRHPR</t>
  </si>
  <si>
    <t>glyoxylate reductase/hydroxypyruvate reductase (ec 1.1.1.79) (ec 1.1.1.81)</t>
  </si>
  <si>
    <t>Q9UBQ7</t>
  </si>
  <si>
    <t>GRIA3</t>
  </si>
  <si>
    <t>glutamate receptor 3 (glur-3) (ampa-selective glutamate receptor 3) (glur-c) (glur-k3) (glutamate receptor ionotropic, ampa 3)</t>
  </si>
  <si>
    <t>P42263</t>
  </si>
  <si>
    <t>GRID2</t>
  </si>
  <si>
    <t>glutamate receptor ionotropic, delta-2 (glud2) (glur delta-2 subunit)</t>
  </si>
  <si>
    <t>O43424</t>
  </si>
  <si>
    <t>GRIP1</t>
  </si>
  <si>
    <t>glutamate receptor-interacting protein 1 (grip-1)</t>
  </si>
  <si>
    <t>Q9Y3R0</t>
  </si>
  <si>
    <t>GRM6</t>
  </si>
  <si>
    <t>metabotropic glutamate receptor 6 (mglur6)</t>
  </si>
  <si>
    <t>O15303</t>
  </si>
  <si>
    <t>GRM7</t>
  </si>
  <si>
    <t>metabotropic glutamate receptor 7 (mglur7)</t>
  </si>
  <si>
    <t>Q14831</t>
  </si>
  <si>
    <t>GRN</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</si>
  <si>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</si>
  <si>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P28799</t>
  </si>
  <si>
    <t>glutaredoxin domain-containing cysteine-rich protein 1</t>
  </si>
  <si>
    <t>A8MXD5</t>
  </si>
  <si>
    <t>GRXCR2</t>
  </si>
  <si>
    <t>glutaredoxin domain-containing cysteine-rich protein 2 (grxcr1-like protein) (glutaredoxin domain-containing cysteine-rich protein 1-like protein)</t>
  </si>
  <si>
    <t>A6NFK2</t>
  </si>
  <si>
    <t>GSC</t>
  </si>
  <si>
    <t>homeobox protein goosecoid</t>
  </si>
  <si>
    <t>P56915</t>
  </si>
  <si>
    <t>GSDME</t>
  </si>
  <si>
    <t>gasdermin-e (inversely correlated with estrogen receptor expression 1) (icere-1) (non-syndromic hearing impairment protein 5) [cleaved into: gasdermin-e, n-terminal (gsdme-nt); gasdermin-e, c-terminal (gsdme-ct)]</t>
  </si>
  <si>
    <t>O60443</t>
  </si>
  <si>
    <t>GSN</t>
  </si>
  <si>
    <t>gelsolin (agel) (actin-depolymerizing factor) (adf) (brevin)</t>
  </si>
  <si>
    <t>P06396</t>
  </si>
  <si>
    <t>GSR</t>
  </si>
  <si>
    <t>glutathione reductase, mitochondrial (gr) (grase) (ec 1.8.1.7)</t>
  </si>
  <si>
    <t>P00390</t>
  </si>
  <si>
    <t>GSS</t>
  </si>
  <si>
    <t>glutathione synthetase (gsh synthetase) (gsh-s) (ec 6.3.2.3) (glutathione synthase)</t>
  </si>
  <si>
    <t>P48637</t>
  </si>
  <si>
    <t>GSTZ1</t>
  </si>
  <si>
    <t>maleylacetoacetate isomerase (maai) (ec 5.2.1.2) (gstz1-1) (glutathione s-transferase zeta 1) (ec 2.5.1.18)</t>
  </si>
  <si>
    <t>O43708</t>
  </si>
  <si>
    <t>GTF2I</t>
  </si>
  <si>
    <t>general transcription factor ii-i (gtfii-i) (tfii-i) (bruton tyrosine kinase-associated protein 135) (bap-135) (btk-associated protein 135) (srf-phox1-interacting protein) (spin) (williams-beuren syndrome chromosomal region 6 protein)</t>
  </si>
  <si>
    <t>P78347</t>
  </si>
  <si>
    <t>GTF2IRD1</t>
  </si>
  <si>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</si>
  <si>
    <t>Q9UHL9</t>
  </si>
  <si>
    <t>GTPBP2</t>
  </si>
  <si>
    <t>gtp-binding protein 2</t>
  </si>
  <si>
    <t>Q9BX10</t>
  </si>
  <si>
    <t>trna modification gtpase gtpbp3, mitochondrial (gtp-binding protein 3) (mitochondrial gtp-binding protein 1)</t>
  </si>
  <si>
    <t>Q969Y2</t>
  </si>
  <si>
    <t>GUCA1A</t>
  </si>
  <si>
    <t>guanylyl cyclase-activating protein 1 (gcap 1) (guanylate cyclase activator 1a)</t>
  </si>
  <si>
    <t>P43080</t>
  </si>
  <si>
    <t>GUCA1B</t>
  </si>
  <si>
    <t>guanylyl cyclase-activating protein 2 (gcap 2) (guanylate cyclase activator 1b)</t>
  </si>
  <si>
    <t>Q9UMX6</t>
  </si>
  <si>
    <t>GUCY2C</t>
  </si>
  <si>
    <t>guanylyl cyclase c (gc-c) (ec 4.6.1.2) (heat-stable enterotoxin receptor) (sta receptor) (hstar) (intestinal guanylate cyclase)</t>
  </si>
  <si>
    <t>P25092</t>
  </si>
  <si>
    <t>retinal guanylyl cyclase 1 (retgc-1) (ec 4.6.1.2) (cg-e) (guanylate cyclase 2d, retinal) (rod outer segment membrane guanylate cyclase) (ros-gc)</t>
  </si>
  <si>
    <t>Q02846</t>
  </si>
  <si>
    <t>GUF1</t>
  </si>
  <si>
    <t>translation factor guf1, mitochondrial (ec 3.6.5.-) (elongation factor 4 homolog) (ef-4) (gtpase guf1) (ribosomal back-translocase)</t>
  </si>
  <si>
    <t>Q8N442</t>
  </si>
  <si>
    <t>GUSB</t>
  </si>
  <si>
    <t>beta-glucuronidase (ec 3.2.1.31) (beta-g1)</t>
  </si>
  <si>
    <t>P08236</t>
  </si>
  <si>
    <t>GYG1</t>
  </si>
  <si>
    <t>glycogenin-1 (gn-1) (gn1) (ec 2.4.1.186)</t>
  </si>
  <si>
    <t>P46976</t>
  </si>
  <si>
    <t>GYS1</t>
  </si>
  <si>
    <t>glycogen [starch] synthase, muscle (ec 2.4.1.11) (glycogen synthase 1)</t>
  </si>
  <si>
    <t>P13807</t>
  </si>
  <si>
    <t>GYS2</t>
  </si>
  <si>
    <t>glycogen [starch] synthase, liver (ec 2.4.1.11) (glycogen synthase 2)</t>
  </si>
  <si>
    <t>P54840</t>
  </si>
  <si>
    <t>GZF1</t>
  </si>
  <si>
    <t>gdnf-inducible zinc finger protein 1 (zinc finger and btb domain-containing protein 23) (zinc finger protein 336)</t>
  </si>
  <si>
    <t>Q9H116</t>
  </si>
  <si>
    <t>H1-4</t>
  </si>
  <si>
    <t>histone h1.4 (histone h1b) (histone h1s-4)</t>
  </si>
  <si>
    <t>P10412</t>
  </si>
  <si>
    <t>H3-3A</t>
  </si>
  <si>
    <t>histone h3</t>
  </si>
  <si>
    <t>A0A590UJJ6</t>
  </si>
  <si>
    <t>H3-3B</t>
  </si>
  <si>
    <t>K7EMV3</t>
  </si>
  <si>
    <t>H6PD</t>
  </si>
  <si>
    <t>gdh/6pgl endoplasmic bifunctional protein [includes: hexose-6-phosphate dehydrogenase (glucose 1-dehydrogenase) (gdh) (ec 1.1.1.47) (glucose-6-phosphate dehydrogenase) (ec 1.1.1.363); 6-phosphogluconolactonase (6pgl) (ec 3.1.1.31)]</t>
  </si>
  <si>
    <t>O95479</t>
  </si>
  <si>
    <t>HAAO</t>
  </si>
  <si>
    <t>3-hydroxyanthranilate 3,4-dioxygenase (ec 1.13.11.6) (3-hydroxyanthranilate oxygenase) (3-hao) (h3hao) (3-hydroxyanthranilic acid dioxygenase) (had)</t>
  </si>
  <si>
    <t>P46952</t>
  </si>
  <si>
    <t>HABP2</t>
  </si>
  <si>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</si>
  <si>
    <t>Q14520</t>
  </si>
  <si>
    <t>HACD1</t>
  </si>
  <si>
    <t>very-long-chain (3r)-3-hydroxyacyl-coa dehydratase 1 (ec 4.2.1.134) (3-hydroxyacyl-coa dehydratase 1) (hacd1) (cementum-attachment protein) (cap) (protein-tyrosine phosphatase-like member a)</t>
  </si>
  <si>
    <t>B0YJ81</t>
  </si>
  <si>
    <t>HACE1</t>
  </si>
  <si>
    <t>e3 ubiquitin-protein ligase hace1 (ec 2.3.2.26) (hect domain and ankyrin repeat-containing e3 ubiquitin-protein ligase 1) (hect-type e3 ubiquitin transferase hace1)</t>
  </si>
  <si>
    <t>Q8IYU2</t>
  </si>
  <si>
    <t>HADH</t>
  </si>
  <si>
    <t>hydroxyacyl-coenzyme a dehydrogenase, mitochondrial (hcdh) (ec 1.1.1.35) (medium and short-chain l-3-hydroxyacyl-coenzyme a dehydrogenase) (short-chain 3-hydroxyacyl-coa dehydrogenase)</t>
  </si>
  <si>
    <t>Q16836</t>
  </si>
  <si>
    <t>HAL</t>
  </si>
  <si>
    <t>histidine ammonia-lyase (histidase) (ec 4.3.1.3)</t>
  </si>
  <si>
    <t>P42357</t>
  </si>
  <si>
    <t>HAMP</t>
  </si>
  <si>
    <t>hepcidin (liver-expressed antimicrobial peptide 1) (leap-1) (putative liver tumor regressor) (pltr) [cleaved into: hepcidin-25 (hepc25); hepcidin-20 (hepc20)]</t>
  </si>
  <si>
    <t>P81172</t>
  </si>
  <si>
    <t>HARS1</t>
  </si>
  <si>
    <t>histidine--trna ligase, cytoplasmic (ec 6.1.1.21) (histidyl-trna synthetase) (hisrs)</t>
  </si>
  <si>
    <t>P12081</t>
  </si>
  <si>
    <t>HARS2</t>
  </si>
  <si>
    <t>histidine--trna ligase, mitochondrial (ec 6.1.1.21) (histidine--trna ligase-like) (histidyl-trna synthetase) (hisrs)</t>
  </si>
  <si>
    <t>P49590</t>
  </si>
  <si>
    <t>HAVCR2</t>
  </si>
  <si>
    <t>hepatitis a virus cellular receptor 2 (havcr-2) (t-cell immunoglobulin and mucin domain-containing protein 3) (timd-3) (t-cell immunoglobulin mucin receptor 3) (tim-3) (t-cell membrane protein 3) (cd antigen cd366)</t>
  </si>
  <si>
    <t>Q8TDQ0</t>
  </si>
  <si>
    <t>HAX1</t>
  </si>
  <si>
    <t>hcls1-associated protein x-1 (hs1-associating protein x-1) (hax-1) (hs1-binding protein 1) (hsp1bp-1)</t>
  </si>
  <si>
    <t>O00165</t>
  </si>
  <si>
    <t>HBA1</t>
  </si>
  <si>
    <t>hemoglobin alpha-1 chain</t>
  </si>
  <si>
    <t>Q86YL2</t>
  </si>
  <si>
    <t>HBA2</t>
  </si>
  <si>
    <t>hba2 (mutant hemoglobin alpha 1 globin chain) (mutant hemoglobin alpha 2 globin chain)</t>
  </si>
  <si>
    <t>U6A493</t>
  </si>
  <si>
    <t>HCCS</t>
  </si>
  <si>
    <t>holocytochrome c-type synthase (ec 4.4.1.17) (cytochrome c-type heme lyase)</t>
  </si>
  <si>
    <t>P53701</t>
  </si>
  <si>
    <t>HCRT</t>
  </si>
  <si>
    <t>hypocretin neuropeptide precursor (hypocretin) (hcrt) (orexin precursor) (prepro-orexin) (preprohypocretin) [cleaved into: orexin-a (hypocretin-1) (hcrt1); orexin-b (hypocretin-2) (hcrt2)]</t>
  </si>
  <si>
    <t>O43612</t>
  </si>
  <si>
    <t>HECW2</t>
  </si>
  <si>
    <t>e3 ubiquitin-protein ligase hecw2 (ec 2.3.2.26) (hect, c2 and ww domain-containing protein 2) (hect-type e3 ubiquitin transferase hecw2) (nedd4-like e3 ubiquitin-protein ligase 2)</t>
  </si>
  <si>
    <t>Q9P2P5</t>
  </si>
  <si>
    <t>HELLS</t>
  </si>
  <si>
    <t>lymphoid-specific helicase (ec 3.6.4.-) (proliferation-associated snf2-like protein) (swi/snf2-related matrix-associated actin-dependent regulator of chromatin subfamily a member 6)</t>
  </si>
  <si>
    <t>Q9NRZ9</t>
  </si>
  <si>
    <t>HEPHL1</t>
  </si>
  <si>
    <t>ferroxidase hephl1 (ec 1.16.3.1) (hephaestin-like protein 1)</t>
  </si>
  <si>
    <t>Q6MZM0</t>
  </si>
  <si>
    <t>HERC1</t>
  </si>
  <si>
    <t>probable e3 ubiquitin-protein ligase herc1 (ec 2.3.2.26) (hect domain and rcc1-like domain-containing protein 1) (hect-type e3 ubiquitin transferase herc1) (p532) (p619)</t>
  </si>
  <si>
    <t>Q15751</t>
  </si>
  <si>
    <t>HERC2</t>
  </si>
  <si>
    <t>e3 ubiquitin-protein ligase herc2 (ec 2.3.2.26) (hect domain and rcc1-like domain-containing protein 2) (hect-type e3 ubiquitin transferase herc2)</t>
  </si>
  <si>
    <t>O95714</t>
  </si>
  <si>
    <t>HESX1</t>
  </si>
  <si>
    <t>homeobox expressed in es cells 1 (homeobox protein anf) (hanf)</t>
  </si>
  <si>
    <t>Q9UBX0</t>
  </si>
  <si>
    <t>HFE</t>
  </si>
  <si>
    <t>hereditary hemochromatosis protein (hla-h)</t>
  </si>
  <si>
    <t>Q30201</t>
  </si>
  <si>
    <t>HGD</t>
  </si>
  <si>
    <t>homogentisate 1,2-dioxygenase (ec 1.13.11.5) (homogentisate oxygenase) (homogentisic acid oxidase) (homogentisicase)</t>
  </si>
  <si>
    <t>Q93099</t>
  </si>
  <si>
    <t>HGF</t>
  </si>
  <si>
    <t>hepatocyte growth factor (hepatopoietin-a) (scatter factor) (sf) [cleaved into: hepatocyte growth factor alpha chain; hepatocyte growth factor beta chain]</t>
  </si>
  <si>
    <t>P14210</t>
  </si>
  <si>
    <t>HGSNAT</t>
  </si>
  <si>
    <t>heparan-alpha-glucosaminide n-acetyltransferase (ec 2.3.1.78) (transmembrane protein 76)</t>
  </si>
  <si>
    <t>Q68CP4</t>
  </si>
  <si>
    <t>HHAT</t>
  </si>
  <si>
    <t>protein-cysteine n-palmitoyltransferase hhat (ec 2.3.1.-) (hedgehog acyltransferase) (melanoma antigen recognized by t-cells 2) (mart-2) (skinny hedgehog protein 1)</t>
  </si>
  <si>
    <t>Q5VTY9</t>
  </si>
  <si>
    <t>HIBCH</t>
  </si>
  <si>
    <t>3-hydroxyisobutyryl-coa hydrolase, mitochondrial (ec 3.1.2.4) (3-hydroxyisobutyryl-coenzyme a hydrolase) (hib-coa hydrolase) (hibyl-coa-h)</t>
  </si>
  <si>
    <t>Q6NVY1</t>
  </si>
  <si>
    <t>HIKESHI</t>
  </si>
  <si>
    <t>protein hikeshi</t>
  </si>
  <si>
    <t>Q53FT3</t>
  </si>
  <si>
    <t>HINT1</t>
  </si>
  <si>
    <t>adenosine 5'-monophosphoramidase hint1 (ec 3.9.1.-) (desumoylating isopeptidase hint1) (ec 3.4.22.-) (histidine triad nucleotide-binding protein 1) (protein kinase c inhibitor 1) (protein kinase c-interacting protein 1) (pkci-1)</t>
  </si>
  <si>
    <t>P49773</t>
  </si>
  <si>
    <t>HIP1</t>
  </si>
  <si>
    <t>huntingtin-interacting protein 1 (hip-1) (huntingtin-interacting protein i) (hip-i)</t>
  </si>
  <si>
    <t>O00291</t>
  </si>
  <si>
    <t>HIVEP2</t>
  </si>
  <si>
    <t>transcription factor hivep2 (human immunodeficiency virus type i enhancer-binding protein 2) (hiv-ep2) (mhc-binding protein 2) (mbp-2)</t>
  </si>
  <si>
    <t>P31629</t>
  </si>
  <si>
    <t>HJV</t>
  </si>
  <si>
    <t>hemojuvelin (hemochromatosis type 2 protein) (hemojuvelin bmp coreceptor) (rgm domain family member c)</t>
  </si>
  <si>
    <t>Q6ZVN8</t>
  </si>
  <si>
    <t>HK1</t>
  </si>
  <si>
    <t>hexokinase-1 (ec 2.7.1.1) (brain form hexokinase) (hexokinase type i) (hk i) (hexokinase-a)</t>
  </si>
  <si>
    <t>P19367</t>
  </si>
  <si>
    <t>HKDC1</t>
  </si>
  <si>
    <t>hexokinase hkdc1 (ec 2.7.1.1) (hexokinase domain-containing protein 1)</t>
  </si>
  <si>
    <t>Q2TB90</t>
  </si>
  <si>
    <t>HLA-B</t>
  </si>
  <si>
    <t>hla class i histocompatibility antigen, b alpha chain (human leukocyte antigen b) (hla-b)</t>
  </si>
  <si>
    <t>P01889</t>
  </si>
  <si>
    <t>HLA-C</t>
  </si>
  <si>
    <t>hla class i histocompatibility antigen, c alpha chain (hla-c) (hla-cw) (human leukocyte antigen c)</t>
  </si>
  <si>
    <t>P10321</t>
  </si>
  <si>
    <t>HLA-DRB1</t>
  </si>
  <si>
    <t>hla class ii histocompatibility antigen, drb1 beta chain (human leukocyte antigen drb1) (hla-drb1)</t>
  </si>
  <si>
    <t>P01911</t>
  </si>
  <si>
    <t>HLCS</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</si>
  <si>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</si>
  <si>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P50747</t>
  </si>
  <si>
    <t>HMBS</t>
  </si>
  <si>
    <t>porphobilinogen deaminase (pbg-d) (ec 2.5.1.61) (hydroxymethylbilane synthase) (hmbs) (pre-uroporphyrinogen synthase)</t>
  </si>
  <si>
    <t>P08397</t>
  </si>
  <si>
    <t>HMCN1</t>
  </si>
  <si>
    <t>hemicentin-1 (fibulin-6) (fibl-6)</t>
  </si>
  <si>
    <t>Q96RW7</t>
  </si>
  <si>
    <t>HMGA1</t>
  </si>
  <si>
    <t>high mobility group protein hmg-i/hmg-y (hmg-i(y)) (high mobility group at-hook protein 1) (high mobility group protein a1) (high mobility group protein r)</t>
  </si>
  <si>
    <t>P17096</t>
  </si>
  <si>
    <t>HMGA2</t>
  </si>
  <si>
    <t>high mobility group protein hmgi-c (high mobility group at-hook protein 2)</t>
  </si>
  <si>
    <t>P52926</t>
  </si>
  <si>
    <t>HMGB3</t>
  </si>
  <si>
    <t>high mobility group protein b3 (high mobility group protein 2a) (hmg-2a) (high mobility group protein 4) (hmg-4)</t>
  </si>
  <si>
    <t>O15347</t>
  </si>
  <si>
    <t>hydroxymethylglutaryl-coa lyase, mitochondrial (hl) (hmg-coa lyase) (ec 4.1.3.4) (3-hydroxy-3-methylglutarate-coa lyase)</t>
  </si>
  <si>
    <t>P35914</t>
  </si>
  <si>
    <t>HMGCS2</t>
  </si>
  <si>
    <t>hydroxymethylglutaryl-coa synthase, mitochondrial (hmg-coa synthase) (ec 2.3.3.10) (3-hydroxy-3-methylglutaryl coenzyme a synthase)</t>
  </si>
  <si>
    <t>P54868</t>
  </si>
  <si>
    <t>HMOX1</t>
  </si>
  <si>
    <t>heme oxygenase 1 (ho-1) (ec 1.14.14.18) [cleaved into: heme oxygenase 1 soluble form]</t>
  </si>
  <si>
    <t>P09601</t>
  </si>
  <si>
    <t>HNF1B</t>
  </si>
  <si>
    <t>hepatocyte nuclear factor 1-beta (hnf-1-beta) (hnf-1b) (homeoprotein lfb3) (transcription factor 2) (tcf-2) (variant hepatic nuclear factor 1) (vhnf1)</t>
  </si>
  <si>
    <t>P35680</t>
  </si>
  <si>
    <t>HNF4A</t>
  </si>
  <si>
    <t>hepatocyte nuclear factor 4-alpha (hnf-4-alpha) (nuclear receptor subfamily 2 group a member 1) (transcription factor 14) (tcf-14) (transcription factor hnf-4)</t>
  </si>
  <si>
    <t>P41235</t>
  </si>
  <si>
    <t>HNMT</t>
  </si>
  <si>
    <t>histamine n-methyltransferase (hmt) (ec 2.1.1.8)</t>
  </si>
  <si>
    <t>P50135</t>
  </si>
  <si>
    <t>HNRNPA1</t>
  </si>
  <si>
    <t>heterogeneous nuclear ribonucleoprotein a1 (hnrnp a1) (helix-destabilizing protein) (single-strand rna-binding protein) (hnrnp core protein a1) [cleaved into: heterogeneous nuclear ribonucleoprotein a1, n-terminally processed]</t>
  </si>
  <si>
    <t>P09651</t>
  </si>
  <si>
    <t>HNRNPA2B1</t>
  </si>
  <si>
    <t>heterogeneous nuclear ribonucleoproteins a2/b1 (hnrnp a2/b1)</t>
  </si>
  <si>
    <t>P22626</t>
  </si>
  <si>
    <t>HNRNPDL</t>
  </si>
  <si>
    <t>heterogeneous nuclear ribonucleoprotein d-like (hnrnp d-like) (hnrnp dl) (au-rich element rna-binding factor) (jkt41-binding protein) (protein laauf1)</t>
  </si>
  <si>
    <t>O14979</t>
  </si>
  <si>
    <t>HNRNPH2</t>
  </si>
  <si>
    <t>heterogeneous nuclear ribonucleoprotein h2 (hnrnp h2) (ftp-3) (heterogeneous nuclear ribonucleoprotein h') (hnrnp h') [cleaved into: heterogeneous nuclear ribonucleoprotein h2, n-terminally processed]</t>
  </si>
  <si>
    <t>P55795</t>
  </si>
  <si>
    <t>HNRNPK</t>
  </si>
  <si>
    <t>heterogeneous nuclear ribonucleoprotein k (hnrnp k) (transformation up-regulated nuclear protein) (tunp)</t>
  </si>
  <si>
    <t>P61978</t>
  </si>
  <si>
    <t>HOGA1</t>
  </si>
  <si>
    <t>4-hydroxy-2-oxoglutarate aldolase, mitochondrial (ec 4.1.3.16) (dihydrodipicolinate synthase-like) (dhdps-like protein) (probable 2-keto-4-hydroxyglutarate aldolase) (probable khg-aldolase) (protein 569272)</t>
  </si>
  <si>
    <t>Q86XE5</t>
  </si>
  <si>
    <t>HOMER2</t>
  </si>
  <si>
    <t>homer protein homolog 2 (homer-2) (cupidin)</t>
  </si>
  <si>
    <t>Q9NSB8</t>
  </si>
  <si>
    <t>HOXA9</t>
  </si>
  <si>
    <t>homeobox protein hox-a9 (homeobox protein hox-1g)</t>
  </si>
  <si>
    <t>P31269</t>
  </si>
  <si>
    <t>HOXA11</t>
  </si>
  <si>
    <t>homeobox protein hox-a11 (homeobox protein hox-1i)</t>
  </si>
  <si>
    <t>P31270</t>
  </si>
  <si>
    <t>HOXA13</t>
  </si>
  <si>
    <t>homeobox protein hox-a13 (homeobox protein hox-1j)</t>
  </si>
  <si>
    <t>P31271</t>
  </si>
  <si>
    <t>HOXB1</t>
  </si>
  <si>
    <t>homeobox protein hox-b1 (homeobox protein hox-2i)</t>
  </si>
  <si>
    <t>P14653</t>
  </si>
  <si>
    <t>HOXB13</t>
  </si>
  <si>
    <t>homeobox protein hox-b13</t>
  </si>
  <si>
    <t>Q92826</t>
  </si>
  <si>
    <t>HOXC13</t>
  </si>
  <si>
    <t>homeobox protein hox-c13 (homeobox protein hox-3g)</t>
  </si>
  <si>
    <t>P31276</t>
  </si>
  <si>
    <t>HOXD13</t>
  </si>
  <si>
    <t>homeobox protein hox-d13 (homeobox protein hox-4i)</t>
  </si>
  <si>
    <t>P35453</t>
  </si>
  <si>
    <t>HP</t>
  </si>
  <si>
    <t>haptoglobin (zonulin) [cleaved into: haptoglobin alpha chain; haptoglobin beta chain]</t>
  </si>
  <si>
    <t>P00738</t>
  </si>
  <si>
    <t>HPCA</t>
  </si>
  <si>
    <t>neuron-specific calcium-binding protein hippocalcin (calcium-binding protein bdr-2)</t>
  </si>
  <si>
    <t>P84074</t>
  </si>
  <si>
    <t>HPD</t>
  </si>
  <si>
    <t>4-hydroxyphenylpyruvate dioxygenase (ec 1.13.11.27) (4-hydroxyphenylpyruvic acid oxidase) (4hppd) (hpd) (hppdase)</t>
  </si>
  <si>
    <t>P32754</t>
  </si>
  <si>
    <t>HPDL</t>
  </si>
  <si>
    <t>4-hydroxyphenylpyruvate dioxygenase-like protein (hpd-like protein) (ec 1.13.-.-) (glyoxalase domain-containing protein 1)</t>
  </si>
  <si>
    <t>Q96IR7</t>
  </si>
  <si>
    <t>HPRT1</t>
  </si>
  <si>
    <t>hypoxanthine-guanine phosphoribosyltransferase (hgprt) (hgprtase) (ec 2.4.2.8)</t>
  </si>
  <si>
    <t>P00492</t>
  </si>
  <si>
    <t>HPSE2</t>
  </si>
  <si>
    <t>inactive heparanase-2 (hpa2)</t>
  </si>
  <si>
    <t>Q8WWQ2</t>
  </si>
  <si>
    <t>HR</t>
  </si>
  <si>
    <t>lysine-specific demethylase hairless (ec 1.14.11.65) ([histone h3]-dimethyl-l-lysine(9) demethylase hairless)</t>
  </si>
  <si>
    <t>O43593</t>
  </si>
  <si>
    <t>HRG</t>
  </si>
  <si>
    <t>histidine-rich glycoprotein (histidine-proline-rich glycoprotein) (hprg)</t>
  </si>
  <si>
    <t>P04196</t>
  </si>
  <si>
    <t>HS6ST1</t>
  </si>
  <si>
    <t>heparan-sulfate 6-o-sulfotransferase 1 (hs6st-1) (ec 2.8.2.-)</t>
  </si>
  <si>
    <t>O60243</t>
  </si>
  <si>
    <t>HS6ST2</t>
  </si>
  <si>
    <t>heparan-sulfate 6-o-sulfotransferase 2 (hs6st-2) (ec 2.8.2.-)</t>
  </si>
  <si>
    <t>Q96MM7</t>
  </si>
  <si>
    <t>HSCB</t>
  </si>
  <si>
    <t>iron-sulfur cluster co-chaperone protein hscb (dnaj homolog subfamily c member 20) [cleaved into: iron-sulfur cluster co-chaperone protein hscb, cytoplasmic (c-hsc20); iron-sulfur cluster co-chaperone protein hscb, mitochondrial]</t>
  </si>
  <si>
    <t>Q8IWL3</t>
  </si>
  <si>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</si>
  <si>
    <t>P26439</t>
  </si>
  <si>
    <t>HSD3B7</t>
  </si>
  <si>
    <t>3 beta-hydroxysteroid dehydrogenase type 7 (3 beta-hydroxysteroid dehydrogenase type vii) (3-beta-hsd vii) (3-beta-hydroxy-delta(5)-c27 steroid oxidoreductase) (c(27) 3-beta-hsd) (ec 1.1.1.-) (cholest-5-ene-3-beta,7-alpha-diol 3-beta-dehydrogenase) (ec 1.1.1.181)</t>
  </si>
  <si>
    <t>Q9H2F3</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</si>
  <si>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</si>
  <si>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P51659</t>
  </si>
  <si>
    <t>HSF2BP</t>
  </si>
  <si>
    <t>heat shock factor 2-binding protein</t>
  </si>
  <si>
    <t>O75031</t>
  </si>
  <si>
    <t>HSF4</t>
  </si>
  <si>
    <t>heat shock factor protein 4 (hsf 4) (hhsf4) (heat shock transcription factor 4) (hstf 4)</t>
  </si>
  <si>
    <t>Q9ULV5</t>
  </si>
  <si>
    <t>HSPB1</t>
  </si>
  <si>
    <t>heat shock protein beta-1 (hspb1) (28 kda heat shock protein) (estrogen-regulated 24 kda protein) (heat shock 27 kda protein) (hsp 27) (heat shock protein family b member 1) (stress-responsive protein 27) (srp27)</t>
  </si>
  <si>
    <t>P04792</t>
  </si>
  <si>
    <t>HSPB3</t>
  </si>
  <si>
    <t>heat shock protein beta-3 (hspb3) (heat shock 17 kda protein) (hsp 17) (heat shock protein family b member 3) (protein 3)</t>
  </si>
  <si>
    <t>Q12988</t>
  </si>
  <si>
    <t>HSPB8</t>
  </si>
  <si>
    <t>heat shock protein beta-8 (hspb8) (alpha-crystallin c chain) (e2-induced gene 1 protein) (heat shock protein family b member 8) (protein kinase h11) (small stress protein-like protein hsp22)</t>
  </si>
  <si>
    <t>Q9UJY1</t>
  </si>
  <si>
    <t>HSPBAP1</t>
  </si>
  <si>
    <t>hspb1-associated protein 1 (27 kda heat shock protein-associated protein 1) (protein associated with small stress protein 1)</t>
  </si>
  <si>
    <t>Q96EW2</t>
  </si>
  <si>
    <t>HSPG2</t>
  </si>
  <si>
    <t>basement membrane-specific heparan sulfate proteoglycan core protein (hspg) (perlecan) (plc) [cleaved into: endorepellin; lg3 peptide]</t>
  </si>
  <si>
    <t>P98160</t>
  </si>
  <si>
    <t>HTRA1</t>
  </si>
  <si>
    <t>serine protease htra1 (ec 3.4.21.-) (high-temperature requirement a serine peptidase 1) (l56) (serine protease 11)</t>
  </si>
  <si>
    <t>Q92743</t>
  </si>
  <si>
    <t>HTRA2</t>
  </si>
  <si>
    <t>serine protease htra2, mitochondrial (ec 3.4.21.108) (high temperature requirement protein a2) (htra2) (omi stress-regulated endoprotease) (serine protease 25) (serine proteinase omi)</t>
  </si>
  <si>
    <t>O43464</t>
  </si>
  <si>
    <t>HUWE1</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</si>
  <si>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</si>
  <si>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Q7Z6Z7</t>
  </si>
  <si>
    <t>HYAL1</t>
  </si>
  <si>
    <t>hyaluronidase-1 (hyal-1) (ec 3.2.1.35) (hyaluronoglucosaminidase-1) (lung carcinoma protein 1) (luca-1)</t>
  </si>
  <si>
    <t>Q12794</t>
  </si>
  <si>
    <t>HYDIN</t>
  </si>
  <si>
    <t>hydrocephalus-inducing protein homolog</t>
  </si>
  <si>
    <t>Q4G0P3</t>
  </si>
  <si>
    <t>HYLS1</t>
  </si>
  <si>
    <t>centriolar and ciliogenesis-associated protein hyls1 (hydrolethalus syndrome protein 1)</t>
  </si>
  <si>
    <t>Q96M11</t>
  </si>
  <si>
    <t>HYOU1</t>
  </si>
  <si>
    <t>hypoxia up-regulated protein 1 (150 kda oxygen-regulated protein) (orp-150) (170 kda glucose-regulated protein) (grp-170) (heat shock protein family h member 4)</t>
  </si>
  <si>
    <t>Q9Y4L1</t>
  </si>
  <si>
    <t>ICOS</t>
  </si>
  <si>
    <t>inducible t-cell costimulator (activation-inducible lymphocyte immunomediatory molecule) (cd antigen cd278)</t>
  </si>
  <si>
    <t>Q9Y6W8</t>
  </si>
  <si>
    <t>IDH2</t>
  </si>
  <si>
    <t>isocitrate dehydrogenase [nadp], mitochondrial (idh) (ec 1.1.1.42) (icd-m) (idp) (nadp(+)-specific icdh) (oxalosuccinate decarboxylase)</t>
  </si>
  <si>
    <t>P48735</t>
  </si>
  <si>
    <t>iduronate 2-sulfatase (ec 3.1.6.13) (alpha-l-iduronate sulfate sulfatase) (idursulfase) [cleaved into: iduronate 2-sulfatase 42 kda chain; iduronate 2-sulfatase 14 kda chain]</t>
  </si>
  <si>
    <t>P22304</t>
  </si>
  <si>
    <t>alpha-l-iduronidase (ec 3.2.1.76)</t>
  </si>
  <si>
    <t>P35475</t>
  </si>
  <si>
    <t>IER3IP1</t>
  </si>
  <si>
    <t>immediate early response 3-interacting protein 1</t>
  </si>
  <si>
    <t>Q9Y5U9</t>
  </si>
  <si>
    <t>IFIH1</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</si>
  <si>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</si>
  <si>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Q9BYX4</t>
  </si>
  <si>
    <t>IFITM5</t>
  </si>
  <si>
    <t>interferon-induced transmembrane protein 5 (bone-restricted interferon-induced transmembrane protein-like protein) (bril) (dispanin subfamily a member 1) (dspa1)</t>
  </si>
  <si>
    <t>A6NNB3</t>
  </si>
  <si>
    <t>IGBP1</t>
  </si>
  <si>
    <t>immunoglobulin-binding protein 1 (b-cell signal transduction molecule alpha 4) (protein alpha-4) (cd79a-binding protein 1) (protein phosphatase 2/4/6 regulatory subunit) (renal carcinoma antigen ny-ren-16)</t>
  </si>
  <si>
    <t>P78318</t>
  </si>
  <si>
    <t>IGF1</t>
  </si>
  <si>
    <t>insulin-like growth factor i (igf-i) (mechano growth factor) (mgf) (somatomedin-c)</t>
  </si>
  <si>
    <t>P05019</t>
  </si>
  <si>
    <t>IGF2</t>
  </si>
  <si>
    <t>insulin-like growth factor ii (igf-ii) (somatomedin-a) (t3m-11-derived growth factor) [cleaved into: insulin-like growth factor ii; insulin-like growth factor ii ala-25 del; preptin]</t>
  </si>
  <si>
    <t>P01344</t>
  </si>
  <si>
    <t>IGFALS</t>
  </si>
  <si>
    <t>insulin-like growth factor-binding protein complex acid labile subunit (als)</t>
  </si>
  <si>
    <t>P35858</t>
  </si>
  <si>
    <t>IGFBP7</t>
  </si>
  <si>
    <t>insulin-like growth factor-binding protein 7 (ibp-7) (igf-binding protein 7) (igfbp-7) (igfbp-rp1) (mac25 protein) (pgi2-stimulating factor) (prostacyclin-stimulating factor) (tumor-derived adhesion factor) (taf)</t>
  </si>
  <si>
    <t>Q16270</t>
  </si>
  <si>
    <t>IGHMBP2</t>
  </si>
  <si>
    <t>dna-binding protein smubp-2 (ec 3.6.4.12) (ec 3.6.4.13) (atp-dependent helicase ighmbp2) (glial factor 1) (gf-1) (immunoglobulin mu-binding protein 2)</t>
  </si>
  <si>
    <t>P38935</t>
  </si>
  <si>
    <t>IGLL1</t>
  </si>
  <si>
    <t>immunoglobulin lambda-like polypeptide 1 (cd179 antigen-like family member b) (ig lambda-5) (immunoglobulin omega polypeptide) (immunoglobulin-related protein 14.1) (cd antigen cd179b)</t>
  </si>
  <si>
    <t>P15814</t>
  </si>
  <si>
    <t>IGSF1</t>
  </si>
  <si>
    <t>immunoglobulin superfamily member 1 (igsf1) (immunoglobulin-like domain-containing protein 1) (inhibin-binding protein) (inhbp) (pituitary gland-specific factor 2) (p120)</t>
  </si>
  <si>
    <t>Q8N6C5</t>
  </si>
  <si>
    <t>IGSF3</t>
  </si>
  <si>
    <t>immunoglobulin superfamily member 3 (igsf3) (glu-trp-ile ewi motif-containing protein 3) (ewi-3)</t>
  </si>
  <si>
    <t>O75054</t>
  </si>
  <si>
    <t>IHH</t>
  </si>
  <si>
    <t>indian hedgehog protein (ihh) (ec 3.1.-.-) (hhg-2) [cleaved into: indian hedgehog protein n-product]</t>
  </si>
  <si>
    <t>Q14623</t>
  </si>
  <si>
    <t>IKZF3</t>
  </si>
  <si>
    <t>zinc finger protein aiolos (ikaros family zinc finger protein 3)</t>
  </si>
  <si>
    <t>Q9UKT9</t>
  </si>
  <si>
    <t>IKZF5</t>
  </si>
  <si>
    <t>zinc finger protein pegasus (ikaros family zinc finger protein 5)</t>
  </si>
  <si>
    <t>Q9H5V7</t>
  </si>
  <si>
    <t>IL1RAPL1</t>
  </si>
  <si>
    <t>interleukin-1 receptor accessory protein-like 1 (il-1-rapl-1) (il-1rapl-1) (il1rapl-1) (ec 3.2.2.6) (oligophrenin-4) (three immunoglobulin domain-containing il-1 receptor-related 2) (tigirr-2) (x-linked interleukin-1 receptor accessory protein-like 1)</t>
  </si>
  <si>
    <t>Q9NZN1</t>
  </si>
  <si>
    <t>IL1RN</t>
  </si>
  <si>
    <t>interleukin-1 receptor antagonist protein (il-1rn) (il-1ra) (irap) (icil-1ra) (il1 inhibitor) (anakinra)</t>
  </si>
  <si>
    <t>P18510</t>
  </si>
  <si>
    <t>interleukin-7 (il-7)</t>
  </si>
  <si>
    <t>P13232</t>
  </si>
  <si>
    <t>IL7R</t>
  </si>
  <si>
    <t>interleukin-7 receptor subunit alpha (il-7 receptor subunit alpha) (il-7r subunit alpha) (il-7r-alpha) (il-7ra) (cdw127) (cd antigen cd127)</t>
  </si>
  <si>
    <t>P16871</t>
  </si>
  <si>
    <t>IL11RA</t>
  </si>
  <si>
    <t>interleukin-11 receptor subunit alpha (il-11 receptor subunit alpha) (il-11r subunit alpha) (il-11r-alpha) (il-11ra) [cleaved into: soluble interleukin-11 receptor subunit alpha (sil-11r) (sil-11ra) (sil11ra)]</t>
  </si>
  <si>
    <t>Q14626</t>
  </si>
  <si>
    <t>IL13</t>
  </si>
  <si>
    <t>interleukin-13 (il-13)</t>
  </si>
  <si>
    <t>P35225</t>
  </si>
  <si>
    <t>IL17F</t>
  </si>
  <si>
    <t>interleukin-17f (il-17f) (cytokine ml-1)</t>
  </si>
  <si>
    <t>Q96PD4</t>
  </si>
  <si>
    <t>IL17RA</t>
  </si>
  <si>
    <t>interleukin-17 receptor a (il-17 receptor a) (il-17ra) (cdw217) (cd antigen cd217)</t>
  </si>
  <si>
    <t>Q96F46</t>
  </si>
  <si>
    <t>IL17RC</t>
  </si>
  <si>
    <t>interleukin-17 receptor c (il-17 receptor c) (il-17rc) (interleukin-17 receptor homolog) (il17rhom) (interleukin-17 receptor-like protein) (il-17rl) (zcytor14)</t>
  </si>
  <si>
    <t>Q8NAC3</t>
  </si>
  <si>
    <t>IL17RD</t>
  </si>
  <si>
    <t>interleukin-17 receptor d (il-17 receptor d) (il-17rd) (il17rhom) (interleukin-17 receptor-like protein) (sef homolog) (hsef)</t>
  </si>
  <si>
    <t>Q8NFM7</t>
  </si>
  <si>
    <t>IL18BP</t>
  </si>
  <si>
    <t>interleukin-18-binding protein (il-18bp) (tadekinig-alfa)</t>
  </si>
  <si>
    <t>O95998</t>
  </si>
  <si>
    <t>IL31RA</t>
  </si>
  <si>
    <t>interleukin-31 receptor subunit alpha (il-31 receptor subunit alpha) (il-31r subunit alpha) (il-31r-alpha) (il-31ra) (cytokine receptor-like 3) (glm-r) (hglm-r) (gp130-like monocyte receptor) (gp130-like receptor) (zcytor17)</t>
  </si>
  <si>
    <t>Q8NI17</t>
  </si>
  <si>
    <t>IL36RN</t>
  </si>
  <si>
    <t>interleukin-36 receptor antagonist protein (il-36ra) (fil1 delta) (il-1-related protein 3) (il-1rp3) (interleukin-1 hy1) (il-1hy1) (interleukin-1 delta) (il-1 delta) (interleukin-1 family member 5) (il-1f5) (interleukin-1 receptor antagonist homolog 1) (il-1ra homolog 1) (interleukin-1-like protein 1) (il-1l1)</t>
  </si>
  <si>
    <t>Q9UBH0</t>
  </si>
  <si>
    <t>IL37</t>
  </si>
  <si>
    <t>interleukin-37 (il-37) (fil1 zeta) (il-1x) (interleukin-1 family member 7) (il-1f7) (interleukin-1 homolog 4) (il-1h) (il-1h4) (interleukin-1 zeta) (il-1 zeta) (interleukin-1-related protein) (il-1rp1)</t>
  </si>
  <si>
    <t>Q9NZH6</t>
  </si>
  <si>
    <t>ILDR1</t>
  </si>
  <si>
    <t>immunoglobulin-like domain-containing receptor 1 (angulin-2)</t>
  </si>
  <si>
    <t>Q86SU0</t>
  </si>
  <si>
    <t>IMPG1</t>
  </si>
  <si>
    <t>interphotoreceptor matrix proteoglycan 1 (interphotoreceptor matrix proteoglycan of 150 kda) (ipm-150) (sialoprotein associated with cones and rods)</t>
  </si>
  <si>
    <t>Q17R60</t>
  </si>
  <si>
    <t>IMPG2</t>
  </si>
  <si>
    <t>interphotoreceptor matrix proteoglycan 2 (interphotoreceptor matrix proteoglycan of 200 kda) (ipm 200) (sialoprotein associated with cones and rods proteoglycan) (spacrcan)</t>
  </si>
  <si>
    <t>Q9BZV3</t>
  </si>
  <si>
    <t>INF2</t>
  </si>
  <si>
    <t>inverted formin-2 (hbebp2-binding protein c)</t>
  </si>
  <si>
    <t>Q27J81</t>
  </si>
  <si>
    <t>INPP5E</t>
  </si>
  <si>
    <t>phosphatidylinositol polyphosphate 5-phosphatase type iv (72 kda inositol polyphosphate 5-phosphatase) (inositol polyphosphate-5-phosphatase e) (phosphatidylinositol 4,5-bisphosphate 5-phosphatase) (ec 3.1.3.36) (phosphatidylinositol-3,4,5-trisphosphate 5-phosphatase) (ec 3.1.3.86)</t>
  </si>
  <si>
    <t>Q9NRR6</t>
  </si>
  <si>
    <t>INPP5K</t>
  </si>
  <si>
    <t>inositol polyphosphate 5-phosphatase k (ec 3.1.3.56) (phosphatidylinositol-3,4,5-trisphosphate 5-phosphatase) (ec 3.1.3.86) (phosphatidylinositol-4,5-bisphosphate 5-phosphatase) (ec 3.1.3.36) (skeletal muscle and kidney-enriched inositol phosphatase)</t>
  </si>
  <si>
    <t>Q9BT40</t>
  </si>
  <si>
    <t>INPPL1</t>
  </si>
  <si>
    <t>phosphatidylinositol 3,4,5-trisphosphate 5-phosphatase 2 (ec 3.1.3.86) (inositol polyphosphate phosphatase-like protein 1) (inppl-1) (protein 51c) (sh2 domain-containing inositol 5'-phosphatase 2) (sh2 domain-containing inositol phosphatase 2) (ship-2)</t>
  </si>
  <si>
    <t>O15357</t>
  </si>
  <si>
    <t>INSL3</t>
  </si>
  <si>
    <t>insulin-like 3 (leydig insulin-like peptide) (ley-i-l) (relaxin-like factor) [cleaved into: insulin-like 3 b chain; insulin-like 3 a chain]</t>
  </si>
  <si>
    <t>P51460</t>
  </si>
  <si>
    <t>INVS</t>
  </si>
  <si>
    <t>inversin (inversion of embryo turning homolog) (nephrocystin-2)</t>
  </si>
  <si>
    <t>Q9Y283</t>
  </si>
  <si>
    <t>IPO8</t>
  </si>
  <si>
    <t>importin-8 (imp8) (ran-binding protein 8) (ranbp8)</t>
  </si>
  <si>
    <t>O15397</t>
  </si>
  <si>
    <t>IQSEC1</t>
  </si>
  <si>
    <t>iq motif and sec7 domain-containing protein 1 (adp-ribosylation factors guanine nucleotide-exchange protein 100) (adp-ribosylation factors guanine nucleotide-exchange protein 2) (brefeldin-resistant arf-gef 2 protein) (brag2)</t>
  </si>
  <si>
    <t>Q6DN90</t>
  </si>
  <si>
    <t>IQSEC2</t>
  </si>
  <si>
    <t>iq motif and sec7 domain-containing protein 2</t>
  </si>
  <si>
    <t>Q5JU85</t>
  </si>
  <si>
    <t>IREB2</t>
  </si>
  <si>
    <t>iron-responsive element-binding protein 2 (ire-bp 2) (iron regulatory protein 2) (irp2)</t>
  </si>
  <si>
    <t>P48200</t>
  </si>
  <si>
    <t>interferon regulatory factor 1 (irf-1)</t>
  </si>
  <si>
    <t>P10914</t>
  </si>
  <si>
    <t>IRF3</t>
  </si>
  <si>
    <t>interferon regulatory factor 3 (irf-3)</t>
  </si>
  <si>
    <t>Q14653</t>
  </si>
  <si>
    <t>IRF4</t>
  </si>
  <si>
    <t>interferon regulatory factor 4 (irf-4) (lymphocyte-specific interferon regulatory factor) (lsirf) (multiple myeloma oncogene 1) (nf-em5)</t>
  </si>
  <si>
    <t>Q15306</t>
  </si>
  <si>
    <t>IRF5</t>
  </si>
  <si>
    <t>interferon regulatory factor 5 (irf-5)</t>
  </si>
  <si>
    <t>Q13568</t>
  </si>
  <si>
    <t>IRF6</t>
  </si>
  <si>
    <t>interferon regulatory factor 6 (irf-6)</t>
  </si>
  <si>
    <t>O14896</t>
  </si>
  <si>
    <t>IRF7</t>
  </si>
  <si>
    <t>interferon regulatory factor 7 (irf-7)</t>
  </si>
  <si>
    <t>Q92985</t>
  </si>
  <si>
    <t>interferon regulatory factor 8 (irf-8) (interferon consensus sequence-binding protein) (h-icsbp) (icsbp)</t>
  </si>
  <si>
    <t>Q02556</t>
  </si>
  <si>
    <t>IRGM</t>
  </si>
  <si>
    <t>immunity-related gtpase family m protein (ec 3.6.5.-) (immunity-related gtpase family m protein 1) (interferon-inducible protein 1) (lps-stimulated raw 264.7 macrophage protein 47 homolog) (lrg-47)</t>
  </si>
  <si>
    <t>A1A4Y4</t>
  </si>
  <si>
    <t>IRS1</t>
  </si>
  <si>
    <t>insulin receptor substrate 1 (irs-1)</t>
  </si>
  <si>
    <t>P35568</t>
  </si>
  <si>
    <t>IRS4</t>
  </si>
  <si>
    <t>insulin receptor substrate 4 (irs-4) (160 kda phosphotyrosine protein) (py160) (phosphoprotein of 160 kda) (pp160)</t>
  </si>
  <si>
    <t>O14654</t>
  </si>
  <si>
    <t>IRX5</t>
  </si>
  <si>
    <t>iroquois-class homeodomain protein irx-5 (homeodomain protein irx-2a) (homeodomain protein irxb2) (iroquois homeobox protein 5)</t>
  </si>
  <si>
    <t>P78411</t>
  </si>
  <si>
    <t>ISG15</t>
  </si>
  <si>
    <t>ubiquitin-like protein isg15 (interferon-induced 15 kda protein) (interferon-induced 17 kda protein) (ip17) (ubiquitin cross-reactive protein) (hucrp)</t>
  </si>
  <si>
    <t>P05161</t>
  </si>
  <si>
    <t>ITCH</t>
  </si>
  <si>
    <t>e3 ubiquitin-protein ligase itchy homolog (itch) (ec 2.3.2.26) (atrophin-1-interacting protein 4) (aip4) (hect-type e3 ubiquitin transferase itchy homolog) (nfe2-associated polypeptide 1) (napp1)</t>
  </si>
  <si>
    <t>Q96J02</t>
  </si>
  <si>
    <t>ITM2B</t>
  </si>
  <si>
    <t>integral membrane protein 2b (immature bri2) (imbri2) (protein e25b) (transmembrane protein bri) (bri) [cleaved into: bri2, membrane form (mature bri2) (mbri2); bri2 intracellular domain (bri2 icd); bri2c, soluble form; bri23 peptide (bri2-23) (abri23) (c-terminal peptide) (p23 peptide)]</t>
  </si>
  <si>
    <t>Q9Y287</t>
  </si>
  <si>
    <t>ITPA</t>
  </si>
  <si>
    <t>inosine triphosphate pyrophosphatase (itpase) (inosine triphosphatase) (ec 3.6.1.9) (non-canonical purine ntp pyrophosphatase) (non-standard purine ntp pyrophosphatase) (nucleoside-triphosphate diphosphatase) (nucleoside-triphosphate pyrophosphatase) (ntpase) (putative oncogene protein hlc14-06-p)</t>
  </si>
  <si>
    <t>Q9BY32</t>
  </si>
  <si>
    <t>ITPR1</t>
  </si>
  <si>
    <t>inositol 1,4,5-trisphosphate-gated calcium channel itpr1 (ip3 receptor isoform 1) (ip3r 1) (insp3r1) (inositol 1,4,5 trisphosphate receptor) (inositol 1,4,5-trisphosphate receptor type 1) (type 1 inositol 1,4,5-trisphosphate receptor) (type 1 insp3 receptor)</t>
  </si>
  <si>
    <t>Q14643</t>
  </si>
  <si>
    <t>ITPR2</t>
  </si>
  <si>
    <t>inositol 1,4,5-trisphosphate-gated calcium channel itpr2 (ip3 receptor isoform 2) (ip3r 2) (insp3r2) (inositol 1,4,5-trisphosphate receptor type 2) (type 2 inositol 1,4,5-trisphosphate receptor) (type 2 insp3 receptor)</t>
  </si>
  <si>
    <t>Q14571</t>
  </si>
  <si>
    <t>IVD</t>
  </si>
  <si>
    <t>isovaleryl-coa dehydrogenase, mitochondrial (ivd) (ec 1.3.8.4) (butyryl-coa dehydrogenase) (ec 1.3.8.1)</t>
  </si>
  <si>
    <t>P26440</t>
  </si>
  <si>
    <t>IYD</t>
  </si>
  <si>
    <t>iodotyrosine deiodinase 1 (iyd-1) (ec 1.21.1.1) (iodotyrosine dehalogenase 1)</t>
  </si>
  <si>
    <t>Q6PHW0</t>
  </si>
  <si>
    <t>JAG1</t>
  </si>
  <si>
    <t>protein jagged-1 (jagged1) (hj1) (cd antigen cd339)</t>
  </si>
  <si>
    <t>P78504</t>
  </si>
  <si>
    <t>JAG2</t>
  </si>
  <si>
    <t>protein jagged-2 (jagged2) (hj2)</t>
  </si>
  <si>
    <t>Q9Y219</t>
  </si>
  <si>
    <t>JAGN1</t>
  </si>
  <si>
    <t>protein jagunal homolog 1</t>
  </si>
  <si>
    <t>Q8N5M9</t>
  </si>
  <si>
    <t>JAM2</t>
  </si>
  <si>
    <t>junctional adhesion molecule b (jam-b) (junctional adhesion molecule 2) (jam-2) (vascular endothelial junction-associated molecule) (ve-jam) (cd antigen cd322)</t>
  </si>
  <si>
    <t>P57087</t>
  </si>
  <si>
    <t>JAM3</t>
  </si>
  <si>
    <t>junctional adhesion molecule c (jam-c) (jam-2) (junctional adhesion molecule 3) (jam-3) [cleaved into: soluble form of jam-c (sjam-c)]</t>
  </si>
  <si>
    <t>Q9BX67</t>
  </si>
  <si>
    <t>JAZF1</t>
  </si>
  <si>
    <t>juxtaposed with another zinc finger protein 1 (tak1-interacting protein 27) (zinc finger protein 802)</t>
  </si>
  <si>
    <t>Q86VZ6</t>
  </si>
  <si>
    <t>JPH2</t>
  </si>
  <si>
    <t>junctophilin-2 (jp-2) (junctophilin type 2) [cleaved into: junctophilin-2 n-terminal fragment (jp2nt)]</t>
  </si>
  <si>
    <t>Q9BR39</t>
  </si>
  <si>
    <t>JPH3</t>
  </si>
  <si>
    <t>junctophilin-3 (jp-3) (junctophilin type 3) (trinucleotide repeat-containing gene 22 protein)</t>
  </si>
  <si>
    <t>Q8WXH2</t>
  </si>
  <si>
    <t>JUP</t>
  </si>
  <si>
    <t>junction plakoglobin (catenin gamma) (desmoplakin iii) (desmoplakin-3)</t>
  </si>
  <si>
    <t>P14923</t>
  </si>
  <si>
    <t>KANK1</t>
  </si>
  <si>
    <t>kn motif and ankyrin repeat domain-containing protein 1 (ankyrin repeat domain-containing protein 15) (kidney ankyrin repeat-containing protein)</t>
  </si>
  <si>
    <t>Q14678</t>
  </si>
  <si>
    <t>KANK2</t>
  </si>
  <si>
    <t>kn motif and ankyrin repeat domain-containing protein 2 (ankyrin repeat domain-containing protein 25) (matrix-remodeling-associated protein 3) (src-1-interacting protein) (sip) (src-interacting protein) (src1-interacting protein)</t>
  </si>
  <si>
    <t>Q63ZY3</t>
  </si>
  <si>
    <t>KBTBD13</t>
  </si>
  <si>
    <t>kelch repeat and btb domain-containing protein 13</t>
  </si>
  <si>
    <t>C9JR72</t>
  </si>
  <si>
    <t>KCNA1</t>
  </si>
  <si>
    <t>potassium voltage-gated channel subfamily a member 1 (voltage-gated k(+) channel huki) (voltage-gated potassium channel hbk1) (voltage-gated potassium channel subunit kv1.1)</t>
  </si>
  <si>
    <t>Q09470</t>
  </si>
  <si>
    <t>KCNA2</t>
  </si>
  <si>
    <t>potassium voltage-gated channel subfamily a member 2 (ngk1) (voltage-gated k(+) channel hukiv) (voltage-gated potassium channel hbk5) (voltage-gated potassium channel subunit kv1.2)</t>
  </si>
  <si>
    <t>P16389</t>
  </si>
  <si>
    <t>KCNA4</t>
  </si>
  <si>
    <t>potassium voltage-gated channel subfamily a member 4 (hpcn2) (voltage-gated k(+) channel hukii) (voltage-gated potassium channel hbk4) (voltage-gated potassium channel hk1) (voltage-gated potassium channel subunit kv1.4)</t>
  </si>
  <si>
    <t>P22459</t>
  </si>
  <si>
    <t>KCNA5</t>
  </si>
  <si>
    <t>potassium voltage-gated channel subfamily a member 5 (hpcn1) (voltage-gated potassium channel hk2) (voltage-gated potassium channel subunit kv1.5)</t>
  </si>
  <si>
    <t>P22460</t>
  </si>
  <si>
    <t>KCNB1</t>
  </si>
  <si>
    <t>potassium voltage-gated channel subfamily b member 1 (delayed rectifier potassium channel 1) (drk1) (h-drk1) (voltage-gated potassium channel subunit kv2.1)</t>
  </si>
  <si>
    <t>Q14721</t>
  </si>
  <si>
    <t>KCNC1</t>
  </si>
  <si>
    <t>voltage-gated potassium channel kcnc1 (ngk2) (potassium voltage-gated channel subfamily c member 1) (voltage-gated potassium channel subunit kv3.1) (voltage-gated potassium channel subunit kv4)</t>
  </si>
  <si>
    <t>P48547</t>
  </si>
  <si>
    <t>KCNC2</t>
  </si>
  <si>
    <t>voltage-gated potassium channel kcnc2 (potassium voltage-gated channel subfamily c member 2) (shaw-like potassium channel) (voltage-gated potassium channel kv3.2)</t>
  </si>
  <si>
    <t>Q96PR1</t>
  </si>
  <si>
    <t>KCNC3</t>
  </si>
  <si>
    <t>voltage-gated potassium channel kcnc3 (kshiiid) (potassium voltage-gated channel subfamily c member 3) (voltage-gated potassium channel subunit kv3.3)</t>
  </si>
  <si>
    <t>Q14003</t>
  </si>
  <si>
    <t>KCNE3</t>
  </si>
  <si>
    <t>potassium voltage-gated channel subfamily e member 3 (mink-related peptide 2) (mirp2) (minimum potassium ion channel-related peptide 2) (potassium channel subunit beta mirp2)</t>
  </si>
  <si>
    <t>Q9Y6H6</t>
  </si>
  <si>
    <t>KCNE5</t>
  </si>
  <si>
    <t>potassium voltage-gated channel subfamily e regulatory beta subunit 5 (amme syndrome candidate gene 2 protein) (potassium channel subunit beta mirp4) (potassium voltage-gated channel subfamily e member 1-like protein)</t>
  </si>
  <si>
    <t>Q9UJ90</t>
  </si>
  <si>
    <t>KCNH1</t>
  </si>
  <si>
    <t>potassium voltage-gated channel subfamily h member 1 (ether-a-go-go potassium channel 1) (eag channel 1) (h-eag) (heag1) (voltage-gated potassium channel subunit kv10.1)</t>
  </si>
  <si>
    <t>O95259</t>
  </si>
  <si>
    <t>KCNJ1</t>
  </si>
  <si>
    <t>atp-sensitive inward rectifier potassium channel 1 (atp-regulated potassium channel rom-k) (inward rectifier k(+) channel kir1.1) (potassium channel, inwardly rectifying subfamily j member 1)</t>
  </si>
  <si>
    <t>P48048</t>
  </si>
  <si>
    <t>KCNJ6</t>
  </si>
  <si>
    <t>g protein-activated inward rectifier potassium channel 2 (girk-2) (bir1) (inward rectifier k(+) channel kir3.2) (katp-2) (potassium channel, inwardly rectifying subfamily j member 6)</t>
  </si>
  <si>
    <t>P48051</t>
  </si>
  <si>
    <t>KCNJ8</t>
  </si>
  <si>
    <t>atp-sensitive inward rectifier potassium channel 8 (inward rectifier k(+) channel kir6.1) (potassium channel, inwardly rectifying subfamily j member 8) (ukatp-1)</t>
  </si>
  <si>
    <t>Q15842</t>
  </si>
  <si>
    <t>KCNJ10</t>
  </si>
  <si>
    <t>atp-sensitive inward rectifier potassium channel 10 (atp-dependent inwardly rectifying potassium channel kir4.1) (inward rectifier k(+) channel kir1.2) (potassium channel, inwardly rectifying subfamily j member 10)</t>
  </si>
  <si>
    <t>P78508</t>
  </si>
  <si>
    <t>KCNJ13</t>
  </si>
  <si>
    <t>inward rectifier potassium channel 13 (inward rectifier k(+) channel kir7.1) (potassium channel, inwardly rectifying subfamily j member 13)</t>
  </si>
  <si>
    <t>O60928</t>
  </si>
  <si>
    <t>KCNJ16</t>
  </si>
  <si>
    <t>inward rectifier potassium channel 16 (inward rectifier k(+) channel kir5.1) (potassium channel, inwardly rectifying subfamily j member 16)</t>
  </si>
  <si>
    <t>Q9NPI9</t>
  </si>
  <si>
    <t>KCNJ18</t>
  </si>
  <si>
    <t>inward rectifier potassium channel 18 (inward rectifier k(+) channel kir2.6) (potassium channel, inwardly rectifying subfamily j member 18)</t>
  </si>
  <si>
    <t>B7U540</t>
  </si>
  <si>
    <t>KCNK3</t>
  </si>
  <si>
    <t>potassium channel subfamily k member 3 (acid-sensitive potassium channel protein task-1) (twik-related acid-sensitive k(+) channel 1) (two pore potassium channel kt3.1) (two pore k(+) channel kt3.1)</t>
  </si>
  <si>
    <t>O14649</t>
  </si>
  <si>
    <t>KCNK4</t>
  </si>
  <si>
    <t>potassium channel subfamily k member 4 (twik-related arachidonic acid-stimulated potassium channel protein) (traak) (two pore potassium channel kt4.1) (two pore k(+) channel kt4.1)</t>
  </si>
  <si>
    <t>Q9NYG8</t>
  </si>
  <si>
    <t>KCNK9</t>
  </si>
  <si>
    <t>potassium channel subfamily k member 9 (acid-sensitive potassium channel protein task-3) (twik-related acid-sensitive k(+) channel 3) (two pore potassium channel kt3.2) (two pore k(+) channel kt3.2)</t>
  </si>
  <si>
    <t>Q9NPC2</t>
  </si>
  <si>
    <t>KCNK18</t>
  </si>
  <si>
    <t>potassium channel subfamily k member 18 (twik-related individual potassium channel) (twik-related spinal cord potassium channel)</t>
  </si>
  <si>
    <t>Q7Z418</t>
  </si>
  <si>
    <t>KCNMA1</t>
  </si>
  <si>
    <t>calcium-activated potassium channel subunit alpha-1 (bk channel) (bkca alpha) (calcium-activated potassium channel, subfamily m subunit alpha-1) (k(vca)alpha) (kca1.1) (maxi k channel) (maxik) (slo-alpha) (slo1) (slowpoke homolog) (slo homolog) (hslo)</t>
  </si>
  <si>
    <t>Q12791</t>
  </si>
  <si>
    <t>KCNN2</t>
  </si>
  <si>
    <t>small conductance calcium-activated potassium channel protein 2 (sk2) (skca 2) (skca2) (kca2.2)</t>
  </si>
  <si>
    <t>Q9H2S1</t>
  </si>
  <si>
    <t>KCNN3</t>
  </si>
  <si>
    <t>small conductance calcium-activated potassium channel protein 3 (sk3) (skca 3) (skca3) (kca2.3)</t>
  </si>
  <si>
    <t>Q9UGI6</t>
  </si>
  <si>
    <t>KCNQ2</t>
  </si>
  <si>
    <t>potassium voltage-gated channel subfamily kqt member 2 (kqt-like 2) (neuroblastoma-specific potassium channel subunit alpha kvlqt2) (voltage-gated potassium channel subunit kv7.2)</t>
  </si>
  <si>
    <t>O43526</t>
  </si>
  <si>
    <t>KCNQ3</t>
  </si>
  <si>
    <t>potassium voltage-gated channel subfamily kqt member 3 (kqt-like 3) (potassium channel subunit alpha kvlqt3) (voltage-gated potassium channel subunit kv7.3)</t>
  </si>
  <si>
    <t>O43525</t>
  </si>
  <si>
    <t>KCNQ4</t>
  </si>
  <si>
    <t>potassium voltage-gated channel subfamily kqt member 4 (kqt-like 4) (potassium channel subunit alpha kvlqt4) (voltage-gated potassium channel subunit kv7.4)</t>
  </si>
  <si>
    <t>P56696</t>
  </si>
  <si>
    <t>KCNQ5</t>
  </si>
  <si>
    <t>potassium voltage-gated channel subfamily kqt member 5 (kqt-like 5) (potassium channel subunit alpha kvlqt5) (voltage-gated potassium channel subunit kv7.5)</t>
  </si>
  <si>
    <t>Q9NR82</t>
  </si>
  <si>
    <t>KCNT1</t>
  </si>
  <si>
    <t>potassium channel subfamily t member 1 (kca4.1)</t>
  </si>
  <si>
    <t>Q5JUK3</t>
  </si>
  <si>
    <t>KCNT2</t>
  </si>
  <si>
    <t>potassium channel subfamily t member 2 (kna1.2) (sequence like an intermediate conductance potassium channel subunit) (sodium and chloride-activated atp-sensitive potassium channel slo2.1)</t>
  </si>
  <si>
    <t>Q6UVM3</t>
  </si>
  <si>
    <t>KCNV2</t>
  </si>
  <si>
    <t>potassium voltage-gated channel subfamily v member 2 (voltage-gated potassium channel subunit kv8.2)</t>
  </si>
  <si>
    <t>Q8TDN2</t>
  </si>
  <si>
    <t>KCTD7</t>
  </si>
  <si>
    <t>btb/poz domain-containing protein kctd7</t>
  </si>
  <si>
    <t>Q96MP8</t>
  </si>
  <si>
    <t>KCTD13</t>
  </si>
  <si>
    <t>btb/poz domain-containing adapter for cul3-mediated rhoa degradation protein 1 (hbacurd1) (btb/poz domain-containing protein kctd13) (polymerase delta-interacting protein 1) (tnfaip1-like protein)</t>
  </si>
  <si>
    <t>Q8WZ19</t>
  </si>
  <si>
    <t>KCTD17</t>
  </si>
  <si>
    <t>btb/poz domain-containing protein kctd17</t>
  </si>
  <si>
    <t>Q8N5Z5</t>
  </si>
  <si>
    <t>KDELR2</t>
  </si>
  <si>
    <t>er lumen protein-retaining receptor 2 (erd2-like protein 1) (elp-1) (kdel endoplasmic reticulum protein retention receptor 2) (kdel receptor 2)</t>
  </si>
  <si>
    <t>P33947</t>
  </si>
  <si>
    <t>KDF1</t>
  </si>
  <si>
    <t>keratinocyte differentiation factor 1</t>
  </si>
  <si>
    <t>Q8NAX2</t>
  </si>
  <si>
    <t>KDM3B</t>
  </si>
  <si>
    <t>lysine-specific demethylase 3b (ec 1.14.11.65) (jmjc domain-containing histone demethylation protein 2b) (jumonji domain-containing protein 1b) (nuclear protein 5qnca) ([histone h3]-dimethyl-l-lysine(9) demethylase 3b)</t>
  </si>
  <si>
    <t>Q7LBC6</t>
  </si>
  <si>
    <t>KDM4B</t>
  </si>
  <si>
    <t>lysine-specific demethylase 4b (ec 1.14.11.66) (jmjc domain-containing histone demethylation protein 3b) (jumonji domain-containing protein 2b) ([histone h3]-trimethyl-l-lysine(9) demethylase 4b)</t>
  </si>
  <si>
    <t>O94953</t>
  </si>
  <si>
    <t>KDM5A</t>
  </si>
  <si>
    <t>lysine-specific demethylase 5a (ec 1.14.11.67) (histone demethylase jarid1a) (jumonji/arid domain-containing protein 1a) (retinoblastoma-binding protein 2) (rbbp-2) ([histone h3]-trimethyl-l-lysine(4) demethylase 5a)</t>
  </si>
  <si>
    <t>P29375</t>
  </si>
  <si>
    <t>KDM5B</t>
  </si>
  <si>
    <t>lysine-specific demethylase 5b (ec 1.14.11.67) (cancer/testis antigen 31) (ct31) (histone demethylase jarid1b) (jumonji/arid domain-containing protein 1b) (plu-1) (retinoblastoma-binding protein 2 homolog 1) (rbp2-h1) ([histone h3]-trimethyl-l-lysine(4) demethylase 5b)</t>
  </si>
  <si>
    <t>Q9UGL1</t>
  </si>
  <si>
    <t>KDM5C</t>
  </si>
  <si>
    <t>lysine-specific demethylase 5c (ec 1.14.11.67) (histone demethylase jarid1c) (jumonji/arid domain-containing protein 1c) (protein smcx) (protein xe169) ([histone h3]-trimethyl-l-lysine(4) demethylase 5c)</t>
  </si>
  <si>
    <t>P41229</t>
  </si>
  <si>
    <t>KDM6B</t>
  </si>
  <si>
    <t>lysine-specific demethylase 6b (ec 1.14.11.68) (jmjc domain-containing protein 3) (jumonji domain-containing protein 3) (lysine demethylase 6b) ([histone h3]-trimethyl-l-lysine(27) demethylase 6b)</t>
  </si>
  <si>
    <t>O15054</t>
  </si>
  <si>
    <t>KDSR</t>
  </si>
  <si>
    <t>3-ketodihydrosphingosine reductase (kds reductase) (ec 1.1.1.102) (3-dehydrosphinganine reductase) (follicular variant translocation protein 1) (fvt-1) (short chain dehydrogenase/reductase family 35c member 1)</t>
  </si>
  <si>
    <t>Q06136</t>
  </si>
  <si>
    <t>KERA</t>
  </si>
  <si>
    <t>keratocan (ktn) (keratan sulfate proteoglycan keratocan)</t>
  </si>
  <si>
    <t>O60938</t>
  </si>
  <si>
    <t>KHK</t>
  </si>
  <si>
    <t>ketohexokinase (ec 2.7.1.3) (hepatic fructokinase)</t>
  </si>
  <si>
    <t>P50053</t>
  </si>
  <si>
    <t>KIAA0319</t>
  </si>
  <si>
    <t>dyslexia-associated protein kiaa0319</t>
  </si>
  <si>
    <t>Q5VV43</t>
  </si>
  <si>
    <t>KIAA0586</t>
  </si>
  <si>
    <t>protein talpid3</t>
  </si>
  <si>
    <t>Q9BVV6</t>
  </si>
  <si>
    <t>KIAA0753</t>
  </si>
  <si>
    <t>protein moonraker (mnr) (ofd1- and fopnl-interacting protein)</t>
  </si>
  <si>
    <t>Q2KHM9</t>
  </si>
  <si>
    <t>KIAA1549</t>
  </si>
  <si>
    <t>upf0606 protein kiaa1549</t>
  </si>
  <si>
    <t>Q9HCM3</t>
  </si>
  <si>
    <t>KIDINS220</t>
  </si>
  <si>
    <t>kinase d-interacting substrate of 220 kda (ankyrin repeat-rich membrane-spanning protein)</t>
  </si>
  <si>
    <t>Q9ULH0</t>
  </si>
  <si>
    <t>KIF1A</t>
  </si>
  <si>
    <t>kinesin-like protein kif1a (axonal transporter of synaptic vesicles) (microtubule-based motor kif1a) (unc-104- and kif1a-related protein) (hunc-104)</t>
  </si>
  <si>
    <t>Q12756</t>
  </si>
  <si>
    <t>KIF1B</t>
  </si>
  <si>
    <t>kinesin-like protein kif1b (klp) (ec 5.6.1.3)</t>
  </si>
  <si>
    <t>O60333</t>
  </si>
  <si>
    <t>KIF1C</t>
  </si>
  <si>
    <t>kinesin-like protein kif1c</t>
  </si>
  <si>
    <t>O43896</t>
  </si>
  <si>
    <t>KIF2A</t>
  </si>
  <si>
    <t>kinesin-like protein kif2a (kinesin-2) (hk2)</t>
  </si>
  <si>
    <t>O00139</t>
  </si>
  <si>
    <t>KIF4A</t>
  </si>
  <si>
    <t>chromosome-associated kinesin kif4a (chromokinesin-a)</t>
  </si>
  <si>
    <t>O95239</t>
  </si>
  <si>
    <t>KIF5A</t>
  </si>
  <si>
    <t>kinesin heavy chain isoform 5a (kinesin heavy chain neuron-specific 1) (neuronal kinesin heavy chain) (nkhc)</t>
  </si>
  <si>
    <t>Q12840</t>
  </si>
  <si>
    <t>KIF5C</t>
  </si>
  <si>
    <t>kinesin heavy chain isoform 5c (ec 3.6.4.-) (kinesin heavy chain neuron-specific 2) (kinesin-1)</t>
  </si>
  <si>
    <t>O60282</t>
  </si>
  <si>
    <t>KIF7</t>
  </si>
  <si>
    <t>kinesin-like protein kif7</t>
  </si>
  <si>
    <t>Q2M1P5</t>
  </si>
  <si>
    <t>KIF11</t>
  </si>
  <si>
    <t>kinesin-like protein kif11 (kinesin-like protein 1) (kinesin-like spindle protein hksp) (kinesin-related motor protein eg5) (thyroid receptor-interacting protein 5) (tr-interacting protein 5) (trip-5)</t>
  </si>
  <si>
    <t>P52732</t>
  </si>
  <si>
    <t>KIF14</t>
  </si>
  <si>
    <t>kinesin-like protein kif14</t>
  </si>
  <si>
    <t>Q15058</t>
  </si>
  <si>
    <t>KIF15</t>
  </si>
  <si>
    <t>kinesin-like protein kif15 (kinesin-like protein 2) (hklp2) (kinesin-like protein 7) (serologically defined breast cancer antigen ny-br-62)</t>
  </si>
  <si>
    <t>Q9NS87</t>
  </si>
  <si>
    <t>KIF20A</t>
  </si>
  <si>
    <t>kinesin-like protein kif20a (gg10_2) (mitotic kinesin-like protein 2) (mklp2) (rab6-interacting kinesin-like protein) (rabkinesin-6)</t>
  </si>
  <si>
    <t>O95235</t>
  </si>
  <si>
    <t>KIF22</t>
  </si>
  <si>
    <t>kinesin-like protein kif22 (kinesin-like dna-binding protein) (kinesin-like protein 4)</t>
  </si>
  <si>
    <t>Q14807</t>
  </si>
  <si>
    <t>KIF23</t>
  </si>
  <si>
    <t>kinesin-like protein kif23 (kinesin-like protein 5) (mitotic kinesin-like protein 1)</t>
  </si>
  <si>
    <t>Q02241</t>
  </si>
  <si>
    <t>KIFBP</t>
  </si>
  <si>
    <t>kif-binding protein (kif1-binding protein) (kinesin family binding protein)</t>
  </si>
  <si>
    <t>Q96EK5</t>
  </si>
  <si>
    <t>KIRREL1</t>
  </si>
  <si>
    <t>kin of irre-like protein 1 (kin of irregular chiasm-like protein 1) (nephrin-like protein 1)</t>
  </si>
  <si>
    <t>Q96J84</t>
  </si>
  <si>
    <t>KIRREL3</t>
  </si>
  <si>
    <t>kin of irre-like protein 3 (kin of irregular chiasm-like protein 3) (nephrin-like protein 2) [cleaved into: processed kin of irre-like protein 3]</t>
  </si>
  <si>
    <t>Q8IZU9</t>
  </si>
  <si>
    <t>KISS1</t>
  </si>
  <si>
    <t>metastasis-suppressor kiss-1 (kisspeptin-1) [cleaved into: metastin (kisspeptin-54); kisspeptin-14; kisspeptin-13; kisspeptin-10]</t>
  </si>
  <si>
    <t>Q15726</t>
  </si>
  <si>
    <t>KISS1R</t>
  </si>
  <si>
    <t>kiss-1 receptor (kiss-1r) (g-protein coupled receptor 54) (g-protein coupled receptor ot7t175) (hot7t175) (hypogonadotropin-1) (kisspeptins receptor) (metastin receptor)</t>
  </si>
  <si>
    <t>Q969F8</t>
  </si>
  <si>
    <t>KITLG</t>
  </si>
  <si>
    <t>kit ligand (mast cell growth factor) (mgf) (stem cell factor) (scf) (c-kit ligand) [cleaved into: soluble kit ligand (skitlg)]</t>
  </si>
  <si>
    <t>P21583</t>
  </si>
  <si>
    <t>KIZ</t>
  </si>
  <si>
    <t>centrosomal protein kizuna (polo-like kinase 1 substrate 1)</t>
  </si>
  <si>
    <t>Q2M2Z5</t>
  </si>
  <si>
    <t>KL</t>
  </si>
  <si>
    <t>klotho (ec 3.2.1.31) [cleaved into: klotho peptide]</t>
  </si>
  <si>
    <t>Q9UEF7</t>
  </si>
  <si>
    <t>KLC2</t>
  </si>
  <si>
    <t>kinesin light chain 2 (klc 2)</t>
  </si>
  <si>
    <t>Q9H0B6</t>
  </si>
  <si>
    <t>KLF1</t>
  </si>
  <si>
    <t>krueppel-like factor 1 (erythroid krueppel-like transcription factor) (eklf)</t>
  </si>
  <si>
    <t>Q13351</t>
  </si>
  <si>
    <t>KLF6</t>
  </si>
  <si>
    <t>krueppel-like factor 6 (b-cell-derived protein 1) (core promoter element-binding protein) (gc-rich sites-binding factor gbf) (proto-oncogene bcd1) (suppressor of tumorigenicity 12 protein) (transcription factor zf9)</t>
  </si>
  <si>
    <t>Q99612</t>
  </si>
  <si>
    <t>KLF11</t>
  </si>
  <si>
    <t>krueppel-like factor 11 (transforming growth factor-beta-inducible early growth response protein 2) (tgfb-inducible early growth response protein 2) (tieg-2)</t>
  </si>
  <si>
    <t>O14901</t>
  </si>
  <si>
    <t>KLF15</t>
  </si>
  <si>
    <t>krueppel-like factor 15 (kidney-enriched krueppel-like factor)</t>
  </si>
  <si>
    <t>Q9UIH9</t>
  </si>
  <si>
    <t>KLHDC8B</t>
  </si>
  <si>
    <t>kelch domain-containing protein 8b</t>
  </si>
  <si>
    <t>Q8IXV7</t>
  </si>
  <si>
    <t>KLK4</t>
  </si>
  <si>
    <t>kallikrein-4 (ec 3.4.21.-) (enamel matrix serine proteinase 1) (kallikrein-like protein 1) (klk-l1) (prostase) (serine protease 17)</t>
  </si>
  <si>
    <t>Q9Y5K2</t>
  </si>
  <si>
    <t>KMT2E</t>
  </si>
  <si>
    <t>inactive histone-lysine n-methyltransferase 2e (inactive lysine n-methyltransferase 2e) (myeloid/lymphoid or mixed-lineage leukemia protein 5)</t>
  </si>
  <si>
    <t>Q8IZD2</t>
  </si>
  <si>
    <t>KMT5B</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</si>
  <si>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</si>
  <si>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Q4FZB7</t>
  </si>
  <si>
    <t>KNG1</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</si>
  <si>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</si>
  <si>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P01042</t>
  </si>
  <si>
    <t>KNSTRN</t>
  </si>
  <si>
    <t>small kinetochore-associated protein (skap) (kinetochore-localized astrin-binding protein) (kinastrin) (kinetochore-localized astrin/spag5-binding protein) (traf4-associated factor 1)</t>
  </si>
  <si>
    <t>Q9Y448</t>
  </si>
  <si>
    <t>KRT2</t>
  </si>
  <si>
    <t>keratin, type ii cytoskeletal 2 epidermal (cytokeratin-2e) (ck-2e) (epithelial keratin-2e) (keratin-2 epidermis) (keratin-2e) (k2e) (type-ii keratin kb2)</t>
  </si>
  <si>
    <t>P35908</t>
  </si>
  <si>
    <t>KRT3</t>
  </si>
  <si>
    <t>keratin, type ii cytoskeletal 3 (65 kda cytokeratin) (cytokeratin-3) (ck-3) (keratin-3) (k3) (type-ii keratin kb3)</t>
  </si>
  <si>
    <t>P12035</t>
  </si>
  <si>
    <t>KRT4</t>
  </si>
  <si>
    <t>keratin, type ii cytoskeletal 4 (cytokeratin-4) (ck-4) (keratin-4) (k4) (type-ii keratin kb4)</t>
  </si>
  <si>
    <t>P19013</t>
  </si>
  <si>
    <t>KRT6A</t>
  </si>
  <si>
    <t>keratin, type ii cytoskeletal 6a (cytokeratin-6a) (ck-6a) (cytokeratin-6d) (ck-6d) (keratin-6a) (k6a) (type-ii keratin kb6) (allergen hom s 5)</t>
  </si>
  <si>
    <t>P02538</t>
  </si>
  <si>
    <t>KRT6B</t>
  </si>
  <si>
    <t>keratin, type ii cytoskeletal 6b (cytokeratin-6b) (ck-6b) (keratin-6b) (k6b) (type-ii keratin kb10)</t>
  </si>
  <si>
    <t>P04259</t>
  </si>
  <si>
    <t>KRT9</t>
  </si>
  <si>
    <t>keratin, type i cytoskeletal 9 (cytokeratin-9) (ck-9) (keratin-9) (k9)</t>
  </si>
  <si>
    <t>P35527</t>
  </si>
  <si>
    <t>KRT12</t>
  </si>
  <si>
    <t>keratin, type i cytoskeletal 12 (cytokeratin-12) (ck-12) (keratin-12) (k12)</t>
  </si>
  <si>
    <t>Q99456</t>
  </si>
  <si>
    <t>KRT13</t>
  </si>
  <si>
    <t>keratin, type i cytoskeletal 13 (cytokeratin-13) (ck-13) (keratin-13) (k13)</t>
  </si>
  <si>
    <t>P13646</t>
  </si>
  <si>
    <t>KRT17</t>
  </si>
  <si>
    <t>keratin, type i cytoskeletal 17 (39.1) (cytokeratin-17) (ck-17) (keratin-17) (k17)</t>
  </si>
  <si>
    <t>Q04695</t>
  </si>
  <si>
    <t>KRT81</t>
  </si>
  <si>
    <t>keratin, type ii cuticular hb1 (hair keratin k2.9) (keratin, hair, basic, 1) (keratin-81) (k81) (metastatic lymph node 137 gene protein) (mln 137) (type ii hair keratin hb1) (type-ii keratin kb21) (ghhkb1) (ghhb1)</t>
  </si>
  <si>
    <t>Q14533</t>
  </si>
  <si>
    <t>KYNU</t>
  </si>
  <si>
    <t>kynureninase (ec 3.7.1.3) (l-kynurenine hydrolase)</t>
  </si>
  <si>
    <t>Q16719</t>
  </si>
  <si>
    <t>L1CAM</t>
  </si>
  <si>
    <t>neural cell adhesion molecule l1 (n-cam-l1) (ncam-l1) (cd antigen cd171)</t>
  </si>
  <si>
    <t>P32004</t>
  </si>
  <si>
    <t>L2HGDH</t>
  </si>
  <si>
    <t>l-2-hydroxyglutarate dehydrogenase, mitochondrial (ec 1.1.99.2) (duranin)</t>
  </si>
  <si>
    <t>Q9H9P8</t>
  </si>
  <si>
    <t>LACC1</t>
  </si>
  <si>
    <t>purine nucleoside phosphorylase lacc1 (ec 2.4.2.1) (adenosine deaminase lacc1) (ec 3.5.4.4) (fatty acid metabolism-immunity nexus) (guanosine phosphorylase lacc1) (laccase domain-containing protein 1) (s-methyl-5'-thioadenosine phosphorylase lacc1) (ec 2.4.2.28)</t>
  </si>
  <si>
    <t>Q8IV20</t>
  </si>
  <si>
    <t>LAMP2</t>
  </si>
  <si>
    <t>lysosome-associated membrane glycoprotein 2 (lamp-2) (lysosome-associated membrane protein 2) (cd107 antigen-like family member b) (lgp-96) (cd antigen cd107b)</t>
  </si>
  <si>
    <t>P13473</t>
  </si>
  <si>
    <t>LARP7</t>
  </si>
  <si>
    <t>la-related protein 7 (la ribonucleoprotein domain family member 7) (hlarp7) (p-tefb-interaction protein for 7sk stability) (pip7s)</t>
  </si>
  <si>
    <t>Q4G0J3</t>
  </si>
  <si>
    <t>leucine--trna ligase, mitochondrial (ec 6.1.1.4) (leucyl-trna synthetase) (leurs)</t>
  </si>
  <si>
    <t>Q15031</t>
  </si>
  <si>
    <t>LAT</t>
  </si>
  <si>
    <t>linker for activation of t-cells family member 1 (36 kda phosphotyrosine adapter protein) (pp36) (p36-38)</t>
  </si>
  <si>
    <t>O43561</t>
  </si>
  <si>
    <t>LAT2</t>
  </si>
  <si>
    <t>linker for activation of t-cells family member 2 (linker for activation of b-cells) (membrane-associated adapter molecule) (non-t-cell activation linker) (williams-beuren syndrome chromosomal region 15 protein) (williams-beuren syndrome chromosomal region 5 protein)</t>
  </si>
  <si>
    <t>Q9GZY6</t>
  </si>
  <si>
    <t>LBR</t>
  </si>
  <si>
    <t>delta(14)-sterol reductase lbr (delta-14-sr) (ec 1.3.1.70) (3-beta-hydroxysterol delta (14)-reductase) (c-14 sterol reductase) (c14sr) (integral nuclear envelope inner membrane protein) (lmn2r) (lamin-b receptor) (sterol c14-reductase)</t>
  </si>
  <si>
    <t>Q14739</t>
  </si>
  <si>
    <t>LBX1</t>
  </si>
  <si>
    <t>transcription factor lbx1 (ladybird homeobox protein homolog 1)</t>
  </si>
  <si>
    <t>P52954</t>
  </si>
  <si>
    <t>LCA5</t>
  </si>
  <si>
    <t>lebercilin (leber congenital amaurosis 5 protein)</t>
  </si>
  <si>
    <t>Q86VQ0</t>
  </si>
  <si>
    <t>LCAT</t>
  </si>
  <si>
    <t>phosphatidylcholine-sterol acyltransferase (ec 2.3.1.43) (1-alkyl-2-acetylglycerophosphocholine esterase) (ec 3.1.1.47) (lecithin-cholesterol acyltransferase) (phospholipid-cholesterol acyltransferase) (platelet-activating factor acetylhydrolase) (paf acetylhydrolase)</t>
  </si>
  <si>
    <t>P04180</t>
  </si>
  <si>
    <t>LCP1</t>
  </si>
  <si>
    <t>plastin-2 (l-plastin) (lc64p) (lymphocyte cytosolic protein 1) (lcp-1)</t>
  </si>
  <si>
    <t>P13796</t>
  </si>
  <si>
    <t>LCP2</t>
  </si>
  <si>
    <t>lymphocyte cytosolic protein 2 (sh2 domain-containing leukocyte protein of 76 kda) (slp-76 tyrosine phosphoprotein) (slp76)</t>
  </si>
  <si>
    <t>Q13094</t>
  </si>
  <si>
    <t>LCT</t>
  </si>
  <si>
    <t>lactase/phlorizin hydrolase (lactase/glycosylceramidase) [includes: lactase (ec 3.2.1.108); glycosylceramidase (ec 3.2.1.62) (phlorizin hydrolase)]</t>
  </si>
  <si>
    <t>P09848</t>
  </si>
  <si>
    <t>LDB3</t>
  </si>
  <si>
    <t>lim domain-binding protein 3 (protein cypher) (z-band alternatively spliced pdz-motif protein)</t>
  </si>
  <si>
    <t>O75112</t>
  </si>
  <si>
    <t>LDHD</t>
  </si>
  <si>
    <t>probable d-lactate dehydrogenase, mitochondrial (dld) (lactate dehydrogenase d) (ec 1.1.2.4)</t>
  </si>
  <si>
    <t>Q86WU2</t>
  </si>
  <si>
    <t>LDLRAP1</t>
  </si>
  <si>
    <t>low density lipoprotein receptor adapter protein 1 (autosomal recessive hypercholesterolemia protein)</t>
  </si>
  <si>
    <t>Q5SW96</t>
  </si>
  <si>
    <t>LEFTY2</t>
  </si>
  <si>
    <t>left-right determination factor 2 (endometrial bleeding-associated factor) (left-right determination factor a) (protein lefty-2) (protein lefty-a) (transforming growth factor beta-4) (tgf-beta-4)</t>
  </si>
  <si>
    <t>O00292</t>
  </si>
  <si>
    <t>LEMD2</t>
  </si>
  <si>
    <t>lem domain-containing protein 2 (hlem2)</t>
  </si>
  <si>
    <t>Q8NC56</t>
  </si>
  <si>
    <t>LEMD3</t>
  </si>
  <si>
    <t>inner nuclear membrane protein man1 (lem domain-containing protein 3)</t>
  </si>
  <si>
    <t>Q9Y2U8</t>
  </si>
  <si>
    <t>LEP</t>
  </si>
  <si>
    <t>leptin (obese protein) (obesity factor)</t>
  </si>
  <si>
    <t>P41159</t>
  </si>
  <si>
    <t>LFNG</t>
  </si>
  <si>
    <t>beta-1,3-n-acetylglucosaminyltransferase lunatic fringe (ec 2.4.1.222) (o-fucosylpeptide 3-beta-n-acetylglucosaminyltransferase)</t>
  </si>
  <si>
    <t>Q8NES3</t>
  </si>
  <si>
    <t>LGI1</t>
  </si>
  <si>
    <t>leucine-rich glioma-inactivated protein 1 (epitempin-1)</t>
  </si>
  <si>
    <t>O95970</t>
  </si>
  <si>
    <t>LGR4</t>
  </si>
  <si>
    <t>leucine-rich repeat-containing g-protein coupled receptor 4 (g-protein coupled receptor 48)</t>
  </si>
  <si>
    <t>Q9BXB1</t>
  </si>
  <si>
    <t>LHCGR</t>
  </si>
  <si>
    <t>lutropin-choriogonadotropic hormone receptor (lh/cg-r) (luteinizing hormone receptor) (lhr) (lsh-r)</t>
  </si>
  <si>
    <t>P22888</t>
  </si>
  <si>
    <t>LHFPL5</t>
  </si>
  <si>
    <t>lhfpl tetraspan subfamily member 5 protein (lipoma hmgic fusion partner-like 5 protein) (tetraspan membrane protein of hair cell stereocilia)</t>
  </si>
  <si>
    <t>Q8TAF8</t>
  </si>
  <si>
    <t>LHFPL6</t>
  </si>
  <si>
    <t>lhfpl tetraspan subfamily member 6 protein (lipoma hmgic fusion partner)</t>
  </si>
  <si>
    <t>Q9Y693</t>
  </si>
  <si>
    <t>LHX3</t>
  </si>
  <si>
    <t>lim/homeobox protein lhx3 (lim homeobox protein 3)</t>
  </si>
  <si>
    <t>Q9UBR4</t>
  </si>
  <si>
    <t>LHX4</t>
  </si>
  <si>
    <t>lim/homeobox protein lhx4 (lim homeobox protein 4)</t>
  </si>
  <si>
    <t>Q969G2</t>
  </si>
  <si>
    <t>LIAS</t>
  </si>
  <si>
    <t>lipoyl synthase, mitochondrial (ec 2.8.1.8) (lipoate synthase) (ls) (lip-syn) (lipoic acid synthase)</t>
  </si>
  <si>
    <t>O43766</t>
  </si>
  <si>
    <t>LIFR</t>
  </si>
  <si>
    <t>leukemia inhibitory factor receptor (lif receptor) (lif-r) (cd antigen cd118)</t>
  </si>
  <si>
    <t>P42702</t>
  </si>
  <si>
    <t>LIG1</t>
  </si>
  <si>
    <t>dna ligase 1 (ec 6.5.1.1) (dna ligase i) (polydeoxyribonucleotide synthase [atp] 1)</t>
  </si>
  <si>
    <t>P18858</t>
  </si>
  <si>
    <t>LIM2</t>
  </si>
  <si>
    <t>lens fiber membrane intrinsic protein (mp18) (mp19) (mp20)</t>
  </si>
  <si>
    <t>P55344</t>
  </si>
  <si>
    <t>LIMS2</t>
  </si>
  <si>
    <t>lim and senescent cell antigen-like-containing domain protein 2 (lim-like protein 2) (particularly interesting new cys-his protein 2) (pinch-2)</t>
  </si>
  <si>
    <t>Q7Z4I7</t>
  </si>
  <si>
    <t>LINGO1</t>
  </si>
  <si>
    <t>leucine-rich repeat and immunoglobulin-like domain-containing nogo receptor-interacting protein 1 (leucine-rich repeat and immunoglobulin domain-containing protein 1) (leucine-rich repeat neuronal protein 1) (leucine-rich repeat neuronal protein 6a)</t>
  </si>
  <si>
    <t>Q96FE5</t>
  </si>
  <si>
    <t>LINS1</t>
  </si>
  <si>
    <t>protein lines homolog 1 (wnt-signaling molecule lines homolog 1)</t>
  </si>
  <si>
    <t>Q8NG48</t>
  </si>
  <si>
    <t>LIPA</t>
  </si>
  <si>
    <t>lysosomal acid lipase/cholesteryl ester hydrolase (acid cholesteryl ester hydrolase) (lal) (ec 3.1.1.13) (cholesteryl esterase) (diacylglycerol lipase) (lipase a) (sterol esterase) (triacylglycerol ester hydrolase) (triacylglycerol lipase)</t>
  </si>
  <si>
    <t>P38571</t>
  </si>
  <si>
    <t>LIPC</t>
  </si>
  <si>
    <t>hepatic triacylglycerol lipase (hl) (hepatic lipase) (ec 3.1.1.3) (lipase member c) (lysophospholipase) (ec 3.1.1.5) (phospholipase a1) (ec 3.1.1.32)</t>
  </si>
  <si>
    <t>P11150</t>
  </si>
  <si>
    <t>LIPE</t>
  </si>
  <si>
    <t>hormone-sensitive lipase (hsl) (ec 3.1.1.79) (monoacylglycerol lipase lipe) (ec 3.1.1.23) (retinyl ester hydrolase) (reh)</t>
  </si>
  <si>
    <t>Q05469</t>
  </si>
  <si>
    <t>LIPN</t>
  </si>
  <si>
    <t>lipase member n (ec 3.1.1.-) (lipase-like abhydrolase domain-containing protein 4)</t>
  </si>
  <si>
    <t>Q5VXI9</t>
  </si>
  <si>
    <t>LIPT1</t>
  </si>
  <si>
    <t>lipoyl amidotransferase lipt1, mitochondrial (ec 2.3.1.200) (lipoate biosynthesis protein) (lipoate-protein ligase) (lipoyl ligase) (lipoyltransferase 1) (ec 2.3.1.-)</t>
  </si>
  <si>
    <t>Q9Y234</t>
  </si>
  <si>
    <t>LIPT2</t>
  </si>
  <si>
    <t>octanoyl-[acyl-carrier-protein]:protein n-octanoyltransferase lipt2, mitochondrial (lipoate-protein ligase b) (lipoyl/octanoyl transferase) (lipoyltransferase 2) (ec 2.3.1.181) (octanoyl-[acyl-carrier-protein]-protein n-octanoyltransferase)</t>
  </si>
  <si>
    <t>A6NK58</t>
  </si>
  <si>
    <t>LITAF</t>
  </si>
  <si>
    <t>lipopolysaccharide-induced tumor necrosis factor-alpha factor (lps-induced tnf-alpha factor) (small integral membrane protein of lysosome/late endosome) (p53-induced gene 7 protein)</t>
  </si>
  <si>
    <t>Q99732</t>
  </si>
  <si>
    <t>LMAN2L</t>
  </si>
  <si>
    <t>vip36-like protein (lectin mannose-binding 2-like) (lman2-like protein)</t>
  </si>
  <si>
    <t>Q9H0V9</t>
  </si>
  <si>
    <t>LMBRD1</t>
  </si>
  <si>
    <t>lysosomal cobalamin transport escort protein lmbd1 (lmbd1) (hdag-l-interacting protein nesi) (lmbr1 domain-containing protein 1) (nuclear export signal-interacting protein)</t>
  </si>
  <si>
    <t>Q9NUN5</t>
  </si>
  <si>
    <t>LMNB1</t>
  </si>
  <si>
    <t>lamin-b1</t>
  </si>
  <si>
    <t>P20700</t>
  </si>
  <si>
    <t>LMNB2</t>
  </si>
  <si>
    <t>lamin-b2</t>
  </si>
  <si>
    <t>Q03252</t>
  </si>
  <si>
    <t>LMO1</t>
  </si>
  <si>
    <t>rhombotin-1 (cysteine-rich protein ttg-1) (lim domain only protein 1) (lmo-1) (t-cell translocation protein 1)</t>
  </si>
  <si>
    <t>P25800</t>
  </si>
  <si>
    <t>LMO2</t>
  </si>
  <si>
    <t>rhombotin-2 (cysteine-rich protein ttg-2) (lim domain only protein 2) (lmo-2) (t-cell translocation protein 2)</t>
  </si>
  <si>
    <t>P25791</t>
  </si>
  <si>
    <t>LMOD1</t>
  </si>
  <si>
    <t>leiomodin-1 (64 kda autoantigen 1d) (64 kda autoantigen 1d3) (64 kda autoantigen d1) (leiomodin, muscle form) (smooth muscle leiomodin) (sm-lmod) (thyroid-associated ophthalmopathy autoantigen)</t>
  </si>
  <si>
    <t>P29536</t>
  </si>
  <si>
    <t>LMOD3</t>
  </si>
  <si>
    <t>leiomodin-3 (leiomodin, fetal form)</t>
  </si>
  <si>
    <t>Q0VAK6</t>
  </si>
  <si>
    <t>LMX1A</t>
  </si>
  <si>
    <t>lim homeobox transcription factor 1-alpha (lim/homeobox protein 1.1) (lmx-1.1) (lim/homeobox protein lmx1a)</t>
  </si>
  <si>
    <t>Q8TE12</t>
  </si>
  <si>
    <t>LMX1B</t>
  </si>
  <si>
    <t>lim homeobox transcription factor 1-beta (lim/homeobox protein 1.2) (lmx-1.2) (lim/homeobox protein lmx1b)</t>
  </si>
  <si>
    <t>O60663</t>
  </si>
  <si>
    <t>LNP1</t>
  </si>
  <si>
    <t>leukemia nup98 fusion partner 1</t>
  </si>
  <si>
    <t>A1A4G5</t>
  </si>
  <si>
    <t>LONP1</t>
  </si>
  <si>
    <t>lon protease homolog, mitochondrial (ec 3.4.21.53) (lonhs) (lon protease-like protein) (lonp) (mitochondrial atp-dependent protease lon) (serine protease 15)</t>
  </si>
  <si>
    <t>P36776</t>
  </si>
  <si>
    <t>LOX</t>
  </si>
  <si>
    <t>protein-lysine 6-oxidase (ec 1.4.3.13) (lysyl oxidase) [cleaved into: protein-lysine 6-oxidase, long form; protein-lysine 6-oxidase, short form]</t>
  </si>
  <si>
    <t>P28300</t>
  </si>
  <si>
    <t>LOXHD1</t>
  </si>
  <si>
    <t>lipoxygenase homology domain-containing protein 1</t>
  </si>
  <si>
    <t>Q8IVV2</t>
  </si>
  <si>
    <t>LOXL1</t>
  </si>
  <si>
    <t>lysyl oxidase homolog 1 (ec 1.4.3.13) (lysyl oxidase-like protein 1) (lol)</t>
  </si>
  <si>
    <t>Q08397</t>
  </si>
  <si>
    <t>LPAR6</t>
  </si>
  <si>
    <t>lysophosphatidic acid receptor 6 (lpa receptor 6) (lpa-6) (oleoyl-l-alpha-lysophosphatidic acid receptor) (p2y purinoceptor 5) (p2y5) (purinergic receptor 5) (rb intron encoded g-protein coupled receptor)</t>
  </si>
  <si>
    <t>P43657</t>
  </si>
  <si>
    <t>LPIN1</t>
  </si>
  <si>
    <t>phosphatidate phosphatase lpin1 (ec 3.1.3.4) (lipin-1)</t>
  </si>
  <si>
    <t>Q14693</t>
  </si>
  <si>
    <t>LPIN2</t>
  </si>
  <si>
    <t>phosphatidate phosphatase lpin2 (ec 3.1.3.4) (lipin-2)</t>
  </si>
  <si>
    <t>Q92539</t>
  </si>
  <si>
    <t>LPP</t>
  </si>
  <si>
    <t>lipoma-preferred partner (lim domain-containing preferred translocation partner in lipoma)</t>
  </si>
  <si>
    <t>Q93052</t>
  </si>
  <si>
    <t>LRAT</t>
  </si>
  <si>
    <t>lecithin retinol acyltransferase (ec 2.3.1.135) (phosphatidylcholine--retinol o-acyltransferase)</t>
  </si>
  <si>
    <t>O95237</t>
  </si>
  <si>
    <t>LRBA</t>
  </si>
  <si>
    <t>lipopolysaccharide-responsive and beige-like anchor protein (beige-like protein) (cdc4-like protein)</t>
  </si>
  <si>
    <t>P50851</t>
  </si>
  <si>
    <t>LRIF1</t>
  </si>
  <si>
    <t>ligand-dependent nuclear receptor-interacting factor 1 (hp1-binding protein enriched in inactive x chromosome protein 1) (hbix1) (receptor-interacting factor 1)</t>
  </si>
  <si>
    <t>Q5T3J3</t>
  </si>
  <si>
    <t>LRIG2</t>
  </si>
  <si>
    <t>leucine-rich repeats and immunoglobulin-like domains protein 2 (lig-2)</t>
  </si>
  <si>
    <t>O94898</t>
  </si>
  <si>
    <t>LRIT3</t>
  </si>
  <si>
    <t>leucine-rich repeat, immunoglobulin-like domain and transmembrane domain-containing protein 3</t>
  </si>
  <si>
    <t>Q3SXY7</t>
  </si>
  <si>
    <t>LRMDA</t>
  </si>
  <si>
    <t>leucine-rich melanocyte differentiation-associated protein</t>
  </si>
  <si>
    <t>Q9H2I8</t>
  </si>
  <si>
    <t>LRP2</t>
  </si>
  <si>
    <t>low-density lipoprotein receptor-related protein 2 (lrp-2) (glycoprotein 330) (gp330) (megalin)</t>
  </si>
  <si>
    <t>P98164</t>
  </si>
  <si>
    <t>LRP4</t>
  </si>
  <si>
    <t>low-density lipoprotein receptor-related protein 4 (lrp-4) (multiple epidermal growth factor-like domains 7)</t>
  </si>
  <si>
    <t>O75096</t>
  </si>
  <si>
    <t>LRP5</t>
  </si>
  <si>
    <t>low-density lipoprotein receptor-related protein 5 (lrp-5) (low-density lipoprotein receptor-related protein 7) (lrp-7)</t>
  </si>
  <si>
    <t>O75197</t>
  </si>
  <si>
    <t>LRP6</t>
  </si>
  <si>
    <t>low-density lipoprotein receptor-related protein 6 (lrp-6)</t>
  </si>
  <si>
    <t>O75581</t>
  </si>
  <si>
    <t>LRP8</t>
  </si>
  <si>
    <t>low-density lipoprotein receptor-related protein 8 (lrp-8) (apolipoprotein e receptor 2)</t>
  </si>
  <si>
    <t>Q14114</t>
  </si>
  <si>
    <t>LRP12</t>
  </si>
  <si>
    <t>low-density lipoprotein receptor-related protein 12 (ldlr-related protein 12) (lrp-12) (suppressor of tumorigenicity 7 protein)</t>
  </si>
  <si>
    <t>Q9Y561</t>
  </si>
  <si>
    <t>LRPAP1</t>
  </si>
  <si>
    <t>alpha-2-macroglobulin receptor-associated protein (alpha-2-mrap) (low density lipoprotein receptor-related protein-associated protein 1) (rap)</t>
  </si>
  <si>
    <t>P30533</t>
  </si>
  <si>
    <t>LRPPRC</t>
  </si>
  <si>
    <t>leucine-rich ppr motif-containing protein, mitochondrial (130 kda leucine-rich protein) (lrp 130) (gp130)</t>
  </si>
  <si>
    <t>P42704</t>
  </si>
  <si>
    <t>LRRC8A</t>
  </si>
  <si>
    <t>volume-regulated anion channel subunit lrrc8a (leucine-rich repeat-containing protein 8a) (hslrrc8a) (swelling protein 1)</t>
  </si>
  <si>
    <t>Q8IWT6</t>
  </si>
  <si>
    <t>LRRC32</t>
  </si>
  <si>
    <t>transforming growth factor beta activator lrrc32 (garpin) (glycoprotein a repetitions predominant) (garp) (leucine-rich repeat-containing protein 32)</t>
  </si>
  <si>
    <t>Q14392</t>
  </si>
  <si>
    <t>LRRK1</t>
  </si>
  <si>
    <t>leucine-rich repeat serine/threonine-protein kinase 1 (ec 2.7.11.1)</t>
  </si>
  <si>
    <t>Q38SD2</t>
  </si>
  <si>
    <t>LRSAM1</t>
  </si>
  <si>
    <t>e3 ubiquitin-protein ligase lrsam1 (ec 2.3.2.27) (leucine-rich repeat and sterile alpha motif-containing protein 1) (ring-type e3 ubiquitin transferase lrsam1) (tsg101-associated ligase) (htal)</t>
  </si>
  <si>
    <t>Q6UWE0</t>
  </si>
  <si>
    <t>LRTOMT</t>
  </si>
  <si>
    <t>alternative protein lrtomt</t>
  </si>
  <si>
    <t>L8E8S0</t>
  </si>
  <si>
    <t>LSR</t>
  </si>
  <si>
    <t>lipolysis-stimulated lipoprotein receptor (angulin-1)</t>
  </si>
  <si>
    <t>Q86X29</t>
  </si>
  <si>
    <t>LSS</t>
  </si>
  <si>
    <t>lanosterol synthase (ec 5.4.99.7) (2,3-epoxysqualene--lanosterol cyclase) (oxidosqualene--lanosterol cyclase) (osc) (hosc)</t>
  </si>
  <si>
    <t>P48449</t>
  </si>
  <si>
    <t>LTA</t>
  </si>
  <si>
    <t>lymphotoxin-alpha (lt-alpha) (tnf-beta) (tumor necrosis factor ligand superfamily member 1)</t>
  </si>
  <si>
    <t>P01374</t>
  </si>
  <si>
    <t>LTBP1</t>
  </si>
  <si>
    <t>latent-transforming growth factor beta-binding protein 1 (ltbp-1) (transforming growth factor beta-1-binding protein 1) (tgf-beta1-bp-1)</t>
  </si>
  <si>
    <t>Q14766</t>
  </si>
  <si>
    <t>LTBP2</t>
  </si>
  <si>
    <t>latent-transforming growth factor beta-binding protein 2 (ltbp-2)</t>
  </si>
  <si>
    <t>Q14767</t>
  </si>
  <si>
    <t>LTBP3</t>
  </si>
  <si>
    <t>latent-transforming growth factor beta-binding protein 3 (ltbp-3)</t>
  </si>
  <si>
    <t>Q9NS15</t>
  </si>
  <si>
    <t>LTBP4</t>
  </si>
  <si>
    <t>latent-transforming growth factor beta-binding protein 4 (ltbp-4)</t>
  </si>
  <si>
    <t>Q8N2S1</t>
  </si>
  <si>
    <t>LYL1</t>
  </si>
  <si>
    <t>protein lyl-1 (class a basic helix-loop-helix protein 18) (bhlha18) (lymphoblastic leukemia-derived sequence 1)</t>
  </si>
  <si>
    <t>P12980</t>
  </si>
  <si>
    <t>LYRM7</t>
  </si>
  <si>
    <t>complex iii assembly factor lyrm7 (lyr motif-containing protein 7)</t>
  </si>
  <si>
    <t>Q5U5X0</t>
  </si>
  <si>
    <t>LYST</t>
  </si>
  <si>
    <t>lysosomal-trafficking regulator (beige homolog)</t>
  </si>
  <si>
    <t>Q99698</t>
  </si>
  <si>
    <t>LYZ</t>
  </si>
  <si>
    <t>lysozyme c (ec 3.2.1.17) (1,4-beta-n-acetylmuramidase c)</t>
  </si>
  <si>
    <t>P61626</t>
  </si>
  <si>
    <t>LZTFL1</t>
  </si>
  <si>
    <t>leucine zipper transcription factor-like protein 1</t>
  </si>
  <si>
    <t>Q9NQ48</t>
  </si>
  <si>
    <t>LZTR1</t>
  </si>
  <si>
    <t>leucine-zipper-like transcriptional regulator 1 (lztr-1)</t>
  </si>
  <si>
    <t>Q8N653</t>
  </si>
  <si>
    <t>LZTS1</t>
  </si>
  <si>
    <t>leucine zipper putative tumor suppressor 1 (f37/esophageal cancer-related gene-coding leucine-zipper motif) (fez1)</t>
  </si>
  <si>
    <t>Q9Y250</t>
  </si>
  <si>
    <t>MAB21L1</t>
  </si>
  <si>
    <t>putative nucleotidyltransferase mab21l1 (ec 2.7.7.-) (protein mab-21-like 1)</t>
  </si>
  <si>
    <t>Q13394</t>
  </si>
  <si>
    <t>MAB21L2</t>
  </si>
  <si>
    <t>protein mab-21-like 2</t>
  </si>
  <si>
    <t>Q9Y586</t>
  </si>
  <si>
    <t>MACF1</t>
  </si>
  <si>
    <t>microtubule-actin cross-linking factor 1, isoforms 1/2/3/4/5 (620 kda actin-binding protein) (abp620) (actin cross-linking family protein 7) (macrophin-1) (trabeculin-alpha)</t>
  </si>
  <si>
    <t>Q9UPN3</t>
  </si>
  <si>
    <t>MACROD1</t>
  </si>
  <si>
    <t>adp-ribose glycohydrolase macrod1 (macro domain-containing protein 1) (o-acetyl-adp-ribose deacetylase macrod1) (ec 3.1.1.106) (protein lrp16) ([protein adp-ribosylaspartate] hydrolase macrod1) (ec 3.2.2.-) ([protein adp-ribosylglutamate] hydrolase macrod1) (ec 3.2.2.-)</t>
  </si>
  <si>
    <t>Q9BQ69</t>
  </si>
  <si>
    <t>MADD</t>
  </si>
  <si>
    <t>map kinase-activating death domain protein (differentially expressed in normal and neoplastic cells) (insulinoma glucagonoma clone 20) (rab3 gdp/gtp exchange factor) (rabgef) (rab3 gdp/gtp exchange protein) (rab3gep)</t>
  </si>
  <si>
    <t>Q8WXG6</t>
  </si>
  <si>
    <t>MAFA</t>
  </si>
  <si>
    <t>transcription factor mafa (pancreatic beta-cell-specific transcriptional activator) (ripe3b1 factor) (v-maf musculoaponeurotic fibrosarcoma oncogene homolog a)</t>
  </si>
  <si>
    <t>Q8NHW3</t>
  </si>
  <si>
    <t>MAG</t>
  </si>
  <si>
    <t>myelin-associated glycoprotein (siglec-4a)</t>
  </si>
  <si>
    <t>P20916</t>
  </si>
  <si>
    <t>MAGED2</t>
  </si>
  <si>
    <t>melanoma-associated antigen d2 (11b6) (breast cancer-associated gene 1 protein) (bcg-1) (hepatocellular carcinoma-associated protein jcl-1) (mage-d2 antigen)</t>
  </si>
  <si>
    <t>Q9UNF1</t>
  </si>
  <si>
    <t>MAGEL2</t>
  </si>
  <si>
    <t>mage-like protein 2 (necdin-like protein 1) (protein nm15)</t>
  </si>
  <si>
    <t>Q9UJ55</t>
  </si>
  <si>
    <t>MAGI2</t>
  </si>
  <si>
    <t>membrane-associated guanylate kinase, ww and pdz domain-containing protein 2 (atrophin-1-interacting protein 1) (aip-1) (atrophin-1-interacting protein a) (membrane-associated guanylate kinase inverted 2) (magi-2)</t>
  </si>
  <si>
    <t>Q86UL8</t>
  </si>
  <si>
    <t>MALT1</t>
  </si>
  <si>
    <t>mucosa-associated lymphoid tissue lymphoma translocation protein 1 (ec 3.4.22.-) (malt lymphoma-associated translocation) (paracaspase)</t>
  </si>
  <si>
    <t>Q9UDY8</t>
  </si>
  <si>
    <t>MAML2</t>
  </si>
  <si>
    <t>mastermind-like protein 2 (mam-2)</t>
  </si>
  <si>
    <t>Q8IZL2</t>
  </si>
  <si>
    <t>MAMLD1</t>
  </si>
  <si>
    <t>mastermind-like domain-containing protein 1 (f18) (protein cg1)</t>
  </si>
  <si>
    <t>Q13495</t>
  </si>
  <si>
    <t>MAN1B1</t>
  </si>
  <si>
    <t>endoplasmic reticulum mannosyl-oligosaccharide 1,2-alpha-mannosidase (ec 3.2.1.113) (er alpha-1,2-mannosidase) (er mannosidase 1) (erman1) (man9glcnac2-specific-processing alpha-mannosidase) (mannosidase alpha class 1b member 1)</t>
  </si>
  <si>
    <t>Q9UKM7</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</si>
  <si>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</si>
  <si>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O00754</t>
  </si>
  <si>
    <t>MAN2C1</t>
  </si>
  <si>
    <t>alpha-mannosidase 2c1 (ec 3.2.1.24) (alpha mannosidase 6a8b) (alpha-d-mannoside mannohydrolase) (mannosidase alpha class 2c member 1)</t>
  </si>
  <si>
    <t>Q9NTJ4</t>
  </si>
  <si>
    <t>MANBA</t>
  </si>
  <si>
    <t>beta-mannosidase (ec 3.2.1.25) (lysosomal beta a mannosidase) (mannanase) (mannase)</t>
  </si>
  <si>
    <t>O00462</t>
  </si>
  <si>
    <t>MAP1B</t>
  </si>
  <si>
    <t>microtubule-associated protein 1b (map-1b) [cleaved into: map1b heavy chain; map1 light chain lc1]</t>
  </si>
  <si>
    <t>P46821</t>
  </si>
  <si>
    <t>MAPK8IP1</t>
  </si>
  <si>
    <t>c-jun-amino-terminal kinase-interacting protein 1 (jip-1) (jnk-interacting protein 1) (islet-brain 1) (ib-1) (jnk map kinase scaffold protein 1) (mitogen-activated protein kinase 8-interacting protein 1)</t>
  </si>
  <si>
    <t>Q9UQF2</t>
  </si>
  <si>
    <t>MAPK8IP3</t>
  </si>
  <si>
    <t>c-jun-amino-terminal kinase-interacting protein 3 (jip-3) (jnk-interacting protein 3) (jnk map kinase scaffold protein 3) (mitogen-activated protein kinase 8-interacting protein 3)</t>
  </si>
  <si>
    <t>Q9UPT6</t>
  </si>
  <si>
    <t>MAPKBP1</t>
  </si>
  <si>
    <t>mitogen-activated protein kinase-binding protein 1 (jnk-binding protein 1) (jnkbp-1)</t>
  </si>
  <si>
    <t>O60336</t>
  </si>
  <si>
    <t>MAPRE2</t>
  </si>
  <si>
    <t>microtubule-associated protein rp/eb family member 2 (apc-binding protein eb2) (end-binding protein 2) (eb2)</t>
  </si>
  <si>
    <t>Q15555</t>
  </si>
  <si>
    <t>MARCHF6</t>
  </si>
  <si>
    <t>e3 ubiquitin-protein ligase marchf6 (ec 2.3.2.27) (doa10 homolog) (membrane-associated ring finger protein 6) (membrane-associated ring-ch protein vi) (march-vi) (protein teb-4) (ring finger protein 176) (ring-type e3 ubiquitin transferase marchf6)</t>
  </si>
  <si>
    <t>O60337</t>
  </si>
  <si>
    <t>MARS2</t>
  </si>
  <si>
    <t>methionine--trna ligase, mitochondrial (ec 6.1.1.10) (methionyl-trna synthetase 2) (mitochondrial methionyl-trna synthetase) (mtmetrs)</t>
  </si>
  <si>
    <t>Q96GW9</t>
  </si>
  <si>
    <t>MARVELD2</t>
  </si>
  <si>
    <t>marvel domain-containing protein 2 (tricellulin)</t>
  </si>
  <si>
    <t>Q8N4S9</t>
  </si>
  <si>
    <t>MAS1</t>
  </si>
  <si>
    <t>proto-oncogene mas</t>
  </si>
  <si>
    <t>P04201</t>
  </si>
  <si>
    <t>MASTL</t>
  </si>
  <si>
    <t>serine/threonine-protein kinase greatwall (gw) (gwl) (hgwl) (ec 2.7.11.1) (microtubule-associated serine/threonine-protein kinase-like) (mast-l)</t>
  </si>
  <si>
    <t>Q96GX5</t>
  </si>
  <si>
    <t>MATR3</t>
  </si>
  <si>
    <t>matrin-3</t>
  </si>
  <si>
    <t>P43243</t>
  </si>
  <si>
    <t>MBD4</t>
  </si>
  <si>
    <t>methyl-cpg-binding domain protein 4 (ec 3.2.2.-) (methyl-cpg-binding endonuclease 1) (methyl-cpg-binding protein mbd4) (mismatch-specific dna n-glycosylase)</t>
  </si>
  <si>
    <t>O95243</t>
  </si>
  <si>
    <t>MBD5</t>
  </si>
  <si>
    <t>methyl-cpg-binding domain protein 5 (methyl-cpg-binding protein mbd5)</t>
  </si>
  <si>
    <t>Q9P267</t>
  </si>
  <si>
    <t>MBOAT7</t>
  </si>
  <si>
    <t>lysophospholipid acyltransferase 7 (lplat 7) (ec 2.3.1.-) (1-acylglycerophosphatidylinositol o-acyltransferase) (bladder and breast carcinoma-overexpressed gene 1 protein) (leukocyte receptor cluster member 4) (lysophosphatidylinositol acyltransferase) (lpiat) (lyso-pi acyltransferase) (membrane-bound o-acyltransferase domain-containing protein 7) (o-acyltransferase domain-containing protein 7) (h-mboa-7)</t>
  </si>
  <si>
    <t>Q96N66</t>
  </si>
  <si>
    <t>MBP</t>
  </si>
  <si>
    <t>myelin basic protein (mbp) (myelin a1 protein) (myelin membrane encephalitogenic protein)</t>
  </si>
  <si>
    <t>P02686</t>
  </si>
  <si>
    <t>MBTPS1</t>
  </si>
  <si>
    <t>membrane-bound transcription factor site-1 protease (ec 3.4.21.112) (endopeptidase s1p) (subtilisin/kexin-isozyme 1) (ski-1)</t>
  </si>
  <si>
    <t>Q14703</t>
  </si>
  <si>
    <t>MBTPS2</t>
  </si>
  <si>
    <t>membrane-bound transcription factor site-2 protease (ec 3.4.24.85) (endopeptidase s2p) (sterol regulatory element-binding proteins intramembrane protease) (srebps intramembrane protease)</t>
  </si>
  <si>
    <t>O43462</t>
  </si>
  <si>
    <t>MC1R</t>
  </si>
  <si>
    <t>melanocyte-stimulating hormone receptor (msh-r) (melanocortin receptor 1) (mc1-r)</t>
  </si>
  <si>
    <t>Q01726</t>
  </si>
  <si>
    <t>MC2R</t>
  </si>
  <si>
    <t>adrenocorticotropic hormone receptor (acth receptor) (acth-r) (adrenocorticotropin receptor) (melanocortin receptor 2) (mc2-r)</t>
  </si>
  <si>
    <t>Q01718</t>
  </si>
  <si>
    <t>MCEE</t>
  </si>
  <si>
    <t>methylmalonyl-coa epimerase, mitochondrial (ec 5.1.99.1) (dl-methylmalonyl-coa racemase)</t>
  </si>
  <si>
    <t>Q96PE7</t>
  </si>
  <si>
    <t>MCF2</t>
  </si>
  <si>
    <t>proto-oncogene dbl (proto-oncogene mcf-2) [cleaved into: mcf2-transforming protein; dbl-transforming protein]</t>
  </si>
  <si>
    <t>P10911</t>
  </si>
  <si>
    <t>MCF2L2</t>
  </si>
  <si>
    <t>probable guanine nucleotide exchange factor mcf2l2 (dbs-related rho family guanine nucleotide exchange factor) (mcf2-transforming sequence-like protein 2)</t>
  </si>
  <si>
    <t>Q86YR7</t>
  </si>
  <si>
    <t>MCM10</t>
  </si>
  <si>
    <t>protein mcm10 homolog (hsmcm10)</t>
  </si>
  <si>
    <t>Q7L590</t>
  </si>
  <si>
    <t>MCOLN1</t>
  </si>
  <si>
    <t>mucolipin-1 (ml1) (mg-2) (mucolipidin) (transient receptor potential channel mucolipin 1) (trpml1)</t>
  </si>
  <si>
    <t>Q9GZU1</t>
  </si>
  <si>
    <t>MCPH1</t>
  </si>
  <si>
    <t>microcephalin</t>
  </si>
  <si>
    <t>Q8NEM0</t>
  </si>
  <si>
    <t>MCTP2</t>
  </si>
  <si>
    <t>multiple c2 and transmembrane domain-containing protein 2</t>
  </si>
  <si>
    <t>Q6DN12</t>
  </si>
  <si>
    <t>MDFIC</t>
  </si>
  <si>
    <t>myod family inhibitor domain-containing protein (i-mfa domain-containing protein) (hic)</t>
  </si>
  <si>
    <t>Q9P1T7</t>
  </si>
  <si>
    <t>MDH2</t>
  </si>
  <si>
    <t>malate dehydrogenase, mitochondrial (ec 1.1.1.37)</t>
  </si>
  <si>
    <t>P40926</t>
  </si>
  <si>
    <t>MECOM</t>
  </si>
  <si>
    <t>histone-lysine n-methyltransferase mecom (ec 2.1.1.367) (ecotropic virus integration site 1 protein homolog) (evi-1) (mds1 and evi1 complex locus protein) (myelodysplasia syndrome 1 protein) (myelodysplasia syndrome-associated protein 1)</t>
  </si>
  <si>
    <t>Q03112</t>
  </si>
  <si>
    <t>MECP2</t>
  </si>
  <si>
    <t>methyl-cpg-binding protein 2 (mecp-2 protein) (mecp2)</t>
  </si>
  <si>
    <t>P51608</t>
  </si>
  <si>
    <t>MECR</t>
  </si>
  <si>
    <t>enoyl-[acyl-carrier-protein] reductase, mitochondrial (ec 1.3.1.104) (2-enoyl thioester reductase) (nuclear receptor-binding factor 1) (hsnrbf-1) (nrbf-1)</t>
  </si>
  <si>
    <t>Q9BV79</t>
  </si>
  <si>
    <t>MED12L</t>
  </si>
  <si>
    <t>mediator of rna polymerase ii transcription subunit 12-like protein (mediator complex subunit 12-like protein) (thyroid hormone receptor-associated-like protein) (trinucleotide repeat-containing gene 11 protein-like)</t>
  </si>
  <si>
    <t>Q86YW9</t>
  </si>
  <si>
    <t>MED13L</t>
  </si>
  <si>
    <t>mediator of rna polymerase ii transcription subunit 13-like (mediator complex subunit 13-like) (thyroid hormone receptor-associated protein 2) (thyroid hormone receptor-associated protein complex 240 kda component-like)</t>
  </si>
  <si>
    <t>Q71F56</t>
  </si>
  <si>
    <t>MEF2A</t>
  </si>
  <si>
    <t>myocyte-specific enhancer factor 2a (serum response factor-like protein 1)</t>
  </si>
  <si>
    <t>Q02078</t>
  </si>
  <si>
    <t>MEF2C</t>
  </si>
  <si>
    <t>myocyte-specific enhancer factor 2c (myocyte enhancer factor 2c)</t>
  </si>
  <si>
    <t>Q06413</t>
  </si>
  <si>
    <t>MEGF8</t>
  </si>
  <si>
    <t>multiple epidermal growth factor-like domains protein 8 (multiple egf-like domains protein 8) (epidermal growth factor-like protein 4) (egf-like protein 4)</t>
  </si>
  <si>
    <t>Q7Z7M0</t>
  </si>
  <si>
    <t>MEGF10</t>
  </si>
  <si>
    <t>multiple epidermal growth factor-like domains protein 10 (multiple egf-like domains protein 10)</t>
  </si>
  <si>
    <t>Q96KG7</t>
  </si>
  <si>
    <t>MEI1</t>
  </si>
  <si>
    <t>meiosis inhibitor protein 1 (meiosis defective protein 1)</t>
  </si>
  <si>
    <t>Q5TIA1</t>
  </si>
  <si>
    <t>MEIOB</t>
  </si>
  <si>
    <t>meiosis-specific with ob domain-containing protein (ec 3.1.-.-)</t>
  </si>
  <si>
    <t>Q8N635</t>
  </si>
  <si>
    <t>MEIS2</t>
  </si>
  <si>
    <t>homeobox protein meis2 (meis1-related protein 1)</t>
  </si>
  <si>
    <t>O14770</t>
  </si>
  <si>
    <t>MEOX1</t>
  </si>
  <si>
    <t>homeobox protein mox-1 (mesenchyme homeobox 1)</t>
  </si>
  <si>
    <t>P50221</t>
  </si>
  <si>
    <t>MESP2</t>
  </si>
  <si>
    <t>mesoderm posterior protein 2 (class c basic helix-loop-helix protein 6) (bhlhc6)</t>
  </si>
  <si>
    <t>Q0VG99</t>
  </si>
  <si>
    <t>METTL27</t>
  </si>
  <si>
    <t>methyltransferase-like protein 27 (williams-beuren syndrome chromosomal region 27 protein)</t>
  </si>
  <si>
    <t>Q8N6F8</t>
  </si>
  <si>
    <t>MEX3C</t>
  </si>
  <si>
    <t>rna-binding e3 ubiquitin-protein ligase mex3c (ec 2.3.2.27) (ring finger and kh domain-containing protein 2) (ring finger protein 194) (ring-type e3 ubiquitin transferase mex3c)</t>
  </si>
  <si>
    <t>Q5U5Q3</t>
  </si>
  <si>
    <t>MFAP5</t>
  </si>
  <si>
    <t>microfibrillar-associated protein 5 (mfap-5) (mp25) (microfibril-associated glycoprotein 2) (magp-2)</t>
  </si>
  <si>
    <t>Q13361</t>
  </si>
  <si>
    <t>MFF</t>
  </si>
  <si>
    <t>mitochondrial fission factor</t>
  </si>
  <si>
    <t>Q9GZY8</t>
  </si>
  <si>
    <t>MFHAS1</t>
  </si>
  <si>
    <t>malignant fibrous histiocytoma-amplified sequence 1 (malignant fibrous histiocytoma-amplified sequence with leucine-rich tandem repeats 1)</t>
  </si>
  <si>
    <t>Q9Y4C4</t>
  </si>
  <si>
    <t>MFN2</t>
  </si>
  <si>
    <t>mitofusin-2 (ec 3.6.5.-) (transmembrane gtpase mfn2)</t>
  </si>
  <si>
    <t>O95140</t>
  </si>
  <si>
    <t>MFRP</t>
  </si>
  <si>
    <t>membrane frizzled-related protein (membrane-type frizzled-related protein)</t>
  </si>
  <si>
    <t>Q9BY79</t>
  </si>
  <si>
    <t>MFSD2A</t>
  </si>
  <si>
    <t>sodium-dependent lysophosphatidylcholine symporter 1 (nls1) (sodium-dependent lpc symporter 1) (major facilitator superfamily domain-containing protein 2a) (hsmfsd2a) (mfsd2a)</t>
  </si>
  <si>
    <t>Q8NA29</t>
  </si>
  <si>
    <t>MFSD8</t>
  </si>
  <si>
    <t>major facilitator superfamily domain-containing protein 8 (ceroid-lipofuscinosis neuronal protein 7)</t>
  </si>
  <si>
    <t>Q8NHS3</t>
  </si>
  <si>
    <t>MGAT2</t>
  </si>
  <si>
    <t>alpha-1,6-mannosyl-glycoprotein 2-beta-n-acetylglucosaminyltransferase (ec 2.4.1.143) (beta-1,2-n-acetylglucosaminyltransferase ii) (glcnac-t ii) (gnt-ii) (mannoside acetylglucosaminyltransferase 2) (n-glycosyl-oligosaccharide-glycoprotein n-acetylglucosaminyltransferase ii)</t>
  </si>
  <si>
    <t>Q10469</t>
  </si>
  <si>
    <t>MGME1</t>
  </si>
  <si>
    <t>mitochondrial genome maintenance exonuclease 1 (ec 3.1.-.-)</t>
  </si>
  <si>
    <t>Q9BQP7</t>
  </si>
  <si>
    <t>MGP</t>
  </si>
  <si>
    <t>matrix gla protein (mgp) (cell growth-inhibiting gene 36 protein)</t>
  </si>
  <si>
    <t>P08493</t>
  </si>
  <si>
    <t>MIA3</t>
  </si>
  <si>
    <t>transport and golgi organization protein 1 homolog (tango1) (c219-reactive peptide) (d320) (melanoma inhibitory activity protein 3)</t>
  </si>
  <si>
    <t>Q5JRA6</t>
  </si>
  <si>
    <t>MIB1</t>
  </si>
  <si>
    <t>e3 ubiquitin-protein ligase mib1 (ec 2.3.2.27) (dapk-interacting protein 1) (dip-1) (mind bomb homolog 1) (ring-type e3 ubiquitin transferase mib1) (zinc finger zz type with ankyrin repeat domain protein 2)</t>
  </si>
  <si>
    <t>Q86YT6</t>
  </si>
  <si>
    <t>MICB</t>
  </si>
  <si>
    <t>mhc class i polypeptide-related sequence b (mic-b)</t>
  </si>
  <si>
    <t>Q29980</t>
  </si>
  <si>
    <t>MID1</t>
  </si>
  <si>
    <t>e3 ubiquitin-protein ligase midline-1 (ec 2.3.2.27) (midin) (putative transcription factor xprf) (ring finger protein 59) (ring finger protein midline-1) (ring-type e3 ubiquitin transferase midline-1) (tripartite motif-containing protein 18)</t>
  </si>
  <si>
    <t>O15344</t>
  </si>
  <si>
    <t>MIEF2</t>
  </si>
  <si>
    <t>mitochondrial dynamics protein mid49 (mitochondrial dynamics protein of 49 kda) (mitochondrial elongation factor 2) (smith-magenis syndrome chromosomal region candidate gene 7 protein)</t>
  </si>
  <si>
    <t>Q96C03</t>
  </si>
  <si>
    <t>MIF</t>
  </si>
  <si>
    <t>macrophage migration inhibitory factor (mif) (ec 5.3.2.1) (glycosylation-inhibiting factor) (gif) (l-dopachrome isomerase) (l-dopachrome tautomerase) (ec 5.3.3.12) (phenylpyruvate tautomerase)</t>
  </si>
  <si>
    <t>P14174</t>
  </si>
  <si>
    <t>MINPP1</t>
  </si>
  <si>
    <t>multiple inositol polyphosphate phosphatase 1 (ec 3.1.3.62) (2,3-bisphosphoglycerate 3-phosphatase) (2,3-bpg phosphatase) (ec 3.1.3.80)</t>
  </si>
  <si>
    <t>Q9UNW1</t>
  </si>
  <si>
    <t>MIP</t>
  </si>
  <si>
    <t>lens fiber major intrinsic protein (aquaporin-0) (mip26) (mp26)</t>
  </si>
  <si>
    <t>P30301</t>
  </si>
  <si>
    <t>MIPEP</t>
  </si>
  <si>
    <t>mitochondrial intermediate peptidase (mip) (ec 3.4.24.59)</t>
  </si>
  <si>
    <t>Q99797</t>
  </si>
  <si>
    <t>MIPOL1</t>
  </si>
  <si>
    <t>mirror-image polydactyly gene 1 protein</t>
  </si>
  <si>
    <t>Q8TD10</t>
  </si>
  <si>
    <t>MITF</t>
  </si>
  <si>
    <t>microphthalmia-associated transcription factor (class e basic helix-loop-helix protein 32) (bhlhe32)</t>
  </si>
  <si>
    <t>O75030</t>
  </si>
  <si>
    <t>MKKS</t>
  </si>
  <si>
    <t>molecular chaperone mkks (bardet-biedl syndrome 6 protein) (mckusick-kaufman/bardet-biedl syndromes putative chaperonin)</t>
  </si>
  <si>
    <t>Q9NPJ1</t>
  </si>
  <si>
    <t>MKRN3</t>
  </si>
  <si>
    <t>probable e3 ubiquitin-protein ligase makorin-3 (ec 2.3.2.27) (ring finger protein 63) (ring-type e3 ubiquitin transferase makorin-3) (zinc finger protein 127)</t>
  </si>
  <si>
    <t>Q13064</t>
  </si>
  <si>
    <t>MLF1</t>
  </si>
  <si>
    <t>myeloid leukemia factor 1 (myelodysplasia-myeloid leukemia factor 1)</t>
  </si>
  <si>
    <t>P58340</t>
  </si>
  <si>
    <t>MLH1</t>
  </si>
  <si>
    <t>dna mismatch repair protein mlh1 (mutl protein homolog 1)</t>
  </si>
  <si>
    <t>P40692</t>
  </si>
  <si>
    <t>MLH3</t>
  </si>
  <si>
    <t>dna mismatch repair protein mlh3 (mutl protein homolog 3)</t>
  </si>
  <si>
    <t>Q9UHC1</t>
  </si>
  <si>
    <t>MLIP</t>
  </si>
  <si>
    <t>muscular lmna-interacting protein (cardiac isl1-interacting protein) (cip) (muscular-enriched a-type laminin-interacting protein)</t>
  </si>
  <si>
    <t>Q5VWP3</t>
  </si>
  <si>
    <t>MLLT1</t>
  </si>
  <si>
    <t>protein enl (yeats domain-containing protein 1)</t>
  </si>
  <si>
    <t>Q03111</t>
  </si>
  <si>
    <t>MLLT3</t>
  </si>
  <si>
    <t>protein af-9 (all1-fused gene from chromosome 9 protein) (myeloid/lymphoid or mixed-lineage leukemia translocated to chromosome 3 protein) (yeats domain-containing protein 3)</t>
  </si>
  <si>
    <t>P42568</t>
  </si>
  <si>
    <t>MLLT6</t>
  </si>
  <si>
    <t>protein af-17 (all1-fused gene from chromosome 17 protein)</t>
  </si>
  <si>
    <t>P55198</t>
  </si>
  <si>
    <t>MLLT10</t>
  </si>
  <si>
    <t>protein af-10 (all1-fused gene from chromosome 10 protein)</t>
  </si>
  <si>
    <t>P55197</t>
  </si>
  <si>
    <t>MLLT11</t>
  </si>
  <si>
    <t>protein af1q</t>
  </si>
  <si>
    <t>Q13015</t>
  </si>
  <si>
    <t>MLPH</t>
  </si>
  <si>
    <t>melanophilin (exophilin-3) (slp homolog lacking c2 domains a) (slac2-a) (synaptotagmin-like protein 2a)</t>
  </si>
  <si>
    <t>Q9BV36</t>
  </si>
  <si>
    <t>malonyl-coa decarboxylase, mitochondrial (mcd) (ec 4.1.1.9)</t>
  </si>
  <si>
    <t>O95822</t>
  </si>
  <si>
    <t>MMAB</t>
  </si>
  <si>
    <t>corrinoid adenosyltransferase mmab (ec 2.5.1.-) (atp:co(i)rrinoid adenosyltransferase mmab) (methylmalonic aciduria type b protein)</t>
  </si>
  <si>
    <t>Q96EY8</t>
  </si>
  <si>
    <t>MMACHC</t>
  </si>
  <si>
    <t>cyanocobalamin reductase / alkylcobalamin dealkylase (alkylcobalamin:glutathione s-alkyltransferase) (ec 2.5.1.151) (cblc) (cyanocobalamin reductase (cyanide-eliminating)) (ec 1.16.1.6) (methylmalonic aciduria and homocystinuria type c protein) (mmachc)</t>
  </si>
  <si>
    <t>Q9Y4U1</t>
  </si>
  <si>
    <t>MMADHC</t>
  </si>
  <si>
    <t>cobalamin trafficking protein cbld (cbld) (methylmalonic aciduria and homocystinuria type d protein, mitochondrial)</t>
  </si>
  <si>
    <t>Q9H3L0</t>
  </si>
  <si>
    <t>MME</t>
  </si>
  <si>
    <t>neprilysin (ec 3.4.24.11) (atriopeptidase) (common acute lymphocytic leukemia antigen) (calla) (enkephalinase) (neutral endopeptidase 24.11) (nep) (neutral endopeptidase) (skin fibroblast elastase) (sfe) (cd antigen cd10)</t>
  </si>
  <si>
    <t>P08473</t>
  </si>
  <si>
    <t>MMP3</t>
  </si>
  <si>
    <t>stromelysin-1 (sl-1) (ec 3.4.24.17) (matrix metalloproteinase-3) (mmp-3) (transin-1)</t>
  </si>
  <si>
    <t>P08254</t>
  </si>
  <si>
    <t>MMP19</t>
  </si>
  <si>
    <t>matrix metalloproteinase-19 (mmp-19) (ec 3.4.24.-) (matrix metalloproteinase rasi) (matrix metalloproteinase-18) (mmp-18)</t>
  </si>
  <si>
    <t>Q99542</t>
  </si>
  <si>
    <t>MMP20</t>
  </si>
  <si>
    <t>matrix metalloproteinase-20 (mmp-20) (ec 3.4.24.-) (enamel metalloproteinase) (enamelysin)</t>
  </si>
  <si>
    <t>O60882</t>
  </si>
  <si>
    <t>MMP21</t>
  </si>
  <si>
    <t>matrix metalloproteinase-21 (mmp-21) (ec 3.4.24.-)</t>
  </si>
  <si>
    <t>Q8N119</t>
  </si>
  <si>
    <t>MMUT</t>
  </si>
  <si>
    <t>methylmalonyl-coa mutase, mitochondrial (mcm) (ec 5.4.99.2) (methylmalonyl-coa isomerase)</t>
  </si>
  <si>
    <t>P22033</t>
  </si>
  <si>
    <t>MN1</t>
  </si>
  <si>
    <t>transcriptional activator mn1 (probable tumor suppressor protein mn1)</t>
  </si>
  <si>
    <t>Q10571</t>
  </si>
  <si>
    <t>MOCOS</t>
  </si>
  <si>
    <t>molybdenum cofactor sulfurase (mcs) (mos) (moco sulfurase) (hmcs) (ec 2.8.1.9) (molybdenum cofactor sulfurtransferase)</t>
  </si>
  <si>
    <t>Q96EN8</t>
  </si>
  <si>
    <t>MOCS1</t>
  </si>
  <si>
    <t>molybdenum cofactor biosynthesis protein 1 (cell migration-inducing gene 11 protein) (molybdenum cofactor synthesis-step 1 protein a-b) [includes: gtp 3',8-cyclase (ec 4.1.99.22) (molybdenum cofactor biosynthesis protein a); cyclic pyranopterin monophosphate synthase (ec 4.6.1.17) (molybdenum cofactor biosynthesis protein c)]</t>
  </si>
  <si>
    <t>Q9NZB8</t>
  </si>
  <si>
    <t>MOG</t>
  </si>
  <si>
    <t>myelin-oligodendrocyte glycoprotein</t>
  </si>
  <si>
    <t>Q16653</t>
  </si>
  <si>
    <t>MOGS</t>
  </si>
  <si>
    <t>mannosyl-oligosaccharide glucosidase (ec 3.2.1.106) (processing a-glucosidase i)</t>
  </si>
  <si>
    <t>Q13724</t>
  </si>
  <si>
    <t>MORC2</t>
  </si>
  <si>
    <t>atpase morc2 (ec 3.6.1.-) (morc family cw-type zinc finger protein 2) (zinc finger cw-type coiled-coil domain protein 1)</t>
  </si>
  <si>
    <t>Q9Y6X9</t>
  </si>
  <si>
    <t>MPDU1</t>
  </si>
  <si>
    <t>mannose-p-dolichol utilization defect 1 protein (suppressor of lec15 and lec35 glycosylation mutation homolog) (sl15)</t>
  </si>
  <si>
    <t>O75352</t>
  </si>
  <si>
    <t>MPDZ</t>
  </si>
  <si>
    <t>multiple pdz domain protein (multi-pdz domain protein 1)</t>
  </si>
  <si>
    <t>O75970</t>
  </si>
  <si>
    <t>MPEG1</t>
  </si>
  <si>
    <t>macrophage-expressed gene 1 protein (macrophage gene 1 protein) (mpg-1) (perforin-2) (p-2) [cleaved into: macrophage-expressed gene 1 protein, processed form]</t>
  </si>
  <si>
    <t>Q2M385</t>
  </si>
  <si>
    <t>MPI</t>
  </si>
  <si>
    <t>mannose-6-phosphate isomerase (ec 5.3.1.8) (phosphohexomutase) (phosphomannose isomerase) (pmi)</t>
  </si>
  <si>
    <t>P34949</t>
  </si>
  <si>
    <t>MPIG6B</t>
  </si>
  <si>
    <t>megakaryocyte and platelet inhibitory receptor g6b (protein g6b)</t>
  </si>
  <si>
    <t>O95866</t>
  </si>
  <si>
    <t>MPL</t>
  </si>
  <si>
    <t>thrombopoietin receptor (tpo-r) (myeloproliferative leukemia protein) (proto-oncogene c-mpl) (cd antigen cd110)</t>
  </si>
  <si>
    <t>P40238</t>
  </si>
  <si>
    <t>MPLKIP</t>
  </si>
  <si>
    <t>m-phase-specific plk1-interacting protein (ttd non-photosensitive 1 protein)</t>
  </si>
  <si>
    <t>Q8TAP9</t>
  </si>
  <si>
    <t>MPST</t>
  </si>
  <si>
    <t>3-mercaptopyruvate sulfurtransferase (mst) (ec 2.8.1.2)</t>
  </si>
  <si>
    <t>P25325</t>
  </si>
  <si>
    <t>MPV17</t>
  </si>
  <si>
    <t>protein mpv17</t>
  </si>
  <si>
    <t>P39210</t>
  </si>
  <si>
    <t>MRAP</t>
  </si>
  <si>
    <t>melanocortin-2 receptor accessory protein (b27) (fat cell-specific low molecular weight protein) (fat tissue-specific low mw protein)</t>
  </si>
  <si>
    <t>Q8TCY5</t>
  </si>
  <si>
    <t>MRAP2</t>
  </si>
  <si>
    <t>melanocortin-2 receptor accessory protein 2 (mc2r accessory protein 2)</t>
  </si>
  <si>
    <t>Q96G30</t>
  </si>
  <si>
    <t>MRAS</t>
  </si>
  <si>
    <t>ras-related protein m-ras (ec 3.6.5.2) (ras-related protein r-ras3)</t>
  </si>
  <si>
    <t>O14807</t>
  </si>
  <si>
    <t>MRM2</t>
  </si>
  <si>
    <t>rrna methyltransferase 2, mitochondrial (ec 2.1.1.-) (16s rrna (uridine(1369)-2'-o)-methyltransferase) (16s rrna [um1369] 2'-o-methyltransferase) (protein ftsj homolog 2)</t>
  </si>
  <si>
    <t>Q9UI43</t>
  </si>
  <si>
    <t>MRTFA</t>
  </si>
  <si>
    <t>myocardin-related transcription factor a (mrtf-a) (mkl/myocardin-like protein 1) (megakaryoblastic leukemia 1 protein) (megakaryocytic acute leukemia protein)</t>
  </si>
  <si>
    <t>Q969V6</t>
  </si>
  <si>
    <t>MRTFB</t>
  </si>
  <si>
    <t>myocardin-related transcription factor b (mrtf-b) (mkl/myocardin-like protein 2) (megakaryoblastic leukemia 2)</t>
  </si>
  <si>
    <t>Q9ULH7</t>
  </si>
  <si>
    <t>MS4A1</t>
  </si>
  <si>
    <t>b-lymphocyte antigen cd20 (b-lymphocyte surface antigen b1) (bp35) (leukocyte surface antigen leu-16) (membrane-spanning 4-domains subfamily a member 1) (cd antigen cd20)</t>
  </si>
  <si>
    <t>P11836</t>
  </si>
  <si>
    <t>MSH4</t>
  </si>
  <si>
    <t>muts protein homolog 4 (hmsh4)</t>
  </si>
  <si>
    <t>O15457</t>
  </si>
  <si>
    <t>MSH5</t>
  </si>
  <si>
    <t>muts protein homolog 5 (hmsh5)</t>
  </si>
  <si>
    <t>O43196</t>
  </si>
  <si>
    <t>MSI2</t>
  </si>
  <si>
    <t>rna-binding protein musashi homolog 2 (musashi-2)</t>
  </si>
  <si>
    <t>Q96DH6</t>
  </si>
  <si>
    <t>MSLN</t>
  </si>
  <si>
    <t>mesothelin (cak1 antigen) (pre-pro-megakaryocyte-potentiating factor) [cleaved into: megakaryocyte-potentiating factor (mpf); mesothelin, cleaved form]</t>
  </si>
  <si>
    <t>Q13421</t>
  </si>
  <si>
    <t>MSMB</t>
  </si>
  <si>
    <t>beta-microseminoprotein (immunoglobulin-binding factor) (igbf) (pn44) (prostate secreted seminal plasma protein) (prostate secretory protein of 94 amino acids) (psp-94) (psp94) (seminal plasma beta-inhibin)</t>
  </si>
  <si>
    <t>P08118</t>
  </si>
  <si>
    <t>MSMO1</t>
  </si>
  <si>
    <t>methylsterol monooxygenase 1 (ec 1.14.18.9) (c-4 methylsterol oxidase) (sterol-c4-methyl oxidase)</t>
  </si>
  <si>
    <t>Q15800</t>
  </si>
  <si>
    <t>MSN</t>
  </si>
  <si>
    <t>moesin (membrane-organizing extension spike protein)</t>
  </si>
  <si>
    <t>P26038</t>
  </si>
  <si>
    <t>MSR1</t>
  </si>
  <si>
    <t>macrophage scavenger receptor types i and ii (macrophage acetylated ldl receptor i and ii) (scavenger receptor class a member 1) (cd antigen cd204)</t>
  </si>
  <si>
    <t>P21757</t>
  </si>
  <si>
    <t>MSRB3</t>
  </si>
  <si>
    <t>methionine-r-sulfoxide reductase b3 (msrb3) (ec 1.8.4.12) (ec 1.8.4.14)</t>
  </si>
  <si>
    <t>Q8IXL7</t>
  </si>
  <si>
    <t>MSTN</t>
  </si>
  <si>
    <t>growth/differentiation factor 8 (gdf-8) (myostatin)</t>
  </si>
  <si>
    <t>O14793</t>
  </si>
  <si>
    <t>MSX1</t>
  </si>
  <si>
    <t>homeobox protein msx-1 (homeobox protein hox-7) (msh homeobox 1-like protein)</t>
  </si>
  <si>
    <t>P28360</t>
  </si>
  <si>
    <t>MSX2</t>
  </si>
  <si>
    <t>homeobox protein msx-2 (homeobox protein hox-8)</t>
  </si>
  <si>
    <t>P35548</t>
  </si>
  <si>
    <t>MTCP1</t>
  </si>
  <si>
    <t>protein p13 mtcp-1 (p13mtcp1) (mature t-cell proliferation-1 type b1) (mtcp-1 type b1)</t>
  </si>
  <si>
    <t>P56278</t>
  </si>
  <si>
    <t>MTFMT</t>
  </si>
  <si>
    <t>methionyl-trna formyltransferase, mitochondrial (mtfmt) (ec 2.1.2.9)</t>
  </si>
  <si>
    <t>Q96DP5</t>
  </si>
  <si>
    <t>MTHFD1</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</si>
  <si>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</si>
  <si>
    <t>P11586</t>
  </si>
  <si>
    <t>MTHFR</t>
  </si>
  <si>
    <t>methylenetetrahydrofolate reductase (nadph) (ec 1.5.1.53)</t>
  </si>
  <si>
    <t>P42898</t>
  </si>
  <si>
    <t>MTHFS</t>
  </si>
  <si>
    <t>5-formyltetrahydrofolate cyclo-ligase (ec 6.3.3.2) (5,10-methenyl-tetrahydrofolate synthetase) (mthfs) (methenyl-thf synthetase)</t>
  </si>
  <si>
    <t>P49914</t>
  </si>
  <si>
    <t>MTM1</t>
  </si>
  <si>
    <t>myotubularin (phosphatidylinositol-3,5-bisphosphate 3-phosphatase) (ec 3.1.3.95) (phosphatidylinositol-3-phosphate phosphatase) (ec 3.1.3.64)</t>
  </si>
  <si>
    <t>Q13496</t>
  </si>
  <si>
    <t>MTMR2</t>
  </si>
  <si>
    <t>myotubularin-related protein 2 (phosphatidylinositol-3,5-bisphosphate 3-phosphatase) (ec 3.1.3.95) (phosphatidylinositol-3-phosphate phosphatase) (ec 3.1.3.64)</t>
  </si>
  <si>
    <t>Q13614</t>
  </si>
  <si>
    <t>MTMR14</t>
  </si>
  <si>
    <t>myotubularin-related protein 14 (ec 3.1.3.-) (hcv ns5a-transactivated protein 4 splice variant a-binding protein 1) (ns5atp4abp1) (hjumpy)</t>
  </si>
  <si>
    <t>Q8NCE2</t>
  </si>
  <si>
    <t>MTO1</t>
  </si>
  <si>
    <t>protein mto1 homolog, mitochondrial</t>
  </si>
  <si>
    <t>Q9Y2Z2</t>
  </si>
  <si>
    <t>MTR</t>
  </si>
  <si>
    <t>methionine synthase (ms) (ec 2.1.1.13) (5-methyltetrahydrofolate--homocysteine methyltransferase) (cobalamin-dependent methionine synthase) (vitamin-b12 dependent methionine synthase)</t>
  </si>
  <si>
    <t>Q99707</t>
  </si>
  <si>
    <t>MTTP</t>
  </si>
  <si>
    <t>microsomal triglyceride transfer protein large subunit</t>
  </si>
  <si>
    <t>P55157</t>
  </si>
  <si>
    <t>MTUS1</t>
  </si>
  <si>
    <t>microtubule-associated tumor suppressor 1 (at2 receptor-binding protein) (angiotensin-ii type 2 receptor-interacting protein) (mitochondrial tumor suppressor 1)</t>
  </si>
  <si>
    <t>Q9ULD2</t>
  </si>
  <si>
    <t>MUC1</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</si>
  <si>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</si>
  <si>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P15941</t>
  </si>
  <si>
    <t>MUC5B</t>
  </si>
  <si>
    <t>mucin-5b (muc-5b) (cervical mucin) (high molecular weight salivary mucin mg1) (mucin-5 subtype b, tracheobronchial) (sublingual gland mucin)</t>
  </si>
  <si>
    <t>Q9HC84</t>
  </si>
  <si>
    <t>MUC7</t>
  </si>
  <si>
    <t>mucin-7 (muc-7) (apo-mg2) (salivary mucin-7)</t>
  </si>
  <si>
    <t>Q8TAX7</t>
  </si>
  <si>
    <t>MUTYH</t>
  </si>
  <si>
    <t>adenine dna glycosylase (ec 3.2.2.31) (muty homolog) (hmyh)</t>
  </si>
  <si>
    <t>Q9UIF7</t>
  </si>
  <si>
    <t>MVD</t>
  </si>
  <si>
    <t>diphosphomevalonate decarboxylase (ec 4.1.1.33) (mevalonate (diphospho)decarboxylase) (mddase) (mevalonate pyrophosphate decarboxylase)</t>
  </si>
  <si>
    <t>P53602</t>
  </si>
  <si>
    <t>MVK</t>
  </si>
  <si>
    <t>mevalonate kinase (mk) (ec 2.7.1.36)</t>
  </si>
  <si>
    <t>Q03426</t>
  </si>
  <si>
    <t>MXRA5</t>
  </si>
  <si>
    <t>matrix-remodeling-associated protein 5 (adhesion protein with leucine-rich repeats and immunoglobulin domains related to perlecan) (adlican)</t>
  </si>
  <si>
    <t>Q9NR99</t>
  </si>
  <si>
    <t>MYBPC3</t>
  </si>
  <si>
    <t>myosin-binding protein c, cardiac-type (cardiac mybp-c) (c-protein, cardiac muscle isoform)</t>
  </si>
  <si>
    <t>Q14896</t>
  </si>
  <si>
    <t>MYD88</t>
  </si>
  <si>
    <t>myeloid differentiation primary response protein myd88</t>
  </si>
  <si>
    <t>Q99836</t>
  </si>
  <si>
    <t>MYF5</t>
  </si>
  <si>
    <t>myogenic factor 5 (myf-5) (class c basic helix-loop-helix protein 2) (bhlhc2)</t>
  </si>
  <si>
    <t>P13349</t>
  </si>
  <si>
    <t>MYH2</t>
  </si>
  <si>
    <t>myosin-2 (myosin heavy chain 2) (myosin heavy chain 2a) (myhc-2a) (myosin heavy chain iia) (myhc-iia) (myosin heavy chain, skeletal muscle, adult 2)</t>
  </si>
  <si>
    <t>Q9UKX2</t>
  </si>
  <si>
    <t>MYH3</t>
  </si>
  <si>
    <t>myosin-3 (muscle embryonic myosin heavy chain) (myosin heavy chain 3) (myosin heavy chain, fast skeletal muscle, embryonic) (smhce)</t>
  </si>
  <si>
    <t>P11055</t>
  </si>
  <si>
    <t>MYH6</t>
  </si>
  <si>
    <t>myosin-6 (myosin heavy chain 6) (myosin heavy chain, cardiac muscle alpha isoform) (myhc-alpha)</t>
  </si>
  <si>
    <t>P13533</t>
  </si>
  <si>
    <t>MYH7</t>
  </si>
  <si>
    <t>myosin-7 (myosin heavy chain 7) (myosin heavy chain slow isoform) (myhc-slow) (myosin heavy chain, cardiac muscle beta isoform) (myhc-beta)</t>
  </si>
  <si>
    <t>P12883</t>
  </si>
  <si>
    <t>MYH8</t>
  </si>
  <si>
    <t>myosin-8 (myosin heavy chain 8) (myosin heavy chain, skeletal muscle, perinatal) (myhc-perinatal)</t>
  </si>
  <si>
    <t>P13535</t>
  </si>
  <si>
    <t>MYH9</t>
  </si>
  <si>
    <t>myosin-9 (cellular myosin heavy chain, type a) (myosin heavy chain 9) (myosin heavy chain, non-muscle iia) (non-muscle myosin heavy chain a) (nmmhc-a) (non-muscle myosin heavy chain iia) (nmmhc ii-a) (nmmhc-iia)</t>
  </si>
  <si>
    <t>P35579</t>
  </si>
  <si>
    <t>MYH11</t>
  </si>
  <si>
    <t>myosin-11 (myosin heavy chain 11) (myosin heavy chain, smooth muscle isoform) (smmhc)</t>
  </si>
  <si>
    <t>P35749</t>
  </si>
  <si>
    <t>MYL1</t>
  </si>
  <si>
    <t>myosin light chain 1/3, skeletal muscle isoform (mlc1/mlc3) (mlc1f/mlc3f) (myosin light chain alkali 1/2) (myosin light chain a1/a2)</t>
  </si>
  <si>
    <t>P05976</t>
  </si>
  <si>
    <t>MYL2</t>
  </si>
  <si>
    <t>myosin regulatory light chain 2, ventricular/cardiac muscle isoform (mlc-2) (mlc-2v) (cardiac myosin light chain 2) (myosin light chain 2, slow skeletal/ventricular muscle isoform) (mlc-2s/v) (ventricular myosin light chain 2)</t>
  </si>
  <si>
    <t>P10916</t>
  </si>
  <si>
    <t>MYL3</t>
  </si>
  <si>
    <t>myosin light chain 3 (cardiac myosin light chain 1) (cmlc1) (myosin light chain 1, slow-twitch muscle b/ventricular isoform) (mlc1sb) (ventricular myosin alkali light chain) (ventricular myosin light chain 1) (vlcl) (ventricular/slow twitch myosin alkali light chain) (mlc-lv/sb)</t>
  </si>
  <si>
    <t>P08590</t>
  </si>
  <si>
    <t>MYL4</t>
  </si>
  <si>
    <t>myosin light chain 4 (myosin light chain 1, embryonic muscle/atrial isoform) (myosin light chain alkali gt-1 isoform)</t>
  </si>
  <si>
    <t>P12829</t>
  </si>
  <si>
    <t>MYL9</t>
  </si>
  <si>
    <t>myosin regulatory light polypeptide 9 (20 kda myosin light chain) (lc20) (mlc-2c) (myosin rlc) (myosin regulatory light chain 2, smooth muscle isoform) (myosin regulatory light chain 9) (myosin regulatory light chain mrlc1)</t>
  </si>
  <si>
    <t>P24844</t>
  </si>
  <si>
    <t>MYO1E</t>
  </si>
  <si>
    <t>unconventional myosin-ie (myosin-ic) (unconventional myosin 1e)</t>
  </si>
  <si>
    <t>Q12965</t>
  </si>
  <si>
    <t>MYO1F</t>
  </si>
  <si>
    <t>unconventional myosin-if (myosin-ie)</t>
  </si>
  <si>
    <t>O00160</t>
  </si>
  <si>
    <t>MYO5A</t>
  </si>
  <si>
    <t>unconventional myosin-va (dilute myosin heavy chain, non-muscle) (myosin heavy chain 12) (myosin-12) (myoxin)</t>
  </si>
  <si>
    <t>Q9Y4I1</t>
  </si>
  <si>
    <t>MYO5B</t>
  </si>
  <si>
    <t>unconventional myosin-vb</t>
  </si>
  <si>
    <t>Q9ULV0</t>
  </si>
  <si>
    <t>MYO7A</t>
  </si>
  <si>
    <t>unconventional myosin-viia</t>
  </si>
  <si>
    <t>Q13402</t>
  </si>
  <si>
    <t>MYO9A</t>
  </si>
  <si>
    <t>unconventional myosin-ixa (unconventional myosin-9a)</t>
  </si>
  <si>
    <t>B2RTY4</t>
  </si>
  <si>
    <t>MYO9B</t>
  </si>
  <si>
    <t>unconventional myosin-ixb (unconventional myosin-9b)</t>
  </si>
  <si>
    <t>Q13459</t>
  </si>
  <si>
    <t>MYO15A</t>
  </si>
  <si>
    <t>unconventional myosin-xv (unconventional myosin-15)</t>
  </si>
  <si>
    <t>Q9UKN7</t>
  </si>
  <si>
    <t>MYO18B</t>
  </si>
  <si>
    <t>unconventional myosin-xviiib</t>
  </si>
  <si>
    <t>Q8IUG5</t>
  </si>
  <si>
    <t>MYOC</t>
  </si>
  <si>
    <t>myocilin (myocilin 55 kda subunit) (trabecular meshwork-induced glucocorticoid response protein) [cleaved into: myocilin, n-terminal fragment (myocilin 20 kda n-terminal fragment); myocilin, c-terminal fragment (myocilin 35 kda n-terminal fragment)]</t>
  </si>
  <si>
    <t>Q99972</t>
  </si>
  <si>
    <t>MYOCD</t>
  </si>
  <si>
    <t>myocardin</t>
  </si>
  <si>
    <t>Q8IZQ8</t>
  </si>
  <si>
    <t>MYOF</t>
  </si>
  <si>
    <t>myoferlin (fer-1-like protein 3)</t>
  </si>
  <si>
    <t>Q9NZM1</t>
  </si>
  <si>
    <t>MYORG</t>
  </si>
  <si>
    <t>myogenesis-regulating glycosidase (ec 3.2.1.-) (uncharacterized family 31 glucosidase kiaa1161)</t>
  </si>
  <si>
    <t>Q6NSJ0</t>
  </si>
  <si>
    <t>MYOT</t>
  </si>
  <si>
    <t>myotilin (57 kda cytoskeletal protein) (myofibrillar titin-like ig domains protein) (titin immunoglobulin domain protein)</t>
  </si>
  <si>
    <t>Q9UBF9</t>
  </si>
  <si>
    <t>MYOZ2</t>
  </si>
  <si>
    <t>myozenin-2 (calsarcin-1) (fatz-related protein 2)</t>
  </si>
  <si>
    <t>Q9NPC6</t>
  </si>
  <si>
    <t>MYPN</t>
  </si>
  <si>
    <t>myopalladin (145 kda sarcomeric protein)</t>
  </si>
  <si>
    <t>Q86TC9</t>
  </si>
  <si>
    <t>MYRF</t>
  </si>
  <si>
    <t>myelin regulatory factor (ec 3.4.-.-) (myelin gene regulatory factor) [cleaved into: myelin regulatory factor, n-terminal; myelin regulatory factor, c-terminal]</t>
  </si>
  <si>
    <t>Q9Y2G1</t>
  </si>
  <si>
    <t>MYSM1</t>
  </si>
  <si>
    <t>deubiquitinase mysm1 (2a-dub) (ec 3.4.19.-) (myb-like, swirm and mpn domain-containing protein 1)</t>
  </si>
  <si>
    <t>Q5VVJ2</t>
  </si>
  <si>
    <t>MYT1L</t>
  </si>
  <si>
    <t>myelin transcription factor 1-like protein (myt1-l) (myt1l)</t>
  </si>
  <si>
    <t>Q9UL68</t>
  </si>
  <si>
    <t>NACC1</t>
  </si>
  <si>
    <t>nucleus accumbens-associated protein 1 (nac-1) (btb/poz domain-containing protein 14b)</t>
  </si>
  <si>
    <t>Q96RE7</t>
  </si>
  <si>
    <t>NADK2</t>
  </si>
  <si>
    <t>nad kinase 2, mitochondrial (ec 2.7.1.23) (mitochondrial nad kinase) (nad kinase domain-containing protein 1, mitochondrial)</t>
  </si>
  <si>
    <t>Q4G0N4</t>
  </si>
  <si>
    <t>NADSYN1</t>
  </si>
  <si>
    <t>glutamine-dependent nad(+) synthetase (ec 6.3.5.1) (nad(+) synthase [glutamine-hydrolyzing]) (nad(+) synthetase)</t>
  </si>
  <si>
    <t>Q6IA69</t>
  </si>
  <si>
    <t>NAGA</t>
  </si>
  <si>
    <t>alpha-n-acetylgalactosaminidase (ec 3.2.1.49) (alpha-galactosidase b)</t>
  </si>
  <si>
    <t>P17050</t>
  </si>
  <si>
    <t>alpha-n-acetylglucosaminidase (ec 3.2.1.50) (n-acetyl-alpha-glucosaminidase) (nag) [cleaved into: alpha-n-acetylglucosaminidase 82 kda form; alpha-n-acetylglucosaminidase 77 kda form]</t>
  </si>
  <si>
    <t>P54802</t>
  </si>
  <si>
    <t>NAGS</t>
  </si>
  <si>
    <t>n-acetylglutamate synthase, mitochondrial (ec 2.3.1.1) (amino-acid acetyltransferase) [cleaved into: n-acetylglutamate synthase long form; n-acetylglutamate synthase short form; n-acetylglutamate synthase conserved domain form]</t>
  </si>
  <si>
    <t>Q8N159</t>
  </si>
  <si>
    <t>asparagine--trna ligase, cytoplasmic (ec 6.1.1.22) (asparaginyl-trna synthetase) (asnrs) (asparaginyl-trna synthetase 1)</t>
  </si>
  <si>
    <t>O43776</t>
  </si>
  <si>
    <t>asparaginyl-trna synthetase (asnrs) (nars2) (ec 6.1.1.22) (asparagine--trna ligase, mitochondrial)</t>
  </si>
  <si>
    <t>Q96I59</t>
  </si>
  <si>
    <t>NAT8L</t>
  </si>
  <si>
    <t>n-acetylaspartate synthetase (naa synthetase) (ec 2.3.1.17) (camello-like protein 3) (n-acetyltransferase 8-like protein)</t>
  </si>
  <si>
    <t>Q8N9F0</t>
  </si>
  <si>
    <t>NAV3</t>
  </si>
  <si>
    <t>neuron navigator 3 (pore membrane and/or filament-interacting-like protein 1) (steerin-3) (unc-53 homolog 3) (unc53h3)</t>
  </si>
  <si>
    <t>Q8IVL0</t>
  </si>
  <si>
    <t>NAXE</t>
  </si>
  <si>
    <t>nad(p)h-hydrate epimerase (ec 5.1.99.6) (apolipoprotein a-i-binding protein) (ai-bp) (nad(p)hx epimerase) (naxe) (yjef n-terminal domain-containing protein 1) (yjef_n1)</t>
  </si>
  <si>
    <t>Q8NCW5</t>
  </si>
  <si>
    <t>NBEA</t>
  </si>
  <si>
    <t>neurobeachin (lysosomal-trafficking regulator 2) (protein bcl8b)</t>
  </si>
  <si>
    <t>Q8NFP9</t>
  </si>
  <si>
    <t>NBEAL2</t>
  </si>
  <si>
    <t>neurobeachin-like protein 2</t>
  </si>
  <si>
    <t>Q6ZNJ1</t>
  </si>
  <si>
    <t>NCDN</t>
  </si>
  <si>
    <t>neurochondrin</t>
  </si>
  <si>
    <t>Q9UBB6</t>
  </si>
  <si>
    <t>NCKAP1L</t>
  </si>
  <si>
    <t>nck-associated protein 1-like (hematopoietic protein 1) (membrane-associated protein hem-1)</t>
  </si>
  <si>
    <t>P55160</t>
  </si>
  <si>
    <t>NCKIPSD</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</si>
  <si>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</si>
  <si>
    <t>Q9NZQ3</t>
  </si>
  <si>
    <t>NCOA4</t>
  </si>
  <si>
    <t>nuclear receptor coactivator 4 (ncoa-4) (androgen receptor coactivator 70 kda protein) (70 kda ar-activator) (70 kda androgen receptor coactivator) (androgen receptor-associated protein of 70 kda) (ferritin cargo receptor ncoa4) (ret-activating protein ele1)</t>
  </si>
  <si>
    <t>Q13772</t>
  </si>
  <si>
    <t>NDE1</t>
  </si>
  <si>
    <t>nuclear distribution protein nude homolog 1 (nude)</t>
  </si>
  <si>
    <t>Q9NXR1</t>
  </si>
  <si>
    <t>NDP</t>
  </si>
  <si>
    <t>norrin (norrie disease protein) (x-linked exudative vitreoretinopathy 2 protein)</t>
  </si>
  <si>
    <t>Q00604</t>
  </si>
  <si>
    <t>NDRG1</t>
  </si>
  <si>
    <t>protein ndrg1 (differentiation-related gene 1 protein) (drg-1) (n-myc downstream-regulated gene 1 protein) (nickel-specific induction protein cap43) (reducing agents and tunicamycin-responsive protein) (rtp) (rit42)</t>
  </si>
  <si>
    <t>Q92597</t>
  </si>
  <si>
    <t>NDST1</t>
  </si>
  <si>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</si>
  <si>
    <t>P52848</t>
  </si>
  <si>
    <t>NDUFAF2</t>
  </si>
  <si>
    <t>nadh dehydrogenase [ubiquinone] 1 alpha subcomplex assembly factor 2 (b17.2-like) (b17.2l) (mimitin) (myc-induced mitochondrial protein) (mmtn) (ndufa12-like protein)</t>
  </si>
  <si>
    <t>Q8N183</t>
  </si>
  <si>
    <t>NDUFAF3</t>
  </si>
  <si>
    <t>nadh dehydrogenase [ubiquinone] 1 alpha subcomplex assembly factor 3</t>
  </si>
  <si>
    <t>Q9BU61</t>
  </si>
  <si>
    <t>NDUFAF4</t>
  </si>
  <si>
    <t>nadh dehydrogenase [ubiquinone] 1 alpha subcomplex assembly factor 4 (hormone-regulated proliferation-associated protein of 20 kda)</t>
  </si>
  <si>
    <t>Q9P032</t>
  </si>
  <si>
    <t>NDUFAF5</t>
  </si>
  <si>
    <t>arginine-hydroxylase ndufaf5, mitochondrial (ec 1.-.-.-) (nadh dehydrogenase [ubiquinone] 1 alpha subcomplex assembly factor 5) (putative methyltransferase ndufaf5) (ec 2.1.1.-)</t>
  </si>
  <si>
    <t>Q5TEU4</t>
  </si>
  <si>
    <t>NDUFAF6</t>
  </si>
  <si>
    <t>nadh dehydrogenase (ubiquinone) complex i, assembly factor 6 (putative phytoene synthase)</t>
  </si>
  <si>
    <t>Q330K2</t>
  </si>
  <si>
    <t>NDUFAF7</t>
  </si>
  <si>
    <t>protein arginine methyltransferase ndufaf7, mitochondrial (ec 2.1.1.320) (nadh dehydrogenase [ubiquinone] complex i, assembly factor 7) (protein mida homolog)</t>
  </si>
  <si>
    <t>Q7L592</t>
  </si>
  <si>
    <t>NEB</t>
  </si>
  <si>
    <t>nebulin</t>
  </si>
  <si>
    <t>P20929</t>
  </si>
  <si>
    <t>NECAP1</t>
  </si>
  <si>
    <t>adaptin ear-binding coat-associated protein 1 (necap endocytosis-associated protein 1) (necap-1)</t>
  </si>
  <si>
    <t>Q8NC96</t>
  </si>
  <si>
    <t>NECTIN1</t>
  </si>
  <si>
    <t>nectin-1 (herpes virus entry mediator c) (herpesvirus entry mediator c) (hvec) (herpesvirus ig-like receptor) (higr) (nectin cell adhesion molecule 1) (poliovirus receptor-related protein 1) (cd antigen cd111)</t>
  </si>
  <si>
    <t>Q15223</t>
  </si>
  <si>
    <t>NECTIN4</t>
  </si>
  <si>
    <t>nectin-4 (ig superfamily receptor lnir) (nectin cell adhesion molecule 4) (poliovirus receptor-related protein 4) [cleaved into: processed poliovirus receptor-related protein 4]</t>
  </si>
  <si>
    <t>Q96NY8</t>
  </si>
  <si>
    <t>NEDD4L</t>
  </si>
  <si>
    <t>e3 ubiquitin-protein ligase nedd4-like (ec 2.3.2.26) (ec 2.3.2.36) (hect-type e3 ubiquitin transferase ned4l) (nedd4.2) (nedd4-2)</t>
  </si>
  <si>
    <t>Q96PU5</t>
  </si>
  <si>
    <t>NEFH</t>
  </si>
  <si>
    <t>neurofilament heavy polypeptide (nf-h) (200 kda neurofilament protein) (neurofilament triplet h protein)</t>
  </si>
  <si>
    <t>P12036</t>
  </si>
  <si>
    <t>NEFL</t>
  </si>
  <si>
    <t>neurofilament light polypeptide (nf-l) (68 kda neurofilament protein) (neurofilament triplet l protein)</t>
  </si>
  <si>
    <t>P07196</t>
  </si>
  <si>
    <t>NEK8</t>
  </si>
  <si>
    <t>serine/threonine-protein kinase nek8 (ec 2.7.11.1) (never in mitosis a-related kinase 8) (nima-related protein kinase 8) (nima-related protein kinase 12a)</t>
  </si>
  <si>
    <t>Q86SG6</t>
  </si>
  <si>
    <t>NEK10</t>
  </si>
  <si>
    <t>serine/threonine-protein kinase nek10 (ec 2.7.11.1) (never in mitosis a-related kinase 10) (nima-related protein kinase 10)</t>
  </si>
  <si>
    <t>Q6ZWH5</t>
  </si>
  <si>
    <t>sialidase-1 (ec 3.2.1.18) (acetylneuraminyl hydrolase) (g9 sialidase) (lysosomal sialidase) (n-acetyl-alpha-neuraminidase 1)</t>
  </si>
  <si>
    <t>Q99519</t>
  </si>
  <si>
    <t>NEUROD1</t>
  </si>
  <si>
    <t>neurogenic differentiation factor 1 (neurod) (neurod1) (class a basic helix-loop-helix protein 3) (bhlha3)</t>
  </si>
  <si>
    <t>Q13562</t>
  </si>
  <si>
    <t>NEUROD2</t>
  </si>
  <si>
    <t>neurogenic differentiation factor 2 (neurod2) (class a basic helix-loop-helix protein 1) (bhlha1) (neurod-related factor) (ndrf)</t>
  </si>
  <si>
    <t>Q15784</t>
  </si>
  <si>
    <t>NEUROG3</t>
  </si>
  <si>
    <t>neurogenin-3 (ngn-3) (class a basic helix-loop-helix protein 7) (bhlha7) (protein atonal homolog 5)</t>
  </si>
  <si>
    <t>Q9Y4Z2</t>
  </si>
  <si>
    <t>NEXN</t>
  </si>
  <si>
    <t>nexilin (f-actin-binding protein) (nelin)</t>
  </si>
  <si>
    <t>Q0ZGT2</t>
  </si>
  <si>
    <t>NF1</t>
  </si>
  <si>
    <t>neurofibromin (neurofibromatosis-related protein nf-1) [cleaved into: neurofibromin truncated]</t>
  </si>
  <si>
    <t>P21359</t>
  </si>
  <si>
    <t>NF2</t>
  </si>
  <si>
    <t>merlin (moesin-ezrin-radixin-like protein) (neurofibromin-2) (schwannomerlin) (schwannomin)</t>
  </si>
  <si>
    <t>P35240</t>
  </si>
  <si>
    <t>NFASC</t>
  </si>
  <si>
    <t>neurofascin</t>
  </si>
  <si>
    <t>O94856</t>
  </si>
  <si>
    <t>NFIA</t>
  </si>
  <si>
    <t>nuclear factor 1 a-type (nf1-a) (nuclear factor 1/a) (ccaat-box-binding transcription factor) (ctf) (nuclear factor i/a) (nf-i/a) (nfi-a) (tggca-binding protein)</t>
  </si>
  <si>
    <t>Q12857</t>
  </si>
  <si>
    <t>NFIX</t>
  </si>
  <si>
    <t>nuclear factor 1 x-type (nf1-x) (nuclear factor 1/x) (ccaat-box-binding transcription factor) (ctf) (nuclear factor i/x) (nf-i/x) (nfi-x) (tggca-binding protein)</t>
  </si>
  <si>
    <t>Q14938</t>
  </si>
  <si>
    <t>NFKBIA</t>
  </si>
  <si>
    <t>nf-kappa-b inhibitor alpha (i-kappa-b-alpha) (ikb-alpha) (ikappabalpha) (major histocompatibility complex enhancer-binding protein mad3)</t>
  </si>
  <si>
    <t>P25963</t>
  </si>
  <si>
    <t>NFU1</t>
  </si>
  <si>
    <t>nfu1 iron-sulfur cluster scaffold homolog, mitochondrial (hira-interacting protein 5)</t>
  </si>
  <si>
    <t>Q9UMS0</t>
  </si>
  <si>
    <t>NGLY1</t>
  </si>
  <si>
    <t>peptide-n(4)-(n-acetyl-beta-glucosaminyl)asparagine amidase (pngase) (hpngase) (ec 3.5.1.52) (n-glycanase 1) (peptide:n-glycanase)</t>
  </si>
  <si>
    <t>Q96IV0</t>
  </si>
  <si>
    <t>NHEJ1</t>
  </si>
  <si>
    <t>non-homologous end-joining factor 1 (protein cernunnos) (xrcc4-like factor)</t>
  </si>
  <si>
    <t>Q9H9Q4</t>
  </si>
  <si>
    <t>NHLH2</t>
  </si>
  <si>
    <t>helix-loop-helix protein 2 (hen-2) (class a basic helix-loop-helix protein 34) (bhlha34) (nescient helix loop helix 2) (nscl-2)</t>
  </si>
  <si>
    <t>Q02577</t>
  </si>
  <si>
    <t>NHLRC1</t>
  </si>
  <si>
    <t>e3 ubiquitin-protein ligase nhlrc1 (ec 2.3.2.27) (malin) (nhl repeat-containing protein 1) (ring-type e3 ubiquitin transferase nhlrc1)</t>
  </si>
  <si>
    <t>Q6VVB1</t>
  </si>
  <si>
    <t>NHLRC2</t>
  </si>
  <si>
    <t>nhl repeat-containing protein 2</t>
  </si>
  <si>
    <t>Q8NBF2</t>
  </si>
  <si>
    <t>NHS</t>
  </si>
  <si>
    <t>actin remodeling regulator nhs (congenital cataracts and dental anomalies protein) (nance-horan syndrome protein)</t>
  </si>
  <si>
    <t>Q6T4R5</t>
  </si>
  <si>
    <t>NIN</t>
  </si>
  <si>
    <t>ninein (hninein) (glycogen synthase kinase 3 beta-interacting protein) (gsk3b-interacting protein)</t>
  </si>
  <si>
    <t>Q8N4C6</t>
  </si>
  <si>
    <t>NIPA1</t>
  </si>
  <si>
    <t>magnesium transporter nipa1 (non-imprinted in prader-willi/angelman syndrome region protein 1) (spastic paraplegia 6 protein)</t>
  </si>
  <si>
    <t>Q7RTP0</t>
  </si>
  <si>
    <t>NIPAL4</t>
  </si>
  <si>
    <t>magnesium transporter nipa4 (ichthyin) (nipa-like protein 4) (non-imprinted in prader-willi/angelman syndrome region protein 4)</t>
  </si>
  <si>
    <t>Q0D2K0</t>
  </si>
  <si>
    <t>NKAIN2</t>
  </si>
  <si>
    <t>sodium/potassium-transporting atpase subunit beta-1-interacting protein 2 (na(+)/k(+)-transporting atpase subunit beta-1-interacting protein 2) (protein fam77b) (t-cell lymphoma breakpoint-associated target protein 1)</t>
  </si>
  <si>
    <t>Q5VXU1</t>
  </si>
  <si>
    <t>NKAP</t>
  </si>
  <si>
    <t>nf-kappa-b-activating protein</t>
  </si>
  <si>
    <t>Q8N5F7</t>
  </si>
  <si>
    <t>NKX3-2</t>
  </si>
  <si>
    <t>homeobox protein nkx-3.2 (bagpipe homeobox protein homolog 1) (homeobox protein nk-3 homolog b)</t>
  </si>
  <si>
    <t>P78367</t>
  </si>
  <si>
    <t>NKX6-2</t>
  </si>
  <si>
    <t>homeobox protein nkx-6.2 (homeobox protein nk-6 homolog b)</t>
  </si>
  <si>
    <t>Q9C056</t>
  </si>
  <si>
    <t>NLGN3</t>
  </si>
  <si>
    <t>neuroligin-3 (gliotactin homolog)</t>
  </si>
  <si>
    <t>Q9NZ94</t>
  </si>
  <si>
    <t>NLGN4X</t>
  </si>
  <si>
    <t>neuroligin-4, x-linked (neuroligin x) (hnlx)</t>
  </si>
  <si>
    <t>Q8N0W4</t>
  </si>
  <si>
    <t>NLRP12</t>
  </si>
  <si>
    <t>nacht, lrr and pyd domains-containing protein 12 (monarch-1) (pyrin-containing apaf1-like protein 7) (regulated by nitric oxide)</t>
  </si>
  <si>
    <t>P59046</t>
  </si>
  <si>
    <t>NME8</t>
  </si>
  <si>
    <t>thioredoxin domain-containing protein 3 (3'-5' exonuclease nme8) (ec 3.1.-.-) (nm23-h8) (nme/nm23 family member 8) (spermatid-specific thioredoxin-2) (sptrx-2)</t>
  </si>
  <si>
    <t>Q8N427</t>
  </si>
  <si>
    <t>NMNAT1</t>
  </si>
  <si>
    <t>nicotinamide/nicotinic acid mononucleotide adenylyltransferase 1 (nmn/namn adenylyltransferase 1) (ec 2.7.7.1) (ec 2.7.7.18) (nicotinamide-nucleotide adenylyltransferase 1) (nmn adenylyltransferase 1) (nicotinate-nucleotide adenylyltransferase 1) (namn adenylyltransferase 1)</t>
  </si>
  <si>
    <t>Q9HAN9</t>
  </si>
  <si>
    <t>NNT</t>
  </si>
  <si>
    <t>nad(p) transhydrogenase, mitochondrial (ec 7.1.1.1) (nicotinamide nucleotide transhydrogenase) (pyridine nucleotide transhydrogenase)</t>
  </si>
  <si>
    <t>Q13423</t>
  </si>
  <si>
    <t>NOBOX</t>
  </si>
  <si>
    <t>homeobox protein nobox</t>
  </si>
  <si>
    <t>O60393</t>
  </si>
  <si>
    <t>NOD2</t>
  </si>
  <si>
    <t>nucleotide-binding oligomerization domain-containing protein 2 (caspase recruitment domain-containing protein 15) (inflammatory bowel disease protein 1)</t>
  </si>
  <si>
    <t>Q9HC29</t>
  </si>
  <si>
    <t>NODAL</t>
  </si>
  <si>
    <t>nodal homolog</t>
  </si>
  <si>
    <t>Q96S42</t>
  </si>
  <si>
    <t>NOG</t>
  </si>
  <si>
    <t>noggin</t>
  </si>
  <si>
    <t>Q13253</t>
  </si>
  <si>
    <t>NOS1AP</t>
  </si>
  <si>
    <t>carboxyl-terminal pdz ligand of neuronal nitric oxide synthase protein (c-terminal pdz ligand of neuronal nitric oxide synthase protein) (nitric oxide synthase 1 adaptor protein)</t>
  </si>
  <si>
    <t>O75052</t>
  </si>
  <si>
    <t>NOTCH2</t>
  </si>
  <si>
    <t>neurogenic locus notch homolog protein 2 (notch 2) (hn2) [cleaved into: notch 2 extracellular truncation (n2ecd); notch 2 intracellular domain (n2icd)]</t>
  </si>
  <si>
    <t>Q04721</t>
  </si>
  <si>
    <t>NOTCH2NLA</t>
  </si>
  <si>
    <t>notch homolog 2 n-terminal-like protein a (notch homolog 2 n-terminal-like protein)</t>
  </si>
  <si>
    <t>Q7Z3S9</t>
  </si>
  <si>
    <t>NOTCH2NLB</t>
  </si>
  <si>
    <t>notch homolog 2 n-terminal-like protein b</t>
  </si>
  <si>
    <t>P0DPK3</t>
  </si>
  <si>
    <t>NOTCH3</t>
  </si>
  <si>
    <t>neurogenic locus notch homolog protein 3 (notch 3) [cleaved into: notch 3 extracellular truncation; notch 3 intracellular domain]</t>
  </si>
  <si>
    <t>Q9UM47</t>
  </si>
  <si>
    <t>NOVA2</t>
  </si>
  <si>
    <t>rna-binding protein nova-2 (astrocytic nova1-like rna-binding protein) (neuro-oncological ventral antigen 2)</t>
  </si>
  <si>
    <t>Q9UNW9</t>
  </si>
  <si>
    <t>NOX1</t>
  </si>
  <si>
    <t>nadph oxidase 1 (nox-1) (ec 1.6.3.-) (mitogenic oxidase 1) (mox-1) (nadh/nadph mitogenic oxidase subunit p65-mox) (noh-1)</t>
  </si>
  <si>
    <t>Q9Y5S8</t>
  </si>
  <si>
    <t>NPC2</t>
  </si>
  <si>
    <t>npc intracellular cholesterol transporter 2 (epididymal secretory protein e1) (human epididymis-specific protein 1) (he1) (niemann-pick disease type c2 protein)</t>
  </si>
  <si>
    <t>P61916</t>
  </si>
  <si>
    <t>NPHP3</t>
  </si>
  <si>
    <t>nephrocystin-3</t>
  </si>
  <si>
    <t>Q7Z494</t>
  </si>
  <si>
    <t>NPHS1</t>
  </si>
  <si>
    <t>nephrin (renal glomerulus-specific cell adhesion receptor)</t>
  </si>
  <si>
    <t>O60500</t>
  </si>
  <si>
    <t>NPHS2</t>
  </si>
  <si>
    <t>podocin</t>
  </si>
  <si>
    <t>Q9NP85</t>
  </si>
  <si>
    <t>NPM1</t>
  </si>
  <si>
    <t>nucleophosmin (npm) (nucleolar phosphoprotein b23) (nucleolar protein no38) (numatrin)</t>
  </si>
  <si>
    <t>P06748</t>
  </si>
  <si>
    <t>NPPA</t>
  </si>
  <si>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t>
  </si>
  <si>
    <t>P01160</t>
  </si>
  <si>
    <t>NPR2</t>
  </si>
  <si>
    <t>atrial natriuretic peptide receptor 2 (ec 4.6.1.2) (atrial natriuretic peptide receptor type b) (anp-b) (anpr-b) (npr-b) (guanylate cyclase b) (gc-b)</t>
  </si>
  <si>
    <t>P20594</t>
  </si>
  <si>
    <t>NPR3</t>
  </si>
  <si>
    <t>atrial natriuretic peptide receptor 3 (atrial natriuretic peptide clearance receptor) (atrial natriuretic peptide receptor type c) (anp-c) (anpr-c) (npr-c)</t>
  </si>
  <si>
    <t>P17342</t>
  </si>
  <si>
    <t>NR0B2</t>
  </si>
  <si>
    <t>nuclear receptor subfamily 0 group b member 2 (orphan nuclear receptor shp) (small heterodimer partner)</t>
  </si>
  <si>
    <t>Q15466</t>
  </si>
  <si>
    <t>NR2F1</t>
  </si>
  <si>
    <t>coup transcription factor 1 (coup-tf1) (coup transcription factor i) (coup-tf i) (nuclear receptor subfamily 2 group f member 1) (v-erba-related protein 3) (ear-3)</t>
  </si>
  <si>
    <t>P10589</t>
  </si>
  <si>
    <t>NR2F2</t>
  </si>
  <si>
    <t>coup transcription factor 2 (coup-tf2) (apolipoprotein a-i regulatory protein 1) (arp-1) (coup transcription factor ii) (coup-tf ii) (nuclear receptor subfamily 2 group f member 2)</t>
  </si>
  <si>
    <t>P24468</t>
  </si>
  <si>
    <t>NR4A3</t>
  </si>
  <si>
    <t>nuclear receptor subfamily 4 group a member 3 (mitogen-induced nuclear orphan receptor) (neuron-derived orphan receptor 1) (nuclear hormone receptor nor-1)</t>
  </si>
  <si>
    <t>Q92570</t>
  </si>
  <si>
    <t>NR5A1</t>
  </si>
  <si>
    <t>steroidogenic factor 1 (sf-1) (stf-1) (hsf-1) (adrenal 4-binding protein) (fushi tarazu factor homolog 1) (nuclear receptor subfamily 5 group a member 1) (steroid hormone receptor ad4bp)</t>
  </si>
  <si>
    <t>Q13285</t>
  </si>
  <si>
    <t>NRAS</t>
  </si>
  <si>
    <t>gtpase nras (ec 3.6.5.2) (transforming protein n-ras)</t>
  </si>
  <si>
    <t>P01111</t>
  </si>
  <si>
    <t>NRCAM</t>
  </si>
  <si>
    <t>neuronal cell adhesion molecule (nr-cam) (neuronal surface protein bravo) (hbravo) (ngcam-related cell adhesion molecule) (ng-cam-related)</t>
  </si>
  <si>
    <t>Q92823</t>
  </si>
  <si>
    <t>NRG1</t>
  </si>
  <si>
    <t>pro-neuregulin-1, membrane-bound isoform (pro-nrg1) [cleaved into: neuregulin-1 (acetylcholine receptor-inducing activity) (aria) (breast cancer cell differentiation factor p45) (glial growth factor) (heregulin) (hrg) (neu differentiation factor) (sensory and motor neuron-derived factor)]</t>
  </si>
  <si>
    <t>Q02297</t>
  </si>
  <si>
    <t>NRIP1</t>
  </si>
  <si>
    <t>nuclear receptor-interacting protein 1 (nuclear factor rip140) (receptor-interacting protein 140)</t>
  </si>
  <si>
    <t>P48552</t>
  </si>
  <si>
    <t>neural retina-specific leucine zipper protein (nrl)</t>
  </si>
  <si>
    <t>P54845</t>
  </si>
  <si>
    <t>NRTN</t>
  </si>
  <si>
    <t>neurturin</t>
  </si>
  <si>
    <t>Q99748</t>
  </si>
  <si>
    <t>NSD1</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</si>
  <si>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</si>
  <si>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Q96L73</t>
  </si>
  <si>
    <t>NSD2</t>
  </si>
  <si>
    <t>histone-lysine n-methyltransferase nsd2 (ec 2.1.1.357) (multiple myeloma set domain-containing protein) (mmset) (nuclear set domain-containing protein 2) (protein trithorax-5) (wolf-hirschhorn syndrome candidate 1 protein)</t>
  </si>
  <si>
    <t>O96028</t>
  </si>
  <si>
    <t>NSD3</t>
  </si>
  <si>
    <t>histone-lysine n-methyltransferase nsd3 (ec 2.1.1.370) (ec 2.1.1.371) (nuclear set domain-containing protein 3) (protein whistle) (whsc1-like 1 isoform 9 with methyltransferase activity to lysine) (wolf-hirschhorn syndrome candidate 1-like protein 1) (whsc1-like protein 1)</t>
  </si>
  <si>
    <t>Q9BZ95</t>
  </si>
  <si>
    <t>NSDHL</t>
  </si>
  <si>
    <t>sterol-4-alpha-carboxylate 3-dehydrogenase, decarboxylating (ec 1.1.1.170) (protein h105e3)</t>
  </si>
  <si>
    <t>Q15738</t>
  </si>
  <si>
    <t>NSF</t>
  </si>
  <si>
    <t>vesicle-fusing atpase (ec 3.6.4.6) (n-ethylmaleimide-sensitive fusion protein) (nem-sensitive fusion protein) (vesicular-fusion protein nsf)</t>
  </si>
  <si>
    <t>P46459</t>
  </si>
  <si>
    <t>NSMF</t>
  </si>
  <si>
    <t>nmda receptor synaptonuclear signaling and neuronal migration factor (nasal embryonic luteinizing hormone-releasing hormone factor) (nasal embryonic lhrh factor)</t>
  </si>
  <si>
    <t>Q6X4W1</t>
  </si>
  <si>
    <t>NSRP1</t>
  </si>
  <si>
    <t>nuclear speckle splicing regulatory protein 1 (coiled-coil domain-containing protein 55) (nuclear speckle-related protein 70) (nsrp70)</t>
  </si>
  <si>
    <t>Q9H0G5</t>
  </si>
  <si>
    <t>NSUN2</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</si>
  <si>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</si>
  <si>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Q08J23</t>
  </si>
  <si>
    <t>NSUN3</t>
  </si>
  <si>
    <t>trna (cytosine(34)-c(5))-methyltransferase, mitochondrial (ec 2.1.1.-) (nol1/nop2/sun domain family member 3)</t>
  </si>
  <si>
    <t>Q9H649</t>
  </si>
  <si>
    <t>NSUN5</t>
  </si>
  <si>
    <t>28s rrna (cytosine-c(5))-methyltransferase (ec 2.1.1.-) (nol1-related protein) (nol1r) (nol1/nop2/sun domain family member 5) (williams-beuren syndrome chromosomal region 20a protein)</t>
  </si>
  <si>
    <t>Q96P11</t>
  </si>
  <si>
    <t>NT5C2</t>
  </si>
  <si>
    <t>cytosolic purine 5'-nucleotidase (ec 3.1.3.5) (ec 3.1.3.99) (cytosolic 5'-nucleotidase ii) (cn-ii) (cytosolic imp/gmp-specific 5'-nucleotidase) (cytosolic nucleoside phosphotransferase 5'n) (ec 2.7.1.77) (high km 5'-nucleotidase)</t>
  </si>
  <si>
    <t>P49902</t>
  </si>
  <si>
    <t>NT5C3A</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</si>
  <si>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</si>
  <si>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Q9H0P0</t>
  </si>
  <si>
    <t>NT5E</t>
  </si>
  <si>
    <t>5'-nucleotidase (5'-nt) (ec 3.1.3.35) (ec 3.1.3.5) (ec 3.1.3.89) (ec 3.1.3.91) (ec 3.1.3.99) (5'-deoxynucleotidase) (ecto-5'-nucleotidase) (imp-specific 5'-nucleotidase) (thymidylate 5'-phosphatase) (cd antigen cd73)</t>
  </si>
  <si>
    <t>P21589</t>
  </si>
  <si>
    <t>NTF4</t>
  </si>
  <si>
    <t>neurotrophin-4 (nt-4) (neurotrophin-5) (nt-5) (neutrophic factor 4)</t>
  </si>
  <si>
    <t>P34130</t>
  </si>
  <si>
    <t>NTN1</t>
  </si>
  <si>
    <t>netrin-1 (epididymis tissue protein li 131p)</t>
  </si>
  <si>
    <t>O95631</t>
  </si>
  <si>
    <t>NTNG2</t>
  </si>
  <si>
    <t>netrin-g2 (laminet-2)</t>
  </si>
  <si>
    <t>Q96CW9</t>
  </si>
  <si>
    <t>NUBPL</t>
  </si>
  <si>
    <t>iron-sulfur cluster transfer protein nubpl (ind1 homolog) (nucleotide-binding protein-like) (huind1)</t>
  </si>
  <si>
    <t>Q8TB37</t>
  </si>
  <si>
    <t>NUDT2</t>
  </si>
  <si>
    <t>bis(5'-nucleosyl)-tetraphosphatase [asymmetrical] (ec 3.6.1.17) (diadenosine 5',5'''-p1,p4-tetraphosphate asymmetrical hydrolase) (ap4a hydrolase) (ap4aase) (diadenosine tetraphosphatase) (nucleoside diphosphate-linked moiety x motif 2) (nudix motif 2)</t>
  </si>
  <si>
    <t>P50583</t>
  </si>
  <si>
    <t>NUTM1</t>
  </si>
  <si>
    <t>nut family member 1 (nuclear protein in testis)</t>
  </si>
  <si>
    <t>Q86Y26</t>
  </si>
  <si>
    <t>NYX</t>
  </si>
  <si>
    <t>nyctalopin</t>
  </si>
  <si>
    <t>Q9GZU5</t>
  </si>
  <si>
    <t>OARD1</t>
  </si>
  <si>
    <t>adp-ribose glycohydrolase oard1 (o-acetyl-adp-ribose deacetylase 1) (ec 3.5.1.-) (terminal adp-ribose protein glycohydrolase 1) ([protein adp-ribosylglutamate] hydrolase oard1) (ec 3.2.2.-)</t>
  </si>
  <si>
    <t>Q9Y530</t>
  </si>
  <si>
    <t>OAS1</t>
  </si>
  <si>
    <t>2'-5'-oligoadenylate synthase 1 ((2-5')oligo(a) synthase 1) (2-5a synthase 1) (ec 2.7.7.84) (e18/e16) (p46/p42 oas)</t>
  </si>
  <si>
    <t>P00973</t>
  </si>
  <si>
    <t>OAT</t>
  </si>
  <si>
    <t>ornithine aminotransferase, mitochondrial (ec 2.6.1.13) (ornithine delta-aminotransferase) (ornithine--oxo-acid aminotransferase) [cleaved into: ornithine aminotransferase, hepatic form; ornithine aminotransferase, renal form]</t>
  </si>
  <si>
    <t>P04181</t>
  </si>
  <si>
    <t>OBSCN</t>
  </si>
  <si>
    <t>obscurin (ec 2.7.11.1) (obscurin-rhogef) (obscurin-myosin light chain kinase) (obscurin-mlck)</t>
  </si>
  <si>
    <t>Q5VST9</t>
  </si>
  <si>
    <t>OCA2</t>
  </si>
  <si>
    <t>p protein (melanocyte-specific transporter protein) (pink-eyed dilution protein homolog)</t>
  </si>
  <si>
    <t>Q04671</t>
  </si>
  <si>
    <t>OCLN</t>
  </si>
  <si>
    <t>occludin</t>
  </si>
  <si>
    <t>Q16625</t>
  </si>
  <si>
    <t>OCRL</t>
  </si>
  <si>
    <t>inositol polyphosphate 5-phosphatase ocrl (ec 3.1.3.36) (ec 3.1.3.56) (inositol polyphosphate 5-phosphatase ocrl-1) (ocrl-1) (lowe oculocerebrorenal syndrome protein) (phosphatidylinositol 3,4,5-triphosphate 5-phosphatase) (ec 3.1.3.86)</t>
  </si>
  <si>
    <t>Q01968</t>
  </si>
  <si>
    <t>OFD1</t>
  </si>
  <si>
    <t>centriole and centriolar satellite protein ofd1 (oral-facial-digital syndrome 1 protein) (protein 71-7a)</t>
  </si>
  <si>
    <t>O75665</t>
  </si>
  <si>
    <t>OGDHL</t>
  </si>
  <si>
    <t>2-oxoglutarate dehydrogenase-like, mitochondrial (ec 1.2.4.2) (2-oxoglutarate dehydrogenase complex component e1-like) (ogdc-e1-like) (alpha-ketoglutarate dehydrogenase-like)</t>
  </si>
  <si>
    <t>Q9ULD0</t>
  </si>
  <si>
    <t>OLIG2</t>
  </si>
  <si>
    <t>oligodendrocyte transcription factor 2 (oligo2) (class b basic helix-loop-helix protein 1) (bhlhb1) (class e basic helix-loop-helix protein 19) (bhlhe19) (protein kinase c-binding protein 2) (protein kinase c-binding protein rack17)</t>
  </si>
  <si>
    <t>Q13516</t>
  </si>
  <si>
    <t>OLR1</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</si>
  <si>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t>
  </si>
  <si>
    <t>P78380</t>
  </si>
  <si>
    <t>OPA3</t>
  </si>
  <si>
    <t>optic atrophy 3 protein</t>
  </si>
  <si>
    <t>Q9H6K4</t>
  </si>
  <si>
    <t>OPCML</t>
  </si>
  <si>
    <t>opioid-binding protein/cell adhesion molecule (obcam) (opcml) (opioid-binding cell adhesion molecule) (iglon family member 1)</t>
  </si>
  <si>
    <t>Q14982</t>
  </si>
  <si>
    <t>OPHN1</t>
  </si>
  <si>
    <t>oligophrenin-1</t>
  </si>
  <si>
    <t>O60890</t>
  </si>
  <si>
    <t>OPLAH</t>
  </si>
  <si>
    <t>5-oxoprolinase (ec 3.5.2.9) (5-oxo-l-prolinase) (5-opase) (pyroglutamase)</t>
  </si>
  <si>
    <t>O14841</t>
  </si>
  <si>
    <t>OPN1LW</t>
  </si>
  <si>
    <t>long-wave-sensitive opsin 1 (red cone photoreceptor pigment) (red-sensitive opsin) (rop)</t>
  </si>
  <si>
    <t>P04000</t>
  </si>
  <si>
    <t>OPN1MW</t>
  </si>
  <si>
    <t>medium-wave-sensitive opsin 1 (green cone photoreceptor pigment) (green-sensitive opsin) (gop)</t>
  </si>
  <si>
    <t>P04001</t>
  </si>
  <si>
    <t>OPN1SW</t>
  </si>
  <si>
    <t>short-wave-sensitive opsin 1 (blue cone photoreceptor pigment) (blue-sensitive opsin) (bop)</t>
  </si>
  <si>
    <t>P03999</t>
  </si>
  <si>
    <t>OPTN</t>
  </si>
  <si>
    <t>optineurin (e3-14.7k-interacting protein) (fip-2) (huntingtin yeast partner l) (huntingtin-interacting protein 7) (hip-7) (huntingtin-interacting protein l) (nemo-related protein) (optic neuropathy-inducing protein) (transcription factor iiia-interacting protein) (tfiiia-intp)</t>
  </si>
  <si>
    <t>Q96CV9</t>
  </si>
  <si>
    <t>ORMDL3</t>
  </si>
  <si>
    <t>orm1-like protein 3</t>
  </si>
  <si>
    <t>Q8N138</t>
  </si>
  <si>
    <t>OSBPL2</t>
  </si>
  <si>
    <t>oxysterol-binding protein-related protein 2 (orp-2) (osbp-related protein 2)</t>
  </si>
  <si>
    <t>Q9H1P3</t>
  </si>
  <si>
    <t>OSMR</t>
  </si>
  <si>
    <t>oncostatin-m-specific receptor subunit beta (interleukin-31 receptor subunit beta) (il-31 receptor subunit beta) (il-31r subunit beta) (il-31r-beta) (il-31rb)</t>
  </si>
  <si>
    <t>Q99650</t>
  </si>
  <si>
    <t>ornithine transcarbamylase, mitochondrial (otcase) (ec 2.1.3.3) (ornithine carbamoyltransferase, mitochondrial)</t>
  </si>
  <si>
    <t>P00480</t>
  </si>
  <si>
    <t>OTOA</t>
  </si>
  <si>
    <t>otoancorin</t>
  </si>
  <si>
    <t>Q7RTW8</t>
  </si>
  <si>
    <t>otoferlin (fer-1-like protein 2)</t>
  </si>
  <si>
    <t>Q9HC10</t>
  </si>
  <si>
    <t>OTUD5</t>
  </si>
  <si>
    <t>otu domain-containing protein 5 (ec 3.4.19.12) (deubiquitinating enzyme a) (duba)</t>
  </si>
  <si>
    <t>Q96G74</t>
  </si>
  <si>
    <t>OTUD6B</t>
  </si>
  <si>
    <t>deubiquitinase otud6b (ec 3.4.19.12) (duba-5) (otu domain-containing protein 6b)</t>
  </si>
  <si>
    <t>Q8N6M0</t>
  </si>
  <si>
    <t>OTULIN</t>
  </si>
  <si>
    <t>ubiquitin thioesterase otulin (ec 3.4.19.12) (deubiquitinating enzyme otulin) (otu domain-containing deubiquitinase with linear linkage specificity) (ubiquitin thioesterase gumby)</t>
  </si>
  <si>
    <t>Q96BN8</t>
  </si>
  <si>
    <t>OTX2</t>
  </si>
  <si>
    <t>homeobox protein otx2 (orthodenticle homolog 2)</t>
  </si>
  <si>
    <t>P32243</t>
  </si>
  <si>
    <t>OXCT1</t>
  </si>
  <si>
    <t>succinyl-coa:3-ketoacid coenzyme a transferase 1, mitochondrial (scot) (ec 2.8.3.5) (3-oxoacid coa-transferase 1) (somatic-type succinyl-coa:3-oxoacid coa-transferase) (scot-s) (succinyl-coa:3-oxoacid coa transferase)</t>
  </si>
  <si>
    <t>P55809</t>
  </si>
  <si>
    <t>OXR1</t>
  </si>
  <si>
    <t>oxidation resistance protein 1</t>
  </si>
  <si>
    <t>Q8N573</t>
  </si>
  <si>
    <t>P2RX2</t>
  </si>
  <si>
    <t>p2x purinoceptor 2 (p2x2) (atp receptor) (purinergic receptor)</t>
  </si>
  <si>
    <t>Q9UBL9</t>
  </si>
  <si>
    <t>P3H1</t>
  </si>
  <si>
    <t>prolyl 3-hydroxylase 1 (ec 1.14.11.7) (growth suppressor 1) (leucine- and proline-enriched proteoglycan 1) (leprecan-1)</t>
  </si>
  <si>
    <t>Q32P28</t>
  </si>
  <si>
    <t>P3H2</t>
  </si>
  <si>
    <t>prolyl 3-hydroxylase 2 (ec 1.14.11.7) (leprecan-like protein 1) (myxoid liposarcoma-associated protein 4)</t>
  </si>
  <si>
    <t>Q8IVL5</t>
  </si>
  <si>
    <t>P4HA2</t>
  </si>
  <si>
    <t>prolyl 4-hydroxylase subunit alpha-2 (4-ph alpha-2) (ec 1.14.11.2) (procollagen-proline,2-oxoglutarate-4-dioxygenase subunit alpha-2)</t>
  </si>
  <si>
    <t>O15460</t>
  </si>
  <si>
    <t>PACS1</t>
  </si>
  <si>
    <t>phosphofurin acidic cluster sorting protein 1 (pacs-1)</t>
  </si>
  <si>
    <t>Q6VY07</t>
  </si>
  <si>
    <t>PACS2</t>
  </si>
  <si>
    <t>phosphofurin acidic cluster sorting protein 2 (pacs-2) (pacs1-like protein)</t>
  </si>
  <si>
    <t>Q86VP3</t>
  </si>
  <si>
    <t>PADI3</t>
  </si>
  <si>
    <t>protein-arginine deiminase type-3 (ec 3.5.3.15) (peptidylarginine deiminase iii) (protein-arginine deiminase type iii)</t>
  </si>
  <si>
    <t>Q9ULW8</t>
  </si>
  <si>
    <t>PADI4</t>
  </si>
  <si>
    <t>protein-arginine deiminase type-4 (ec 3.5.3.15) (hl-60 pad) (peptidylarginine deiminase iv) (protein-arginine deiminase type iv)</t>
  </si>
  <si>
    <t>Q9UM07</t>
  </si>
  <si>
    <t>PAFAH1B1</t>
  </si>
  <si>
    <t>platelet-activating factor acetylhydrolase ib subunit beta (lissencephaly-1 protein) (lis-1) (paf acetylhydrolase 45 kda subunit) (paf-ah 45 kda subunit) (paf-ah alpha) (pafah alpha)</t>
  </si>
  <si>
    <t>P43034</t>
  </si>
  <si>
    <t>PAH</t>
  </si>
  <si>
    <t>phenylalanine-4-hydroxylase (pah) (ec 1.14.16.1) (phe-4-monooxygenase)</t>
  </si>
  <si>
    <t>P00439</t>
  </si>
  <si>
    <t>PALLD</t>
  </si>
  <si>
    <t>palladin (sih002) (sarcoma antigen ny-sar-77)</t>
  </si>
  <si>
    <t>Q8WX93</t>
  </si>
  <si>
    <t>PANK2</t>
  </si>
  <si>
    <t>pantothenate kinase 2, mitochondrial (hpank2) (ec 2.7.1.33) (pantothenic acid kinase 2) [cleaved into: pantothenate kinase 2, mitochondrial intermediate form (ipank2); pantothenate kinase 2, mitochondrial mature form (mpank2)]</t>
  </si>
  <si>
    <t>Q9BZ23</t>
  </si>
  <si>
    <t>PANK4</t>
  </si>
  <si>
    <t>4'-phosphopantetheine phosphatase (ec 3.1.3.-) (inactive pantothenic acid kinase 4) (hpank4)</t>
  </si>
  <si>
    <t>Q9NVE7</t>
  </si>
  <si>
    <t>PANX1</t>
  </si>
  <si>
    <t>pannexin-1 (panx1) [cleaved into: caspase-activated pannexin-1 (caspase-activated panx1)]</t>
  </si>
  <si>
    <t>Q96RD7</t>
  </si>
  <si>
    <t>PAPPA2</t>
  </si>
  <si>
    <t>pappalysin-2 (ec 3.4.24.-) (pregnancy-associated plasma protein a2) (papp-a2) (pregnancy-associated plasma protein e1) (papp-e)</t>
  </si>
  <si>
    <t>Q9BXP8</t>
  </si>
  <si>
    <t>PAPSS2</t>
  </si>
  <si>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</si>
  <si>
    <t>O95340</t>
  </si>
  <si>
    <t>PARK7</t>
  </si>
  <si>
    <t>parkinson disease protein 7 (maillard deglycase) (oncogene dj1) (parkinsonism-associated deglycase) (protein dj-1) (dj-1) (protein/nucleic acid deglycase dj-1) (ec 3.1.2.-, ec 3.5.1.-, ec 3.5.1.124)</t>
  </si>
  <si>
    <t>Q99497</t>
  </si>
  <si>
    <t>PARN</t>
  </si>
  <si>
    <t>poly(a)-specific ribonuclease parn (ec 3.1.13.4) (deadenylating nuclease) (deadenylation nuclease) (polyadenylate-specific ribonuclease)</t>
  </si>
  <si>
    <t>O95453</t>
  </si>
  <si>
    <t>PARP9</t>
  </si>
  <si>
    <t>protein mono-adp-ribosyltransferase parp9 (ec 2.4.2.-) (adp-ribosyltransferase diphtheria toxin-like 9) (artd9) (b aggressive lymphoma protein) (poly [adp-ribose] polymerase 9) (parp-9)</t>
  </si>
  <si>
    <t>Q8IXQ6</t>
  </si>
  <si>
    <t>PARS2</t>
  </si>
  <si>
    <t>probable proline--trna ligase, mitochondrial (ec 6.1.1.15) (prolyl-trna synthetase) (prors) (prolyl-trna synthetase 2, mitochondrial)</t>
  </si>
  <si>
    <t>Q7L3T8</t>
  </si>
  <si>
    <t>PATL2</t>
  </si>
  <si>
    <t>protein pat1 homolog 2 (pat1-like protein 2) (protein pat1 homolog a) (pat1a) (hpat1a)</t>
  </si>
  <si>
    <t>C9JE40</t>
  </si>
  <si>
    <t>PATZ1</t>
  </si>
  <si>
    <t>poz-, at hook-, and zinc finger-containing protein 1 (btb/poz domain zinc finger transcription factor) (protein kinase a ri subunit alpha-associated protein) (zinc finger and btb domain-containing protein 19) (zinc finger protein 278) (zinc finger sarcoma gene protein)</t>
  </si>
  <si>
    <t>Q9HBE1</t>
  </si>
  <si>
    <t>PAX1</t>
  </si>
  <si>
    <t>paired box protein pax-1 (hup48)</t>
  </si>
  <si>
    <t>P15863</t>
  </si>
  <si>
    <t>PAX2</t>
  </si>
  <si>
    <t>paired box protein pax-2</t>
  </si>
  <si>
    <t>Q02962</t>
  </si>
  <si>
    <t>PAX3</t>
  </si>
  <si>
    <t>paired box protein pax-3 (hup2)</t>
  </si>
  <si>
    <t>P23760</t>
  </si>
  <si>
    <t>PAX4</t>
  </si>
  <si>
    <t>paired box protein pax-4</t>
  </si>
  <si>
    <t>O43316</t>
  </si>
  <si>
    <t>PAX5</t>
  </si>
  <si>
    <t>paired box protein pax-5 (b-cell-specific transcription factor) (bsap)</t>
  </si>
  <si>
    <t>Q02548</t>
  </si>
  <si>
    <t>PAX6</t>
  </si>
  <si>
    <t>paired box protein pax-6 (aniridia type ii protein) (oculorhombin)</t>
  </si>
  <si>
    <t>P26367</t>
  </si>
  <si>
    <t>PAX7</t>
  </si>
  <si>
    <t>paired box protein pax-7 (hup1)</t>
  </si>
  <si>
    <t>P23759</t>
  </si>
  <si>
    <t>PBX1</t>
  </si>
  <si>
    <t>pre-b-cell leukemia transcription factor 1 (homeobox protein pbx1) (homeobox protein prl)</t>
  </si>
  <si>
    <t>P40424</t>
  </si>
  <si>
    <t>PCARE</t>
  </si>
  <si>
    <t>photoreceptor cilium actin regulator</t>
  </si>
  <si>
    <t>A6NGG8</t>
  </si>
  <si>
    <t>PCBD1</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</si>
  <si>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</si>
  <si>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P61457</t>
  </si>
  <si>
    <t>PCDH11Y</t>
  </si>
  <si>
    <t>protocadherin-11 y-linked (protocadherin-11) (protocadherin on the y chromosome) (pcdh-y) (protocadherin prostate cancer) (protocadherin-pc) (protocadherin-22)</t>
  </si>
  <si>
    <t>Q9BZA8</t>
  </si>
  <si>
    <t>protocadherin-15</t>
  </si>
  <si>
    <t>Q96QU1</t>
  </si>
  <si>
    <t>PCDH19</t>
  </si>
  <si>
    <t>protocadherin-19</t>
  </si>
  <si>
    <t>Q8TAB3</t>
  </si>
  <si>
    <t>PCK1</t>
  </si>
  <si>
    <t>phosphoenolpyruvate carboxykinase, cytosolic [gtp] (pepck-c) (ec 4.1.1.32) (serine-protein kinase pck1) (ec 2.7.11.-)</t>
  </si>
  <si>
    <t>P35558</t>
  </si>
  <si>
    <t>PCK2</t>
  </si>
  <si>
    <t>phosphoenolpyruvate carboxykinase [gtp], mitochondrial (pepck-m) (ec 4.1.1.32) (phosphoenolpyruvate carboxykinase 2, mitochondrial) (mtpck2)</t>
  </si>
  <si>
    <t>Q16822</t>
  </si>
  <si>
    <t>PCLO</t>
  </si>
  <si>
    <t>protein piccolo (aczonin)</t>
  </si>
  <si>
    <t>Q9Y6V0</t>
  </si>
  <si>
    <t>PCM1</t>
  </si>
  <si>
    <t>pericentriolar material 1 protein (pcm-1) (hpcm-1)</t>
  </si>
  <si>
    <t>Q15154</t>
  </si>
  <si>
    <t>PCNT</t>
  </si>
  <si>
    <t>pericentrin (kendrin) (pericentrin-b)</t>
  </si>
  <si>
    <t>O95613</t>
  </si>
  <si>
    <t>PCSK1</t>
  </si>
  <si>
    <t>neuroendocrine convertase 1 (nec 1) (ec 3.4.21.93) (prohormone convertase 1) (proprotein convertase 1) (pc1)</t>
  </si>
  <si>
    <t>P29120</t>
  </si>
  <si>
    <t>PCYT2</t>
  </si>
  <si>
    <t>ethanolamine-phosphate cytidylyltransferase (ec 2.7.7.14) (ctp:phosphoethanolamine cytidylyltransferase) (phosphorylethanolamine transferase)</t>
  </si>
  <si>
    <t>Q99447</t>
  </si>
  <si>
    <t>PDCD1</t>
  </si>
  <si>
    <t>programmed cell death protein 1 (protein pd-1) (hpd-1) (cd antigen cd279)</t>
  </si>
  <si>
    <t>Q15116</t>
  </si>
  <si>
    <t>PDE4DIP</t>
  </si>
  <si>
    <t>myomegalin (cardiomyopathy-associated protein 2) (phosphodiesterase 4d-interacting protein)</t>
  </si>
  <si>
    <t>Q5VU43</t>
  </si>
  <si>
    <t>PDE6A</t>
  </si>
  <si>
    <t>rod cgmp-specific 3',5'-cyclic phosphodiesterase subunit alpha (gmp-pde alpha) (ec 3.1.4.35) (pde v-b1)</t>
  </si>
  <si>
    <t>P16499</t>
  </si>
  <si>
    <t>PDE6B</t>
  </si>
  <si>
    <t>rod cgmp-specific 3',5'-cyclic phosphodiesterase subunit beta (gmp-pde beta) (ec 3.1.4.35)</t>
  </si>
  <si>
    <t>P35913</t>
  </si>
  <si>
    <t>PDE6D</t>
  </si>
  <si>
    <t>retinal rod rhodopsin-sensitive cgmp 3',5'-cyclic phosphodiesterase subunit delta (gmp-pde delta) (protein p17)</t>
  </si>
  <si>
    <t>O43924</t>
  </si>
  <si>
    <t>PDE6G</t>
  </si>
  <si>
    <t>retinal rod rhodopsin-sensitive cgmp 3',5'-cyclic phosphodiesterase subunit gamma (gmp-pde gamma) (ec 3.1.4.35)</t>
  </si>
  <si>
    <t>P18545</t>
  </si>
  <si>
    <t>PDE6H</t>
  </si>
  <si>
    <t>retinal cone rhodopsin-sensitive cgmp 3',5'-cyclic phosphodiesterase subunit gamma (gmp-pde gamma) (ec 3.1.4.35)</t>
  </si>
  <si>
    <t>Q13956</t>
  </si>
  <si>
    <t>PDK3</t>
  </si>
  <si>
    <t>[pyruvate dehydrogenase (acetyl-transferring)] kinase isozyme 3, mitochondrial (ec 2.7.11.2) (pyruvate dehydrogenase kinase isoform 3)</t>
  </si>
  <si>
    <t>Q15120</t>
  </si>
  <si>
    <t>PDSS1</t>
  </si>
  <si>
    <t>all trans-polyprenyl-diphosphate synthase pdss1 (all-trans-decaprenyl-diphosphate synthase subunit 1) (ec 2.5.1.91) (decaprenyl pyrophosphate synthase subunit 1) (decaprenyl-diphosphate synthase subunit 1) (solanesyl-diphosphate synthase subunit 1) (trans-prenyltransferase 1) (tpt 1)</t>
  </si>
  <si>
    <t>Q5T2R2</t>
  </si>
  <si>
    <t>PDSS2</t>
  </si>
  <si>
    <t>all trans-polyprenyl-diphosphate synthase pdss2 (all-trans-decaprenyl-diphosphate synthase subunit 2) (ec 2.5.1.91) (candidate tumor suppressor protein) (decaprenyl pyrophosphate synthase subunit 2) (decaprenyl-diphosphate synthase subunit 2) (solanesyl-diphosphate synthase subunit 2)</t>
  </si>
  <si>
    <t>Q86YH6</t>
  </si>
  <si>
    <t>PDX1</t>
  </si>
  <si>
    <t>pancreas/duodenum homeobox protein 1 (pdx-1) (glucose-sensitive factor) (gsf) (insulin promoter factor 1) (ipf-1) (insulin upstream factor 1) (iuf-1) (islet/duodenum homeobox-1) (idx-1) (somatostatin-transactivating factor 1) (stf-1)</t>
  </si>
  <si>
    <t>P52945</t>
  </si>
  <si>
    <t>PDYN</t>
  </si>
  <si>
    <t>proenkephalin-b (beta-neoendorphin-dynorphin) (preprodynorphin) [cleaved into: alpha-neoendorphin; beta-neoendorphin; big dynorphin (big dyn); dynorphin a(1-17) (dyn-a17) (dynorphin a); dynorphin a(1-13); dynorphin a(1-8); leu-enkephalin; rimorphin (dynorphin b) (dyn-b) (dynorphin b(1-13)); leumorphin (dynorphin b-29)]</t>
  </si>
  <si>
    <t>P01213</t>
  </si>
  <si>
    <t>PEPD</t>
  </si>
  <si>
    <t>xaa-pro dipeptidase (x-pro dipeptidase) (ec 3.4.13.9) (imidodipeptidase) (peptidase d) (proline dipeptidase) (prolidase)</t>
  </si>
  <si>
    <t>P12955</t>
  </si>
  <si>
    <t>PERCC1</t>
  </si>
  <si>
    <t>protein percc1 (proline and glutamage-rich protein with a coiled coil domain)</t>
  </si>
  <si>
    <t>A0A1W2PR82</t>
  </si>
  <si>
    <t>PERP</t>
  </si>
  <si>
    <t>p53 apoptosis effector related to pmp-22 (keratinocyte-associated protein 1) (kcp-1) (p53-induced protein pigpc1) (transmembrane protein thw)</t>
  </si>
  <si>
    <t>Q96FX8</t>
  </si>
  <si>
    <t>PEX1</t>
  </si>
  <si>
    <t>peroxisomal atpase pex1 (ec 3.6.4.-) (peroxin-1) (peroxisome biogenesis disorder protein 1) (peroxisome biogenesis factor 1)</t>
  </si>
  <si>
    <t>O43933</t>
  </si>
  <si>
    <t>PEX3</t>
  </si>
  <si>
    <t>peroxisomal biogenesis factor 3 (peroxin-3) (peroxisomal assembly protein pex3)</t>
  </si>
  <si>
    <t>P56589</t>
  </si>
  <si>
    <t>PEX5</t>
  </si>
  <si>
    <t>peroxisomal targeting signal 1 receptor (pts1 receptor) (pts1r) (pts1-bp) (peroxin-5) (peroxisomal c-terminal targeting signal import receptor) (peroxisome receptor 1)</t>
  </si>
  <si>
    <t>P50542</t>
  </si>
  <si>
    <t>PEX6</t>
  </si>
  <si>
    <t>peroxisomal atpase pex6 (ec 3.6.4.-) (peroxin-6) (peroxisomal biogenesis factor 6) (peroxisomal-type atpase 1) (peroxisome assembly factor 2) (paf-2)</t>
  </si>
  <si>
    <t>Q13608</t>
  </si>
  <si>
    <t>PEX7</t>
  </si>
  <si>
    <t>peroxisomal targeting signal 2 receptor (pts2 receptor) (peroxin-7)</t>
  </si>
  <si>
    <t>O00628</t>
  </si>
  <si>
    <t>PEX11B</t>
  </si>
  <si>
    <t>peroxisomal membrane protein 11b (peroxin-11b) (peroxisomal biogenesis factor 11b) (protein pex11 homolog beta) (pex11-beta)</t>
  </si>
  <si>
    <t>O96011</t>
  </si>
  <si>
    <t>PEX13</t>
  </si>
  <si>
    <t>peroxisomal membrane protein pex13 (peroxin-13)</t>
  </si>
  <si>
    <t>Q92968</t>
  </si>
  <si>
    <t>PEX14</t>
  </si>
  <si>
    <t>peroxisomal membrane protein pex14 (pts1 receptor-docking protein) (peroxin-14) (peroxisomal membrane anchor protein pex14)</t>
  </si>
  <si>
    <t>O75381</t>
  </si>
  <si>
    <t>PEX16</t>
  </si>
  <si>
    <t>peroxisomal membrane protein pex16 (peroxin-16) (peroxisomal biogenesis factor 16)</t>
  </si>
  <si>
    <t>Q9Y5Y5</t>
  </si>
  <si>
    <t>PEX19</t>
  </si>
  <si>
    <t>peroxisomal biogenesis factor 19 (33 kda housekeeping protein) (peroxin-19) (peroxisomal farnesylated protein)</t>
  </si>
  <si>
    <t>P40855</t>
  </si>
  <si>
    <t>PEX26</t>
  </si>
  <si>
    <t>peroxisome assembly protein 26 (peroxin-26)</t>
  </si>
  <si>
    <t>Q7Z412</t>
  </si>
  <si>
    <t>PFKM</t>
  </si>
  <si>
    <t>atp-dependent 6-phosphofructokinase, muscle type (atp-pfk) (pfk-m) (ec 2.7.1.11) (6-phosphofructokinase type a) (phosphofructo-1-kinase isozyme a) (pfk-a) (phosphohexokinase)</t>
  </si>
  <si>
    <t>P08237</t>
  </si>
  <si>
    <t>PFN1</t>
  </si>
  <si>
    <t>profilin-1 (epididymis tissue protein li 184a) (profilin i)</t>
  </si>
  <si>
    <t>P07737</t>
  </si>
  <si>
    <t>PGAM2</t>
  </si>
  <si>
    <t>phosphoglycerate mutase 2 (ec 5.4.2.11) (ec 5.4.2.4) (bpg-dependent pgam 2) (muscle-specific phosphoglycerate mutase) (phosphoglycerate mutase isozyme m) (pgam-m)</t>
  </si>
  <si>
    <t>P15259</t>
  </si>
  <si>
    <t>PGAP3</t>
  </si>
  <si>
    <t>post-gpi attachment to proteins factor 3 (cos16 homolog) (hcos16) (gene coamplified with erbb2 protein) (per1-like domain-containing protein 1)</t>
  </si>
  <si>
    <t>Q96FM1</t>
  </si>
  <si>
    <t>PGBD5</t>
  </si>
  <si>
    <t>piggybac transposable element-derived protein 5 (ec 3.1.-.-) (piggybac domain-related protein 5) (piggybac transposase 5)</t>
  </si>
  <si>
    <t>Q8N414</t>
  </si>
  <si>
    <t>PGK1</t>
  </si>
  <si>
    <t>phosphoglycerate kinase 1 (ec 2.7.2.3) (cell migration-inducing gene 10 protein) (primer recognition protein 2) (prp 2)</t>
  </si>
  <si>
    <t>P00558</t>
  </si>
  <si>
    <t>PGM1</t>
  </si>
  <si>
    <t>phosphoglucomutase-1 (pgm 1) (ec 5.4.2.2) (glucose phosphomutase 1)</t>
  </si>
  <si>
    <t>P36871</t>
  </si>
  <si>
    <t>PGM3</t>
  </si>
  <si>
    <t>phosphoacetylglucosamine mutase (pagm) (ec 5.4.2.3) (acetylglucosamine phosphomutase) (n-acetylglucosamine-phosphate mutase) (phosphoglucomutase-3) (pgm 3)</t>
  </si>
  <si>
    <t>O95394</t>
  </si>
  <si>
    <t>PHEX</t>
  </si>
  <si>
    <t>phosphate-regulating neutral endopeptidase phex (ec 3.4.24.-) (metalloendopeptidase homolog pex) (vitamin d-resistant hypophosphatemic rickets protein) (x-linked hypophosphatemia protein) (hyp)</t>
  </si>
  <si>
    <t>P78562</t>
  </si>
  <si>
    <t>PHF6</t>
  </si>
  <si>
    <t>phd finger protein 6 (phd-like zinc finger protein)</t>
  </si>
  <si>
    <t>Q8IWS0</t>
  </si>
  <si>
    <t>PHF8</t>
  </si>
  <si>
    <t>histone lysine demethylase phf8 (ec 1.14.11.27) (ec 1.14.11.65) (phd finger protein 8) ([histone h3]-dimethyl-l-lysine(36) demethylase phf8) ([histone h3]-dimethyl-l-lysine(9) demethylase phf8)</t>
  </si>
  <si>
    <t>Q9UPP1</t>
  </si>
  <si>
    <t>PHF21A</t>
  </si>
  <si>
    <t>phd finger protein 21a (bhc80a) (braf35-hdac complex protein bhc80)</t>
  </si>
  <si>
    <t>Q96BD5</t>
  </si>
  <si>
    <t>PHF23</t>
  </si>
  <si>
    <t>phd finger protein 23 (pdh-containing protein june-1)</t>
  </si>
  <si>
    <t>Q9BUL5</t>
  </si>
  <si>
    <t>PHGDH</t>
  </si>
  <si>
    <t>d-3-phosphoglycerate dehydrogenase (3-pgdh) (ec 1.1.1.95) (2-oxoglutarate reductase) (ec 1.1.1.399) (malate dehydrogenase) (ec 1.1.1.37)</t>
  </si>
  <si>
    <t>O43175</t>
  </si>
  <si>
    <t>PHKA1</t>
  </si>
  <si>
    <t>phosphorylase b kinase regulatory subunit alpha, skeletal muscle isoform (phosphorylase kinase alpha m subunit)</t>
  </si>
  <si>
    <t>P46020</t>
  </si>
  <si>
    <t>PHKA2</t>
  </si>
  <si>
    <t>phosphorylase b kinase regulatory subunit alpha, liver isoform (phosphorylase kinase alpha l subunit)</t>
  </si>
  <si>
    <t>P46019</t>
  </si>
  <si>
    <t>PHKB</t>
  </si>
  <si>
    <t>phosphorylase b kinase regulatory subunit beta (phosphorylase kinase subunit beta)</t>
  </si>
  <si>
    <t>Q93100</t>
  </si>
  <si>
    <t>PHOX2A</t>
  </si>
  <si>
    <t>paired mesoderm homeobox protein 2a (arix1 homeodomain protein) (aristaless homeobox protein homolog) (paired-like homeobox 2a)</t>
  </si>
  <si>
    <t>O14813</t>
  </si>
  <si>
    <t>PHOX2B</t>
  </si>
  <si>
    <t>paired mesoderm homeobox protein 2b (neuroblastoma phox) (nbphox) (phox2b homeodomain protein) (paired-like homeobox 2b)</t>
  </si>
  <si>
    <t>Q99453</t>
  </si>
  <si>
    <t>PHYH</t>
  </si>
  <si>
    <t>phytanoyl-coa dioxygenase, peroxisomal (ec 1.14.11.18) (phytanic acid oxidase) (phytanoyl-coa alpha-hydroxylase) (phyh)</t>
  </si>
  <si>
    <t>O14832</t>
  </si>
  <si>
    <t>PHYKPL</t>
  </si>
  <si>
    <t>5-phosphohydroxy-l-lysine phospho-lyase (ec 4.2.3.134) (alanine--glyoxylate aminotransferase 2-like 2)</t>
  </si>
  <si>
    <t>Q8IUZ5</t>
  </si>
  <si>
    <t>PI4KA</t>
  </si>
  <si>
    <t>phosphatidylinositol 4-kinase alpha (pi4-kinase alpha) (pi4k-alpha) (ptdins-4-kinase alpha) (ec 2.7.1.67) (phosphatidylinositol 4-kinase iii alpha)</t>
  </si>
  <si>
    <t>P42356</t>
  </si>
  <si>
    <t>PIBF1</t>
  </si>
  <si>
    <t>progesterone-induced-blocking factor 1 (pibf) (centrosomal protein of 90 kda) (cep90)</t>
  </si>
  <si>
    <t>Q8WXW3</t>
  </si>
  <si>
    <t>PICALM</t>
  </si>
  <si>
    <t>phosphatidylinositol-binding clathrin assembly protein (clathrin assembly lymphoid myeloid leukemia protein)</t>
  </si>
  <si>
    <t>Q13492</t>
  </si>
  <si>
    <t>PIEZO1</t>
  </si>
  <si>
    <t>piezo-type mechanosensitive ion channel component 1 (membrane protein induced by beta-amyloid treatment) (mib) (protein fam38a)</t>
  </si>
  <si>
    <t>Q92508</t>
  </si>
  <si>
    <t>PIEZO2</t>
  </si>
  <si>
    <t>piezo-type mechanosensitive ion channel component 2 (protein fam38b)</t>
  </si>
  <si>
    <t>Q9H5I5</t>
  </si>
  <si>
    <t>PIGN</t>
  </si>
  <si>
    <t>gpi ethanolamine phosphate transferase 1 (ec 2.-.-.-) (mcd4 homolog) (phosphatidylinositol-glycan biosynthesis class n protein) (pig-n)</t>
  </si>
  <si>
    <t>O95427</t>
  </si>
  <si>
    <t>PIK3C2A</t>
  </si>
  <si>
    <t>phosphatidylinositol 4-phosphate 3-kinase c2 domain-containing subunit alpha (pi3k-c2-alpha) (ptdins-3-kinase c2 subunit alpha) (ec 2.7.1.137) (ec 2.7.1.153) (ec 2.7.1.154) (phosphoinositide 3-kinase-c2-alpha)</t>
  </si>
  <si>
    <t>O00443</t>
  </si>
  <si>
    <t>PIK3R2</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</si>
  <si>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</si>
  <si>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PIK3R2,PIK3CA</t>
  </si>
  <si>
    <t>O00459</t>
  </si>
  <si>
    <t>PIK3R5</t>
  </si>
  <si>
    <t>phosphoinositide 3-kinase regulatory subunit 5 (pi3-kinase regulatory subunit 5) (pi3-kinase p101 subunit) (phosphatidylinositol 4,5-bisphosphate 3-kinase regulatory subunit) (ptdins-3-kinase regulatory subunit) (protein foap-2) (ptdins-3-kinase p101) (p101-pi3k)</t>
  </si>
  <si>
    <t>PIK3CG,PIK3R5</t>
  </si>
  <si>
    <t>Q8WYR1</t>
  </si>
  <si>
    <t>PIKFYVE</t>
  </si>
  <si>
    <t>1-phosphatidylinositol 3-phosphate 5-kinase (phosphatidylinositol 3-phosphate 5-kinase) (ec 2.7.1.150) (fyve finger-containing phosphoinositide kinase) (pikfyve) (phosphatidylinositol 3-phosphate 5-kinase type iii) (pipkin-iii) (type iii pip kinase) (serine-protein kinase pikfyve) (ec 2.7.11.1)</t>
  </si>
  <si>
    <t>Q9Y2I7</t>
  </si>
  <si>
    <t>PINK1</t>
  </si>
  <si>
    <t>serine/threonine-protein kinase pink1, mitochondrial (ec 2.7.11.1) (brpk) (pten-induced putative kinase protein 1)</t>
  </si>
  <si>
    <t>Q9BXM7</t>
  </si>
  <si>
    <t>PISD</t>
  </si>
  <si>
    <t>phosphatidylserine decarboxylase proenzyme, mitochondrial (ec 4.1.1.65) [cleaved into: phosphatidylserine decarboxylase beta chain; phosphatidylserine decarboxylase alpha chain]</t>
  </si>
  <si>
    <t>Q9UG56</t>
  </si>
  <si>
    <t>PITPNM3</t>
  </si>
  <si>
    <t>membrane-associated phosphatidylinositol transfer protein 3 (phosphatidylinositol transfer protein, membrane-associated 3) (pitpnm 3) (pyk2 n-terminal domain-interacting receptor 1) (nir-1)</t>
  </si>
  <si>
    <t>Q9BZ71</t>
  </si>
  <si>
    <t>PITRM1</t>
  </si>
  <si>
    <t>presequence protease, mitochondrial (hprep) (ec 3.4.24.-) (pitrilysin metalloproteinase 1) (metalloprotease 1) (hmp1)</t>
  </si>
  <si>
    <t>Q5JRX3</t>
  </si>
  <si>
    <t>PITX1</t>
  </si>
  <si>
    <t>pituitary homeobox 1 (hindlimb-expressed homeobox protein backfoot) (homeobox protein pitx1) (paired-like homeodomain transcription factor 1)</t>
  </si>
  <si>
    <t>P78337</t>
  </si>
  <si>
    <t>PITX2</t>
  </si>
  <si>
    <t>pituitary homeobox 2 (all1-responsive protein arp1) (homeobox protein pitx2) (paired-like homeodomain transcription factor 2) (rieg bicoid-related homeobox transcription factor) (solurshin)</t>
  </si>
  <si>
    <t>Q99697</t>
  </si>
  <si>
    <t>PITX3</t>
  </si>
  <si>
    <t>pituitary homeobox 3 (homeobox protein pitx3) (paired-like homeodomain transcription factor 3)</t>
  </si>
  <si>
    <t>O75364</t>
  </si>
  <si>
    <t>PIWIL1</t>
  </si>
  <si>
    <t>piwi-like protein 1 (ec 3.1.26.-)</t>
  </si>
  <si>
    <t>Q96J94</t>
  </si>
  <si>
    <t>pejvakin (autosomal recessive deafness type 59 protein)</t>
  </si>
  <si>
    <t>Q0ZLH3</t>
  </si>
  <si>
    <t>PKD1L1</t>
  </si>
  <si>
    <t>polycystin-1-like protein 1 (polycystin-1l1) (pc1-like 1 protein) (polycystic kidney disease protein 1-like 1)</t>
  </si>
  <si>
    <t>Q8TDX9</t>
  </si>
  <si>
    <t>PKHD1</t>
  </si>
  <si>
    <t>fibrocystin (polycystic kidney and hepatic disease 1 protein) (polyductin) (tigmin)</t>
  </si>
  <si>
    <t>P08F94</t>
  </si>
  <si>
    <t>PKLR</t>
  </si>
  <si>
    <t>pyruvate kinase pklr (ec 2.7.1.40) (pyruvate kinase 1) (pyruvate kinase isozymes l/r) (r-type/l-type pyruvate kinase) (red cell/liver pyruvate kinase)</t>
  </si>
  <si>
    <t>P30613</t>
  </si>
  <si>
    <t>PKP1</t>
  </si>
  <si>
    <t>plakophilin-1 (band 6 protein) (b6p)</t>
  </si>
  <si>
    <t>Q13835</t>
  </si>
  <si>
    <t>PKP2</t>
  </si>
  <si>
    <t>plakophilin-2</t>
  </si>
  <si>
    <t>Q99959</t>
  </si>
  <si>
    <t>PLA2G4A</t>
  </si>
  <si>
    <t>cytosolic phospholipase a2 (cpla2) (phospholipase a2 group iva) [includes: phospholipase a2 (ec 3.1.1.4) (phosphatidylcholine 2-acylhydrolase); lysophospholipase (ec 3.1.1.5)]</t>
  </si>
  <si>
    <t>P47712</t>
  </si>
  <si>
    <t>PLA2G5</t>
  </si>
  <si>
    <t>phospholipase a2 group v (ec 3.1.1.4) (pla2-10) (phosphatidylcholine 2-acylhydrolase 5)</t>
  </si>
  <si>
    <t>P39877</t>
  </si>
  <si>
    <t>PLA2G6</t>
  </si>
  <si>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</si>
  <si>
    <t>O60733</t>
  </si>
  <si>
    <t>PLAG1</t>
  </si>
  <si>
    <t>zinc finger protein plag1 (pleiomorphic adenoma gene 1 protein)</t>
  </si>
  <si>
    <t>Q6DJT9</t>
  </si>
  <si>
    <t>PLAGL1</t>
  </si>
  <si>
    <t>zinc finger protein plagl1 (lost on transformation 1) (lot-1) (pleiomorphic adenoma-like protein 1) (tumor suppressor zac)</t>
  </si>
  <si>
    <t>Q9UM63</t>
  </si>
  <si>
    <t>PLAU</t>
  </si>
  <si>
    <t>urokinase-type plasminogen activator (u-plasminogen activator) (upa) (ec 3.4.21.73) [cleaved into: urokinase-type plasminogen activator long chain a; urokinase-type plasminogen activator short chain a; urokinase-type plasminogen activator chain b]</t>
  </si>
  <si>
    <t>P00749</t>
  </si>
  <si>
    <t>PLCB1</t>
  </si>
  <si>
    <t>1-phosphatidylinositol 4,5-bisphosphate phosphodiesterase beta-1 (ec 3.1.4.11) (plc-154) (phosphoinositide phospholipase c-beta-1) (phospholipase c-i) (plc-i) (phospholipase c-beta-1) (plc-beta-1)</t>
  </si>
  <si>
    <t>Q9NQ66</t>
  </si>
  <si>
    <t>PLCB3</t>
  </si>
  <si>
    <t>1-phosphatidylinositol 4,5-bisphosphate phosphodiesterase beta-3 (ec 3.1.4.11) (phosphoinositide phospholipase c-beta-3) (phospholipase c-beta-3) (plc-beta-3)</t>
  </si>
  <si>
    <t>Q01970</t>
  </si>
  <si>
    <t>PLCB4</t>
  </si>
  <si>
    <t>1-phosphatidylinositol 4,5-bisphosphate phosphodiesterase beta-4 (ec 3.1.4.11) (phosphoinositide phospholipase c-beta-4) (phospholipase c-beta-4) (plc-beta-4)</t>
  </si>
  <si>
    <t>Q15147</t>
  </si>
  <si>
    <t>PLCD1</t>
  </si>
  <si>
    <t>1-phosphatidylinositol 4,5-bisphosphate phosphodiesterase delta-1 (ec 3.1.4.11) (phosphoinositide phospholipase c-delta-1) (phospholipase c-iii) (plc-iii) (phospholipase c-delta-1) (plc-delta-1)</t>
  </si>
  <si>
    <t>P51178</t>
  </si>
  <si>
    <t>PLCE1</t>
  </si>
  <si>
    <t>1-phosphatidylinositol 4,5-bisphosphate phosphodiesterase epsilon-1 (ec 3.1.4.11) (pancreas-enriched phospholipase c) (phosphoinositide phospholipase c-epsilon-1) (phospholipase c-epsilon-1) (plc-epsilon-1)</t>
  </si>
  <si>
    <t>Q9P212</t>
  </si>
  <si>
    <t>PLCG2</t>
  </si>
  <si>
    <t>1-phosphatidylinositol 4,5-bisphosphate phosphodiesterase gamma-2 (ec 3.1.4.11) (phosphoinositide phospholipase c-gamma-2) (phospholipase c-iv) (plc-iv) (phospholipase c-gamma-2) (plc-gamma-2)</t>
  </si>
  <si>
    <t>P16885</t>
  </si>
  <si>
    <t>PLCH1</t>
  </si>
  <si>
    <t>1-phosphatidylinositol 4,5-bisphosphate phosphodiesterase eta-1 (ec 3.1.4.11) (phosphoinositide phospholipase c-eta-1) (phospholipase c-eta-1) (plc-eta-1) (phospholipase c-like protein 3) (plc-l3)</t>
  </si>
  <si>
    <t>Q4KWH8</t>
  </si>
  <si>
    <t>PLCZ1</t>
  </si>
  <si>
    <t>1-phosphatidylinositol 4,5-bisphosphate phosphodiesterase zeta-1 (ec 3.1.4.11) (phosphoinositide phospholipase c-zeta-1) (phospholipase c-zeta-1) (plc-zeta-1) (testis-development protein nyd-sp27)</t>
  </si>
  <si>
    <t>Q86YW0</t>
  </si>
  <si>
    <t>PLD3</t>
  </si>
  <si>
    <t>5'-3' exonuclease pld3 (ec 3.1.16.1) (choline phosphatase 3) (hindiii k4l homolog) (hu-k4) (phosphatidylcholine-hydrolyzing phospholipase d3) (phospholipase d3) (pld 3)</t>
  </si>
  <si>
    <t>Q8IV08</t>
  </si>
  <si>
    <t>PLEC</t>
  </si>
  <si>
    <t>plectin (pcn) (pltn) (hemidesmosomal protein 1) (hd1) (plectin-1)</t>
  </si>
  <si>
    <t>Q15149</t>
  </si>
  <si>
    <t>PLEKHG2</t>
  </si>
  <si>
    <t>pleckstrin homology domain-containing family g member 2 (ph domain-containing family g member 2)</t>
  </si>
  <si>
    <t>Q9H7P9</t>
  </si>
  <si>
    <t>PLEKHG5</t>
  </si>
  <si>
    <t>pleckstrin homology domain-containing family g member 5 (ph domain-containing family g member 5) (guanine nucleotide exchange factor 720) (gef720)</t>
  </si>
  <si>
    <t>O94827</t>
  </si>
  <si>
    <t>PLEKHM1</t>
  </si>
  <si>
    <t>pleckstrin homology domain-containing family m member 1 (ph domain-containing family m member 1) (162 kda adapter protein) (ap162)</t>
  </si>
  <si>
    <t>Q9Y4G2</t>
  </si>
  <si>
    <t>PLIN1</t>
  </si>
  <si>
    <t>perilipin-1 (lipid droplet-associated protein)</t>
  </si>
  <si>
    <t>O60240</t>
  </si>
  <si>
    <t>PLOD1</t>
  </si>
  <si>
    <t>procollagen-lysine,2-oxoglutarate 5-dioxygenase 1 (ec 1.14.11.4) (lysyl hydroxylase 1) (lh1)</t>
  </si>
  <si>
    <t>Q02809</t>
  </si>
  <si>
    <t>PLOD2</t>
  </si>
  <si>
    <t>procollagen-lysine,2-oxoglutarate 5-dioxygenase 2 (ec 1.14.11.4) (lysyl hydroxylase 2) (lh2)</t>
  </si>
  <si>
    <t>O00469</t>
  </si>
  <si>
    <t>PLOD3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</si>
  <si>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</si>
  <si>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O60568</t>
  </si>
  <si>
    <t>PLP1</t>
  </si>
  <si>
    <t>myelin proteolipid protein (plp) (lipophilin)</t>
  </si>
  <si>
    <t>P60201</t>
  </si>
  <si>
    <t>PLS1</t>
  </si>
  <si>
    <t>plastin-1 (intestine-specific plastin) (i-plastin)</t>
  </si>
  <si>
    <t>Q14651</t>
  </si>
  <si>
    <t>PLS3</t>
  </si>
  <si>
    <t>plastin-3 (t-fimbrin) (t-plastin)</t>
  </si>
  <si>
    <t>P13797</t>
  </si>
  <si>
    <t>PLVAP</t>
  </si>
  <si>
    <t>plasmalemma vesicle-associated protein (fenestrated endothelial-linked structure protein) (plasmalemma vesicle protein 1) (pv-1)</t>
  </si>
  <si>
    <t>Q9BX97</t>
  </si>
  <si>
    <t>PLXNA1</t>
  </si>
  <si>
    <t>plexin-a1 (semaphorin receptor nov)</t>
  </si>
  <si>
    <t>Q9UIW2</t>
  </si>
  <si>
    <t>PMFBP1</t>
  </si>
  <si>
    <t>polyamine-modulated factor 1-binding protein 1 (pmf-1-binding protein)</t>
  </si>
  <si>
    <t>Q8TBY8</t>
  </si>
  <si>
    <t>PML</t>
  </si>
  <si>
    <t>protein pml (e3 sumo-protein ligase pml) (ec 2.3.2.-) (promyelocytic leukemia protein) (ring finger protein 71) (ring-type e3 sumo transferase pml) (tripartite motif-containing protein 19) (trim19)</t>
  </si>
  <si>
    <t>P29590</t>
  </si>
  <si>
    <t>PMM2</t>
  </si>
  <si>
    <t>phosphomannomutase 2 (pmm 2) (ec 5.4.2.8)</t>
  </si>
  <si>
    <t>O15305</t>
  </si>
  <si>
    <t>PMP2</t>
  </si>
  <si>
    <t>myelin p2 protein (peripheral myelin protein 2)</t>
  </si>
  <si>
    <t>P02689</t>
  </si>
  <si>
    <t>PMS2</t>
  </si>
  <si>
    <t>mismatch repair endonuclease pms2 (ec 3.1.-.-) (dna mismatch repair protein pms2) (pms1 protein homolog 2)</t>
  </si>
  <si>
    <t>P54278</t>
  </si>
  <si>
    <t>PMVK</t>
  </si>
  <si>
    <t>phosphomevalonate kinase (pmkase) (hpmk) (ec 2.7.4.2)</t>
  </si>
  <si>
    <t>Q15126</t>
  </si>
  <si>
    <t>PNKD</t>
  </si>
  <si>
    <t>probable hydrolase pnkd (ec 3.-.-.-) (myofibrillogenesis regulator 1) (mr-1) (paroxysmal nonkinesiogenic dyskinesia protein) (trans-activated by hepatitis c virus core protein 2)</t>
  </si>
  <si>
    <t>Q8N490</t>
  </si>
  <si>
    <t>PNKP</t>
  </si>
  <si>
    <t>bifunctional polynucleotide phosphatase/kinase (dna 5'-kinase/3'-phosphatase) (polynucleotide kinase-3'-phosphatase) [includes: polynucleotide 3'-phosphatase (ec 3.1.3.32) (2'(3')-polynucleotidase); polynucleotide 5'-hydroxyl-kinase (ec 2.7.1.78)]</t>
  </si>
  <si>
    <t>Q96T60</t>
  </si>
  <si>
    <t>PNLIP</t>
  </si>
  <si>
    <t>pancreatic triacylglycerol lipase (pl) (ptl) (pancreatic lipase) (ec 3.1.1.3)</t>
  </si>
  <si>
    <t>P16233</t>
  </si>
  <si>
    <t>purine nucleoside phosphorylase (pnp) (ec 2.4.2.1) (inosine phosphorylase) (inosine-guanosine phosphorylase)</t>
  </si>
  <si>
    <t>P00491</t>
  </si>
  <si>
    <t>PNPLA2</t>
  </si>
  <si>
    <t>patatin-like phospholipase domain-containing protein 2 (ec 3.1.1.3) (adipose triglyceride lipase) (calcium-independent phospholipase a2-zeta) (ipla2-zeta) (ec 3.1.1.4) (desnutrin) (pigment epithelium-derived factor receptor) (pedf-r) (tts2.2) (transport-secretion protein 2) (tts2)</t>
  </si>
  <si>
    <t>Q96AD5</t>
  </si>
  <si>
    <t>PNPLA3</t>
  </si>
  <si>
    <t>1-acylglycerol-3-phosphate o-acyltransferase pnpla3 (ec 2.3.1.51) (acylglycerol transacylase) (adiponutrin) (adpn) (calcium-independent phospholipase a2-epsilon) (ipla2-epsilon) (ec 3.1.1.4) (lysophosphatidic acid acyltransferase) (patatin-like phospholipase domain-containing protein 3) (ec 3.1.1.3)</t>
  </si>
  <si>
    <t>Q9NST1</t>
  </si>
  <si>
    <t>PNPLA4</t>
  </si>
  <si>
    <t>patatin-like phospholipase domain-containing protein 4 (ec 3.1.1.3) (calcium-independent phospholipase a2-eta) (ipla2-eta) (ec 3.1.1.4) (protein gs2)</t>
  </si>
  <si>
    <t>P41247</t>
  </si>
  <si>
    <t>PNPLA6</t>
  </si>
  <si>
    <t>patatin-like phospholipase domain-containing protein 6 (ec 3.1.1.5) (neuropathy target esterase)</t>
  </si>
  <si>
    <t>Q8IY17</t>
  </si>
  <si>
    <t>PNPLA8</t>
  </si>
  <si>
    <t>calcium-independent phospholipase a2-gamma (ec 3.1.1.-) (ec 3.1.1.5) (intracellular membrane-associated calcium-independent phospholipase a2 gamma) (ipla2-gamma) (pnpla-gamma) (patatin-like phospholipase domain-containing protein 8) (ipla2-2)</t>
  </si>
  <si>
    <t>Q9NP80</t>
  </si>
  <si>
    <t>PNPO</t>
  </si>
  <si>
    <t>pyridoxine-5'-phosphate oxidase (ec 1.4.3.5) (pyridoxamine-phosphate oxidase)</t>
  </si>
  <si>
    <t>Q9NVS9</t>
  </si>
  <si>
    <t>POC1A</t>
  </si>
  <si>
    <t>poc1 centriolar protein homolog a (pix2) (proteome of centriole protein 1a) (wd repeat-containing protein 51a)</t>
  </si>
  <si>
    <t>Q8NBT0</t>
  </si>
  <si>
    <t>POC1B</t>
  </si>
  <si>
    <t>poc1 centriolar protein homolog b (pix1) (proteome of centriole protein 1b) (wd repeat-containing protein 51b)</t>
  </si>
  <si>
    <t>Q8TC44</t>
  </si>
  <si>
    <t>POFUT1</t>
  </si>
  <si>
    <t>gdp-fucose protein o-fucosyltransferase 1 (ec 2.4.1.221) (peptide-o-fucosyltransferase 1) (o-fuct-1)</t>
  </si>
  <si>
    <t>Q9H488</t>
  </si>
  <si>
    <t>POGLUT1</t>
  </si>
  <si>
    <t>protein o-glucosyltransferase 1 (ec 2.4.1.376) (cap10-like 46 kda protein) (hclp46) (ktel motif-containing protein 1) (myelodysplastic syndromes relative protein) (o-glucosyltransferase rumi homolog) (hrumi) (protein o-xylosyltransferase poglut1) (ec 2.4.2.63)</t>
  </si>
  <si>
    <t>Q8NBL1</t>
  </si>
  <si>
    <t>POGZ</t>
  </si>
  <si>
    <t>pogo transposable element with znf domain (suppressor of hairy wing homolog 5) (zinc finger protein 280e) (zinc finger protein 635)</t>
  </si>
  <si>
    <t>Q7Z3K3</t>
  </si>
  <si>
    <t>POLQ</t>
  </si>
  <si>
    <t>dna polymerase theta (dna polymerase eta) [includes: helicase polq (ec 3.6.4.12); dna polymerase polq (ec 2.7.7.7) (rna-directed dna polymerase polq) (ec 2.7.7.49)]</t>
  </si>
  <si>
    <t>O75417</t>
  </si>
  <si>
    <t>POMC</t>
  </si>
  <si>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</si>
  <si>
    <t>P01189</t>
  </si>
  <si>
    <t>POMP</t>
  </si>
  <si>
    <t>proteasome maturation protein (proteassemblin) (protein ump1 homolog) (hump1) (voltage-gated k channel beta subunit 4.1)</t>
  </si>
  <si>
    <t>Q9Y244</t>
  </si>
  <si>
    <t>PON1</t>
  </si>
  <si>
    <t>serum paraoxonase/arylesterase 1 (pon 1) (ec 3.1.1.2) (ec 3.1.1.81) (ec 3.1.8.1) (aromatic esterase 1) (a-esterase 1) (k-45) (serum aryldialkylphosphatase 1)</t>
  </si>
  <si>
    <t>P27169</t>
  </si>
  <si>
    <t>POPDC3</t>
  </si>
  <si>
    <t>popeye domain-containing protein 3 (popeye protein 3)</t>
  </si>
  <si>
    <t>Q9HBV1</t>
  </si>
  <si>
    <t>POR</t>
  </si>
  <si>
    <t>nadph--cytochrome p450 reductase (cpr) (p450r) (ec 1.6.2.4)</t>
  </si>
  <si>
    <t>P16435</t>
  </si>
  <si>
    <t>PORCN</t>
  </si>
  <si>
    <t>protein-serine o-palmitoleoyltransferase porcupine (ec 2.3.1.250) (protein mg61)</t>
  </si>
  <si>
    <t>Q9H237</t>
  </si>
  <si>
    <t>POU1F1</t>
  </si>
  <si>
    <t>pituitary-specific positive transcription factor 1 (pit-1) (growth hormone factor 1) (ghf-1)</t>
  </si>
  <si>
    <t>P28069</t>
  </si>
  <si>
    <t>POU2AF1</t>
  </si>
  <si>
    <t>pou domain class 2-associating factor 1 (b-cell-specific coactivator obf-1) (bob-1) (oca-b) (oct-binding factor 1)</t>
  </si>
  <si>
    <t>Q16633</t>
  </si>
  <si>
    <t>POU3F3</t>
  </si>
  <si>
    <t>pou domain, class 3, transcription factor 3 (brain-specific homeobox/pou domain protein 1) (brain-1) (brn-1) (octamer-binding protein 8) (oct-8) (octamer-binding transcription factor 8) (otf-8)</t>
  </si>
  <si>
    <t>P20264</t>
  </si>
  <si>
    <t>POU4F1</t>
  </si>
  <si>
    <t>pou domain, class 4, transcription factor 1 (brain-specific homeobox/pou domain protein 3a) (brain-3a) (brn-3a) (homeobox/pou domain protein rdc-1) (oct-t1)</t>
  </si>
  <si>
    <t>Q01851</t>
  </si>
  <si>
    <t>POU4F3</t>
  </si>
  <si>
    <t>pou domain, class 4, transcription factor 3 (brain-specific homeobox/pou domain protein 3c) (brain-3c) (brn-3c)</t>
  </si>
  <si>
    <t>Q15319</t>
  </si>
  <si>
    <t>POU6F2</t>
  </si>
  <si>
    <t>pou domain, class 6, transcription factor 2 (retina-derived pou domain factor 1) (rpf-1)</t>
  </si>
  <si>
    <t>P78424</t>
  </si>
  <si>
    <t>PPA2</t>
  </si>
  <si>
    <t>inorganic pyrophosphatase 2, mitochondrial (ec 3.6.1.1) (pyrophosphatase sid6-306) (pyrophosphate phospho-hydrolase 2) (ppase 2)</t>
  </si>
  <si>
    <t>Q9H2U2</t>
  </si>
  <si>
    <t>PPCS</t>
  </si>
  <si>
    <t>phosphopantothenate--cysteine ligase (ec 6.3.2.51) (phosphopantothenoylcysteine synthetase) (ppc synthetase)</t>
  </si>
  <si>
    <t>Q9HAB8</t>
  </si>
  <si>
    <t>PPIB</t>
  </si>
  <si>
    <t>peptidyl-prolyl cis-trans isomerase b (ppiase b) (ec 5.2.1.8) (cyp-s1) (cyclophilin b) (rotamase b) (s-cyclophilin) (scylp)</t>
  </si>
  <si>
    <t>P23284</t>
  </si>
  <si>
    <t>PPIL1</t>
  </si>
  <si>
    <t>peptidyl-prolyl cis-trans isomerase-like 1 (ppiase) (ec 5.2.1.8) (rotamase ppil1)</t>
  </si>
  <si>
    <t>Q9Y3C6</t>
  </si>
  <si>
    <t>PPIP5K2</t>
  </si>
  <si>
    <t>inositol hexakisphosphate and diphosphoinositol-pentakisphosphate kinase 2 (ec 2.7.4.24) (diphosphoinositol pentakisphosphate kinase 2) (histidine acid phosphatase domain-containing protein 1) (insp6 and pp-ip5 kinase 2) (vip1 homolog 2) (hsvip2)</t>
  </si>
  <si>
    <t>O43314</t>
  </si>
  <si>
    <t>PPM1D</t>
  </si>
  <si>
    <t>protein phosphatase 1d (ec 3.1.3.16) (protein phosphatase 2c isoform delta) (pp2c-delta) (protein phosphatase magnesium-dependent 1 delta) (p53-induced protein phosphatase 1)</t>
  </si>
  <si>
    <t>O15297</t>
  </si>
  <si>
    <t>PPM1F</t>
  </si>
  <si>
    <t>protein phosphatase 1f (ec 3.1.3.16) (ca(2+)/calmodulin-dependent protein kinase phosphatase) (cam-kinase phosphatase) (camkpase) (partner of pix 2) (protein fem-2 homolog) (hfem-2)</t>
  </si>
  <si>
    <t>P49593</t>
  </si>
  <si>
    <t>PPOX</t>
  </si>
  <si>
    <t>protoporphyrinogen oxidase (ppo) (ec 1.3.3.4)</t>
  </si>
  <si>
    <t>P50336</t>
  </si>
  <si>
    <t>PPP1CB</t>
  </si>
  <si>
    <t>serine/threonine-protein phosphatase pp1-beta catalytic subunit (pp-1b) (ppp1cd) (ec 3.1.3.16) (ec 3.1.3.53)</t>
  </si>
  <si>
    <t>P62140</t>
  </si>
  <si>
    <t>PPP1R3A</t>
  </si>
  <si>
    <t>protein phosphatase 1 regulatory subunit 3a (protein phosphatase 1 glycogen-associated regulatory subunit) (protein phosphatase type-1 glycogen targeting subunit) (rg1)</t>
  </si>
  <si>
    <t>Q16821</t>
  </si>
  <si>
    <t>PPP1R12A</t>
  </si>
  <si>
    <t>protein phosphatase 1 regulatory subunit 12a (myosin phosphatase-targeting subunit 1) (myosin phosphatase target subunit 1) (protein phosphatase myosin-binding subunit)</t>
  </si>
  <si>
    <t>O14974</t>
  </si>
  <si>
    <t>PPP1R15B</t>
  </si>
  <si>
    <t>protein phosphatase 1 regulatory subunit 15b</t>
  </si>
  <si>
    <t>Q5SWA1</t>
  </si>
  <si>
    <t>PPP2R2B</t>
  </si>
  <si>
    <t>serine/threonine-protein phosphatase 2a 55 kda regulatory subunit b beta isoform (pp2a subunit b isoform b55-beta) (pp2a subunit b isoform pr55-beta) (pp2a subunit b isoform r2-beta) (pp2a subunit b isoform beta)</t>
  </si>
  <si>
    <t>Q00005</t>
  </si>
  <si>
    <t>PPP2R3C</t>
  </si>
  <si>
    <t>serine/threonine-protein phosphatase 2a regulatory subunit b'' subunit gamma (protein phosphatase subunit g5pr) (rhabdomyosarcoma antigen mu-rms-40.6a/6c)</t>
  </si>
  <si>
    <t>Q969Q6</t>
  </si>
  <si>
    <t>PPP2R5D</t>
  </si>
  <si>
    <t>serine/threonine-protein phosphatase 2a 56 kda regulatory subunit delta isoform (pp2a b subunit isoform b'-delta) (pp2a b subunit isoform b56-delta) (pp2a b subunit isoform pr61-delta) (pp2a b subunit isoform r5-delta)</t>
  </si>
  <si>
    <t>Q14738</t>
  </si>
  <si>
    <t>PPT1</t>
  </si>
  <si>
    <t>palmitoyl-protein thioesterase 1 (ppt-1) (ec 3.1.2.22) (palmitoyl-protein hydrolase 1)</t>
  </si>
  <si>
    <t>P50897</t>
  </si>
  <si>
    <t>PQBP1</t>
  </si>
  <si>
    <t>polyglutamine-binding protein 1 (pqbp-1) (38 kda nuclear protein containing a ww domain) (npw38) (polyglutamine tract-binding protein 1)</t>
  </si>
  <si>
    <t>O60828</t>
  </si>
  <si>
    <t>PRCC</t>
  </si>
  <si>
    <t>proline-rich protein prcc (papillary renal cell carcinoma translocation-associated gene protein)</t>
  </si>
  <si>
    <t>Q92733</t>
  </si>
  <si>
    <t>PRCD</t>
  </si>
  <si>
    <t>photoreceptor disk component prcd (progressive rod-cone degeneration protein)</t>
  </si>
  <si>
    <t>Q00LT1</t>
  </si>
  <si>
    <t>PRDM1</t>
  </si>
  <si>
    <t>pr domain zinc finger protein 1 (ec 2.1.1.-) (blimp-1) (beta-interferon gene positive regulatory domain i-binding factor) (pr domain-containing protein 1) (positive regulatory domain i-binding factor 1) (prdi-bf1) (prdi-binding factor 1)</t>
  </si>
  <si>
    <t>O75626</t>
  </si>
  <si>
    <t>PRDM5</t>
  </si>
  <si>
    <t>pr domain zinc finger protein 5 (ec 2.1.1.-) (pr domain-containing protein 5)</t>
  </si>
  <si>
    <t>Q9NQX1</t>
  </si>
  <si>
    <t>PRDM6</t>
  </si>
  <si>
    <t>putative histone-lysine n-methyltransferase prdm6 (ec 2.1.1.361) (pr domain zinc finger protein 6) (pr domain-containing protein 6)</t>
  </si>
  <si>
    <t>Q9NQX0</t>
  </si>
  <si>
    <t>PRDM8</t>
  </si>
  <si>
    <t>pr domain zinc finger protein 8 (ec 2.1.1.-) (pr domain-containing protein 8)</t>
  </si>
  <si>
    <t>Q9NQV8</t>
  </si>
  <si>
    <t>PRDM12</t>
  </si>
  <si>
    <t>pr domain zinc finger protein 12 (ec 2.1.1.-) (pr domain-containing protein 12)</t>
  </si>
  <si>
    <t>Q9H4Q4</t>
  </si>
  <si>
    <t>PRDM13</t>
  </si>
  <si>
    <t>pr domain zinc finger protein 13 (ec 2.1.1.-) (pr domain-containing protein 13)</t>
  </si>
  <si>
    <t>Q9H4Q3</t>
  </si>
  <si>
    <t>PRDM16</t>
  </si>
  <si>
    <t>histone-lysine n-methyltransferase prdm16 (ec 2.1.1.367) (pr domain zinc finger protein 16) (pr domain-containing protein 16) (transcription factor mel1) (mds1/evi1-like gene 1)</t>
  </si>
  <si>
    <t>Q9HAZ2</t>
  </si>
  <si>
    <t>PRDX3</t>
  </si>
  <si>
    <t>thioredoxin-dependent peroxide reductase, mitochondrial (ec 1.11.1.24) (antioxidant protein 1) (aop-1) (hbc189) (peroxiredoxin iii) (prx-iii) (peroxiredoxin-3) (protein mer5 homolog) (thioredoxin-dependent peroxiredoxin 3)</t>
  </si>
  <si>
    <t>P30048</t>
  </si>
  <si>
    <t>PREPL</t>
  </si>
  <si>
    <t>prolyl endopeptidase-like (ec 3.4.21.-) (prolylendopeptidase-like)</t>
  </si>
  <si>
    <t>Q4J6C6</t>
  </si>
  <si>
    <t>PRF1</t>
  </si>
  <si>
    <t>perforin-1 (p1) (cytolysin) (lymphocyte pore-forming protein) (pfp)</t>
  </si>
  <si>
    <t>P14222</t>
  </si>
  <si>
    <t>PRG4</t>
  </si>
  <si>
    <t>proteoglycan 4 (lubricin) (megakaryocyte-stimulating factor) (superficial zone proteoglycan) [cleaved into: proteoglycan 4 c-terminal part]</t>
  </si>
  <si>
    <t>Q92954</t>
  </si>
  <si>
    <t>PRICKLE1</t>
  </si>
  <si>
    <t>prickle-like protein 1 (rest/nrsf-interacting lim domain protein 1)</t>
  </si>
  <si>
    <t>Q96MT3</t>
  </si>
  <si>
    <t>PRIMPOL</t>
  </si>
  <si>
    <t>dna-directed primase/polymerase protein (hprimpol1) (ec 2.7.7.102) (ec 2.7.7.7) (coiled-coil domain-containing protein 111)</t>
  </si>
  <si>
    <t>Q96LW4</t>
  </si>
  <si>
    <t>PRKAR1A</t>
  </si>
  <si>
    <t>camp-dependent protein kinase type i-alpha regulatory subunit (tissue-specific extinguisher 1) (tse1)</t>
  </si>
  <si>
    <t>P10644</t>
  </si>
  <si>
    <t>PRKAR1B</t>
  </si>
  <si>
    <t>camp-dependent protein kinase type i-beta regulatory subunit</t>
  </si>
  <si>
    <t>P31321</t>
  </si>
  <si>
    <t>PRKCSH</t>
  </si>
  <si>
    <t>glucosidase 2 subunit beta (80k-h protein) (glucosidase ii subunit beta) (protein kinase c substrate 60.1 kda protein heavy chain) (pkcsh)</t>
  </si>
  <si>
    <t>P14314</t>
  </si>
  <si>
    <t>PRKN</t>
  </si>
  <si>
    <t>e3 ubiquitin-protein ligase parkin (parkin) (ec 2.3.2.31) (parkin rbr e3 ubiquitin-protein ligase) (parkinson juvenile disease protein 2) (parkinson disease protein 2)</t>
  </si>
  <si>
    <t>O60260</t>
  </si>
  <si>
    <t>PRKRA</t>
  </si>
  <si>
    <t>interferon-inducible double-stranded rna-dependent protein kinase activator a (pkr-associated protein x) (pkr-associating protein x) (protein activator of the interferon-induced protein kinase) (protein kinase, interferon-inducible double-stranded rna-dependent activator)</t>
  </si>
  <si>
    <t>O75569</t>
  </si>
  <si>
    <t>PRLR</t>
  </si>
  <si>
    <t>prolactin receptor (prl-r)</t>
  </si>
  <si>
    <t>P16471</t>
  </si>
  <si>
    <t>PRMT7</t>
  </si>
  <si>
    <t>protein arginine n-methyltransferase 7 (ec 2.1.1.321) (histone-arginine n-methyltransferase prmt7) ([myelin basic protein]-arginine n-methyltransferase prmt7)</t>
  </si>
  <si>
    <t>Q9NVM4</t>
  </si>
  <si>
    <t>PRODH</t>
  </si>
  <si>
    <t>proline dehydrogenase 1, mitochondrial (ec 1.5.5.2) (proline oxidase) (proline oxidase 2) (p53-induced gene 6 protein)</t>
  </si>
  <si>
    <t>O43272</t>
  </si>
  <si>
    <t>PROK2</t>
  </si>
  <si>
    <t>prokineticin-2 (pk2) (protein bv8 homolog)</t>
  </si>
  <si>
    <t>Q9HC23</t>
  </si>
  <si>
    <t>PROKR2</t>
  </si>
  <si>
    <t>prokineticin receptor 2 (pk-r2) (g-protein coupled receptor 73-like 1) (g-protein coupled receptor i5e) (gpr73b) (gprg2)</t>
  </si>
  <si>
    <t>Q8NFJ6</t>
  </si>
  <si>
    <t>PROM1</t>
  </si>
  <si>
    <t>prominin-1 (antigen ac133) (prominin-like protein 1) (cd antigen cd133)</t>
  </si>
  <si>
    <t>O43490</t>
  </si>
  <si>
    <t>PROP1</t>
  </si>
  <si>
    <t>homeobox protein prophet of pit-1 (prop-1) (pituitary-specific homeodomain factor)</t>
  </si>
  <si>
    <t>O75360</t>
  </si>
  <si>
    <t>PROS1</t>
  </si>
  <si>
    <t>vitamin k-dependent protein s</t>
  </si>
  <si>
    <t>P07225</t>
  </si>
  <si>
    <t>PRPF3</t>
  </si>
  <si>
    <t>u4/u6 small nuclear ribonucleoprotein prp3 (pre-mrna-splicing factor 3) (hprp3) (u4/u6 snrnp 90 kda protein)</t>
  </si>
  <si>
    <t>O43395</t>
  </si>
  <si>
    <t>peripherin-2 (retinal degeneration slow protein) (tetraspanin-22) (tspan-22)</t>
  </si>
  <si>
    <t>P23942</t>
  </si>
  <si>
    <t>PRPS1</t>
  </si>
  <si>
    <t>ribose-phosphate pyrophosphokinase 1 (ec 2.7.6.1) (ppribp) (phosphoribosyl pyrophosphate synthase i) (prs-i)</t>
  </si>
  <si>
    <t>P60891</t>
  </si>
  <si>
    <t>PRRT2</t>
  </si>
  <si>
    <t>proline-rich transmembrane protein 2 (dispanin subfamily b member 3) (dspb3)</t>
  </si>
  <si>
    <t>Q7Z6L0</t>
  </si>
  <si>
    <t>PRRX1</t>
  </si>
  <si>
    <t>paired mesoderm homeobox protein 1 (homeobox protein phox1) (paired-related homeobox protein 1) (prx-1)</t>
  </si>
  <si>
    <t>P54821</t>
  </si>
  <si>
    <t>PRSS12</t>
  </si>
  <si>
    <t>neurotrypsin (ec 3.4.21.-) (leydin) (motopsin) (serine protease 12)</t>
  </si>
  <si>
    <t>P56730</t>
  </si>
  <si>
    <t>PRSS37</t>
  </si>
  <si>
    <t>probable inactive serine protease 37 (probable inactive trypsin-x2)</t>
  </si>
  <si>
    <t>A4D1T9</t>
  </si>
  <si>
    <t>PRSS56</t>
  </si>
  <si>
    <t>serine protease 56 (ec 3.4.21.-)</t>
  </si>
  <si>
    <t>P0CW18</t>
  </si>
  <si>
    <t>PRTN3</t>
  </si>
  <si>
    <t>myeloblastin (ec 3.4.21.76) (agp7) (c-anca antigen) (leukocyte proteinase 3) (pr-3) (pr3) (neutrophil proteinase 4) (np-4) (p29) (wegener autoantigen)</t>
  </si>
  <si>
    <t>P24158</t>
  </si>
  <si>
    <t>PRUNE1</t>
  </si>
  <si>
    <t>exopolyphosphatase prune1 (ec 3.6.1.1) (drosophila-related expressed sequence 17) (dres-17) (dres17) (htcd37) (protein prune homolog 1) (hprune)</t>
  </si>
  <si>
    <t>Q86TP1</t>
  </si>
  <si>
    <t>PRX</t>
  </si>
  <si>
    <t>periaxin</t>
  </si>
  <si>
    <t>Q9BXM0</t>
  </si>
  <si>
    <t>PSAP</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</si>
  <si>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</si>
  <si>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P07602</t>
  </si>
  <si>
    <t>PSAT1</t>
  </si>
  <si>
    <t>phosphoserine aminotransferase (ec 2.6.1.52) (phosphohydroxythreonine aminotransferase) (psat)</t>
  </si>
  <si>
    <t>Q9Y617</t>
  </si>
  <si>
    <t>PSIP1</t>
  </si>
  <si>
    <t>pc4 and sfrs1-interacting protein (cll-associated antigen kw-7) (dense fine speckles 70 kda protein) (dfs 70) (lens epithelium-derived growth factor) (transcriptional coactivator p75/p52)</t>
  </si>
  <si>
    <t>O75475</t>
  </si>
  <si>
    <t>PSPH</t>
  </si>
  <si>
    <t>phosphoserine phosphatase (psp) (pspase) (ec 3.1.3.3) (l-3-phosphoserine phosphatase) (o-phosphoserine phosphohydrolase)</t>
  </si>
  <si>
    <t>P78330</t>
  </si>
  <si>
    <t>PSTPIP1</t>
  </si>
  <si>
    <t>proline-serine-threonine phosphatase-interacting protein 1 (pest phosphatase-interacting protein 1) (cd2-binding protein 1) (h-pip)</t>
  </si>
  <si>
    <t>O43586</t>
  </si>
  <si>
    <t>PTCH1</t>
  </si>
  <si>
    <t>protein patched homolog 1 (ptc) (ptc1)</t>
  </si>
  <si>
    <t>Q13635</t>
  </si>
  <si>
    <t>PTCH2</t>
  </si>
  <si>
    <t>protein patched homolog 2 (ptc2)</t>
  </si>
  <si>
    <t>Q9Y6C5</t>
  </si>
  <si>
    <t>PTCHD1</t>
  </si>
  <si>
    <t>patched domain-containing protein 1</t>
  </si>
  <si>
    <t>Q96NR3</t>
  </si>
  <si>
    <t>PTDSS1</t>
  </si>
  <si>
    <t>phosphatidylserine synthase 1 (pss-1) (ptdser synthase 1) (ec 2.7.8.29) (serine-exchange enzyme i)</t>
  </si>
  <si>
    <t>P48651</t>
  </si>
  <si>
    <t>PTF1A</t>
  </si>
  <si>
    <t>pancreas transcription factor 1 subunit alpha (class a basic helix-loop-helix protein 29) (bhlha29) (pancreas-specific transcription factor 1a) (bhlh transcription factor p48) (p48 dna-binding subunit of transcription factor ptf1) (ptf1-p48)</t>
  </si>
  <si>
    <t>Q7RTS3</t>
  </si>
  <si>
    <t>PTGDR</t>
  </si>
  <si>
    <t>prostaglandin d2 receptor (pgd receptor) (pgd2 receptor) (prostanoid dp receptor)</t>
  </si>
  <si>
    <t>Q13258</t>
  </si>
  <si>
    <t>PTGIS</t>
  </si>
  <si>
    <t>prostacyclin synthase (ec 5.3.99.4) (hydroperoxy icosatetraenoate dehydratase) (ec 4.2.1.152) (prostaglandin i2 synthase)</t>
  </si>
  <si>
    <t>Q16647</t>
  </si>
  <si>
    <t>PTH</t>
  </si>
  <si>
    <t>parathyroid hormone (pth) (parathormone) (parathyrin)</t>
  </si>
  <si>
    <t>P01270</t>
  </si>
  <si>
    <t>PTHLH</t>
  </si>
  <si>
    <t>parathyroid hormone-related protein (pth-rp) (pthrp) (parathyroid hormone-like protein) (plp) [cleaved into: pthrp[1-36]; pthrp[38-94]; osteostatin (pthrp[107-139])]</t>
  </si>
  <si>
    <t>P12272</t>
  </si>
  <si>
    <t>PTPN14</t>
  </si>
  <si>
    <t>tyrosine-protein phosphatase non-receptor type 14 (ec 3.1.3.48) (protein-tyrosine phosphatase pez)</t>
  </si>
  <si>
    <t>Q15678</t>
  </si>
  <si>
    <t>PTPN22</t>
  </si>
  <si>
    <t>tyrosine-protein phosphatase non-receptor type 22 (ec 3.1.3.48) (hematopoietic cell protein-tyrosine phosphatase 70z-pep) (lymphoid phosphatase) (lyp) (pest-domain phosphatase) (pep)</t>
  </si>
  <si>
    <t>Q9Y2R2</t>
  </si>
  <si>
    <t>PTPN23</t>
  </si>
  <si>
    <t>tyrosine-protein phosphatase non-receptor type 23 (ec 3.1.3.48) (his domain-containing protein tyrosine phosphatase) (hd-ptp) (protein tyrosine phosphatase td14) (ptp-td14)</t>
  </si>
  <si>
    <t>Q9H3S7</t>
  </si>
  <si>
    <t>PTPRF</t>
  </si>
  <si>
    <t>receptor-type tyrosine-protein phosphatase f (ec 3.1.3.48) (leukocyte common antigen related) (lar)</t>
  </si>
  <si>
    <t>P10586</t>
  </si>
  <si>
    <t>PTPRN</t>
  </si>
  <si>
    <t>receptor-type tyrosine-protein phosphatase-like n (r-ptp-n) (islet cell antigen 512) (ica 512) (islet cell autoantigen 3) (ptp ia-2) [cleaved into: ica512-n-terminal fragment (ica512-ntf); ica512-transmembrane fragment (ica512-tmf); ica512-cleaved cytosolic fragment (ica512-ccf)]</t>
  </si>
  <si>
    <t>Q16849</t>
  </si>
  <si>
    <t>PTPRN2</t>
  </si>
  <si>
    <t>receptor-type tyrosine-protein phosphatase n2 (r-ptp-n2) (ec 3.1.3.-) (ec 3.1.3.48) (islet cell autoantigen-related protein) (iar) (icaar) (phogrin) [cleaved into: ia-2beta60]</t>
  </si>
  <si>
    <t>Q92932</t>
  </si>
  <si>
    <t>PTRH2</t>
  </si>
  <si>
    <t>peptidyl-trna hydrolase 2, mitochondrial (pth 2) (ec 3.1.1.29) (bcl-2 inhibitor of transcription 1)</t>
  </si>
  <si>
    <t>Q9Y3E5</t>
  </si>
  <si>
    <t>PTS</t>
  </si>
  <si>
    <t>6-pyruvoyl tetrahydrobiopterin synthase (ptp synthase) (ptps) (ec 4.2.3.12)</t>
  </si>
  <si>
    <t>Q03393</t>
  </si>
  <si>
    <t>PUF60</t>
  </si>
  <si>
    <t>poly(u)-binding-splicing factor puf60 (60 kda poly(u)-binding-splicing factor) (fuse-binding protein-interacting repressor) (fbp-interacting repressor) (ro-binding protein 1) (robp1) (siah-binding protein 1) (siah-bp1)</t>
  </si>
  <si>
    <t>Q9UHX1</t>
  </si>
  <si>
    <t>PUM1</t>
  </si>
  <si>
    <t>pumilio homolog 1 (hspum) (pumilio-1)</t>
  </si>
  <si>
    <t>Q14671</t>
  </si>
  <si>
    <t>PURA</t>
  </si>
  <si>
    <t>transcriptional activator protein pur-alpha (purine-rich single-stranded dna-binding protein alpha)</t>
  </si>
  <si>
    <t>Q00577</t>
  </si>
  <si>
    <t>PUS1</t>
  </si>
  <si>
    <t>pseudouridylate synthase 1 homolog (ec 5.4.99.-) (trna pseudouridine synthase 1) (ec 5.4.99.12) (trna pseudouridine(38-40) synthase) (trna pseudouridylate synthase i) (trna-uridine isomerase i)</t>
  </si>
  <si>
    <t>Q9Y606</t>
  </si>
  <si>
    <t>PUS3</t>
  </si>
  <si>
    <t>trna pseudouridine(38/39) synthase (ec 5.4.99.45) (trna pseudouridine synthase 3) (trna pseudouridylate synthase 3) (trna-uridine isomerase 3)</t>
  </si>
  <si>
    <t>Q9BZE2</t>
  </si>
  <si>
    <t>PUS7</t>
  </si>
  <si>
    <t>pseudouridylate synthase 7 homolog (ec 5.4.99.-)</t>
  </si>
  <si>
    <t>Q96PZ0</t>
  </si>
  <si>
    <t>PXDN</t>
  </si>
  <si>
    <t>peroxidasin homolog (ec 1.11.2.-) (melanoma-associated antigen mg50) (peroxidasin 1) (hspxd01) (vascular peroxidase 1) (p53-responsive gene 2 protein) [cleaved into: pxdn active fragment]</t>
  </si>
  <si>
    <t>Q92626</t>
  </si>
  <si>
    <t>PYCR2</t>
  </si>
  <si>
    <t>pyrroline-5-carboxylate reductase 2 (p5c reductase 2) (p5cr 2) (ec 1.5.1.2)</t>
  </si>
  <si>
    <t>Q96C36</t>
  </si>
  <si>
    <t>PYROXD1</t>
  </si>
  <si>
    <t>pyridine nucleotide-disulfide oxidoreductase domain-containing protein 1 (ec 1.8.1.-)</t>
  </si>
  <si>
    <t>Q8WU10</t>
  </si>
  <si>
    <t>QDPR</t>
  </si>
  <si>
    <t>dihydropteridine reductase (ec 1.5.1.34) (hdhpr) (quinoid dihydropteridine reductase) (short chain dehydrogenase/reductase family 33c member 1)</t>
  </si>
  <si>
    <t>P09417</t>
  </si>
  <si>
    <t>QRICH1</t>
  </si>
  <si>
    <t>transcriptional regulator qrich1 (glutamine-rich protein 1)</t>
  </si>
  <si>
    <t>Q2TAL8</t>
  </si>
  <si>
    <t>RAB3GAP1</t>
  </si>
  <si>
    <t>rab3 gtpase-activating protein catalytic subunit (rab3 gtpase-activating protein 130 kda subunit) (rab3-gap p130) (rab3-gap)</t>
  </si>
  <si>
    <t>Q15042</t>
  </si>
  <si>
    <t>RAB3GAP2</t>
  </si>
  <si>
    <t>rab3 gtpase-activating protein non-catalytic subunit (rgap-iso) (rab3 gtpase-activating protein 150 kda subunit) (rab3-gap p150) (rab3-gap150) (rab3-gap regulatory subunit)</t>
  </si>
  <si>
    <t>Q9H2M9</t>
  </si>
  <si>
    <t>RAB7A</t>
  </si>
  <si>
    <t>ras-related protein rab-7a (ec 3.6.5.2)</t>
  </si>
  <si>
    <t>P51149</t>
  </si>
  <si>
    <t>RAB11B</t>
  </si>
  <si>
    <t>ras-related protein rab-11b (ec 3.6.5.2) (gtp-binding protein ypt3)</t>
  </si>
  <si>
    <t>Q15907</t>
  </si>
  <si>
    <t>RAB18</t>
  </si>
  <si>
    <t>ras-related protein rab-18</t>
  </si>
  <si>
    <t>Q9NP72</t>
  </si>
  <si>
    <t>RAB23</t>
  </si>
  <si>
    <t>ras-related protein rab-23</t>
  </si>
  <si>
    <t>Q9ULC3</t>
  </si>
  <si>
    <t>RAB33B</t>
  </si>
  <si>
    <t>ras-related protein rab-33b</t>
  </si>
  <si>
    <t>Q9H082</t>
  </si>
  <si>
    <t>RAB39B</t>
  </si>
  <si>
    <t>ras-related protein rab-39b</t>
  </si>
  <si>
    <t>Q96DA2</t>
  </si>
  <si>
    <t>RABGAP1L</t>
  </si>
  <si>
    <t>rab gtpase-activating protein 1-like</t>
  </si>
  <si>
    <t>Q5R372</t>
  </si>
  <si>
    <t>RACGAP1</t>
  </si>
  <si>
    <t>rac gtpase-activating protein 1 (male germ cell racgap) (mgcracgap) (protein cyk4 homolog) (cyk4) (hscyk-4)</t>
  </si>
  <si>
    <t>Q9H0H5</t>
  </si>
  <si>
    <t>RAG1</t>
  </si>
  <si>
    <t>v(d)j recombination-activating protein 1 (rag-1) (ring finger protein 74) [includes: endonuclease rag1 (ec 3.1.-.-); e3 ubiquitin-protein ligase rag1 (ec 2.3.2.27) (ring-type e3 ubiquitin transferase rag1)]</t>
  </si>
  <si>
    <t>P15918</t>
  </si>
  <si>
    <t>RAG2</t>
  </si>
  <si>
    <t>v(d)j recombination-activating protein 2 (rag-2)</t>
  </si>
  <si>
    <t>P55895</t>
  </si>
  <si>
    <t>RALA</t>
  </si>
  <si>
    <t>ras-related protein ral-a (ec 3.6.5.2)</t>
  </si>
  <si>
    <t>P11233</t>
  </si>
  <si>
    <t>RALGAPA1</t>
  </si>
  <si>
    <t>ral gtpase-activating protein subunit alpha-1 (gap-related-interacting partner to e12) (gripe) (gtpase-activating rap/ran-gap domain-like 1) (tuberin-like protein 1) (p240)</t>
  </si>
  <si>
    <t>Q6GYQ0</t>
  </si>
  <si>
    <t>RALGPS2</t>
  </si>
  <si>
    <t>ras-specific guanine nucleotide-releasing factor ralgps2 (ral gef with ph domain and sh3-binding motif 2) (rala exchange factor ralgps2)</t>
  </si>
  <si>
    <t>Q86X27</t>
  </si>
  <si>
    <t>RAP1GDS1</t>
  </si>
  <si>
    <t>rap1 gtpase-gdp dissociation stimulator 1 (exchange factor smggds) (smg gds protein) (smg p21 stimulatory gdp/gtp exchange protein)</t>
  </si>
  <si>
    <t>P52306</t>
  </si>
  <si>
    <t>RAPGEF2</t>
  </si>
  <si>
    <t>rap guanine nucleotide exchange factor 2 (cyclic nucleotide ras gef) (cnrasgef) (neural rap guanine nucleotide exchange protein) (nrap gep) (pdz domain-containing guanine nucleotide exchange factor 1) (pdz-gef1) (ra-gef-1) (ras/rap1-associating gef-1)</t>
  </si>
  <si>
    <t>Q9Y4G8</t>
  </si>
  <si>
    <t>RAPSN</t>
  </si>
  <si>
    <t>43 kda receptor-associated protein of the synapse (rapsyn) (43 kda postsynaptic protein) (acetylcholine receptor-associated 43 kda protein) (ring finger protein 205)</t>
  </si>
  <si>
    <t>Q13702</t>
  </si>
  <si>
    <t>probable arginine--trna ligase, mitochondrial (ec 6.1.1.19) (arginyl-trna synthetase) (argrs)</t>
  </si>
  <si>
    <t>Q5T160</t>
  </si>
  <si>
    <t>RASA1</t>
  </si>
  <si>
    <t>ras gtpase-activating protein 1 (gap) (gtpase-activating protein) (rasgap) (ras p21 protein activator) (p120gap)</t>
  </si>
  <si>
    <t>P20936</t>
  </si>
  <si>
    <t>RASGRP1</t>
  </si>
  <si>
    <t>ras guanyl-releasing protein 1 (calcium and dag-regulated guanine nucleotide exchange factor ii) (caldag-gefii) (ras guanyl-releasing protein)</t>
  </si>
  <si>
    <t>O95267</t>
  </si>
  <si>
    <t>RASGRP2</t>
  </si>
  <si>
    <t>ras guanyl-releasing protein 2 (calcium and dag-regulated guanine nucleotide exchange factor i) (caldag-gefi) (cdc25-like protein) (hcdc25l) (f25b3.3 kinase-like protein)</t>
  </si>
  <si>
    <t>Q7LDG7</t>
  </si>
  <si>
    <t>RASSF8</t>
  </si>
  <si>
    <t>ras association domain-containing protein 8 (carcinoma-associated protein hoj-1)</t>
  </si>
  <si>
    <t>Q8NHQ8</t>
  </si>
  <si>
    <t>RAX2</t>
  </si>
  <si>
    <t>retina and anterior neural fold homeobox protein 2 (q50-type retinal homeobox protein) (retina and anterior neural fold homeobox-like protein 1)</t>
  </si>
  <si>
    <t>Q96IS3</t>
  </si>
  <si>
    <t>RBM10</t>
  </si>
  <si>
    <t>rna-binding protein 10 (g patch domain-containing protein 9) (rna-binding motif protein 10) (rna-binding protein s1-1) (s1-1)</t>
  </si>
  <si>
    <t>P98175</t>
  </si>
  <si>
    <t>RBM12</t>
  </si>
  <si>
    <t>rna-binding protein 12 (rna-binding motif protein 12) (sh3/ww domain anchor protein in the nucleus) (swan)</t>
  </si>
  <si>
    <t>Q9NTZ6</t>
  </si>
  <si>
    <t>RBM15</t>
  </si>
  <si>
    <t>rna-binding protein 15 (one-twenty two protein 1) (rna-binding motif protein 15)</t>
  </si>
  <si>
    <t>Q96T37</t>
  </si>
  <si>
    <t>RBM20</t>
  </si>
  <si>
    <t>rna-binding protein 20 (rna-binding motif protein 20)</t>
  </si>
  <si>
    <t>Q5T481</t>
  </si>
  <si>
    <t>RBM28</t>
  </si>
  <si>
    <t>rna-binding protein 28 (rna-binding motif protein 28)</t>
  </si>
  <si>
    <t>Q9NW13</t>
  </si>
  <si>
    <t>RBMX</t>
  </si>
  <si>
    <t>rna-binding motif protein, x chromosome (glycoprotein p43) (heterogeneous nuclear ribonucleoprotein g) (hnrnp g) [cleaved into: rna-binding motif protein, x chromosome, n-terminally processed]</t>
  </si>
  <si>
    <t>P38159</t>
  </si>
  <si>
    <t>RBP3</t>
  </si>
  <si>
    <t>retinol-binding protein 3 (interphotoreceptor retinoid-binding protein) (irbp) (interstitial retinol-binding protein)</t>
  </si>
  <si>
    <t>P10745</t>
  </si>
  <si>
    <t>RC3H1</t>
  </si>
  <si>
    <t>roquin-1 (roquin) (ec 2.3.2.27) (ring finger and c3h zinc finger protein 1) (ring finger and ccch-type zinc finger domain-containing protein 1) (ring finger protein 198)</t>
  </si>
  <si>
    <t>Q5TC82</t>
  </si>
  <si>
    <t>RCBTB1</t>
  </si>
  <si>
    <t>rcc1 and btb domain-containing protein 1 (chronic lymphocytic leukemia deletion region gene 7 protein) (cll deletion region gene 7 protein) (regulator of chromosome condensation and btb domain-containing protein 1)</t>
  </si>
  <si>
    <t>Q8NDN9</t>
  </si>
  <si>
    <t>RCC1L</t>
  </si>
  <si>
    <t>rcc1-like g exchanging factor-like protein (rcc1-like protein) (williams-beuren syndrome chromosomal region 16 protein)</t>
  </si>
  <si>
    <t>Q96I51</t>
  </si>
  <si>
    <t>protein rd3 (retinal degeneration protein 3)</t>
  </si>
  <si>
    <t>Q7Z3Z2</t>
  </si>
  <si>
    <t>retinol dehydrogenase 5 (ec 1.1.1.209) (ec 1.1.1.315) (ec 1.1.1.53) (11-cis retinol dehydrogenase) (11-cis rdh) (11-cis rodh) (9-cis retinol dehydrogenase) (9crdh) (short chain dehydrogenase/reductase family 9c member 5)</t>
  </si>
  <si>
    <t>Q92781</t>
  </si>
  <si>
    <t>RDH11</t>
  </si>
  <si>
    <t>retinol dehydrogenase 11 (ec 1.1.1.300) (androgen-regulated short-chain dehydrogenase/reductase 1) (hcv core-binding protein hcbp12) (prostate short-chain dehydrogenase/reductase 1) (retinal reductase 1) (ralr1) (short chain dehydrogenase/reductase family 7c member 1)</t>
  </si>
  <si>
    <t>Q8TC12</t>
  </si>
  <si>
    <t>RDH12</t>
  </si>
  <si>
    <t>retinol dehydrogenase 12 (ec 1.1.1.300) (all-trans and 9-cis retinol dehydrogenase) (short chain dehydrogenase/reductase family 7c member 2)</t>
  </si>
  <si>
    <t>Q96NR8</t>
  </si>
  <si>
    <t>RDX</t>
  </si>
  <si>
    <t>radixin</t>
  </si>
  <si>
    <t>P35241</t>
  </si>
  <si>
    <t>RECQL4</t>
  </si>
  <si>
    <t>atp-dependent dna helicase q4 (ec 5.6.2.4) (dna 3'-5' helicase recq4) (dna helicase, recq-like type 4) (recq4) (rts) (recq protein-like 4)</t>
  </si>
  <si>
    <t>O94761</t>
  </si>
  <si>
    <t>REEP1</t>
  </si>
  <si>
    <t>receptor expression-enhancing protein 1 (spastic paraplegia 31 protein)</t>
  </si>
  <si>
    <t>Q9H902</t>
  </si>
  <si>
    <t>REEP6</t>
  </si>
  <si>
    <t>receptor expression-enhancing protein 6 (polyposis locus protein 1-like 1)</t>
  </si>
  <si>
    <t>Q96HR9</t>
  </si>
  <si>
    <t>RELT</t>
  </si>
  <si>
    <t>tumor necrosis factor receptor superfamily member 19l (receptor expressed in lymphoid tissues)</t>
  </si>
  <si>
    <t>Q969Z4</t>
  </si>
  <si>
    <t>REPS1</t>
  </si>
  <si>
    <t>ralbp1-associated eps domain-containing protein 1 (ralbp1-interacting protein 1)</t>
  </si>
  <si>
    <t>Q96D71</t>
  </si>
  <si>
    <t>RERE</t>
  </si>
  <si>
    <t>arginine-glutamic acid dipeptide repeats protein (atrophin-1-like protein) (atrophin-1-related protein)</t>
  </si>
  <si>
    <t>Q9P2R6</t>
  </si>
  <si>
    <t>REST</t>
  </si>
  <si>
    <t>re1-silencing transcription factor (neural-restrictive silencer factor) (x2 box repressor)</t>
  </si>
  <si>
    <t>Q13127</t>
  </si>
  <si>
    <t>RETREG1</t>
  </si>
  <si>
    <t>reticulophagy regulator 1 (reticulophagy receptor 1)</t>
  </si>
  <si>
    <t>Q9H6L5</t>
  </si>
  <si>
    <t>RFT1</t>
  </si>
  <si>
    <t>man(5)glcnac(2)-pp-dolichol translocation protein rft1 (protein rft1 homolog)</t>
  </si>
  <si>
    <t>Q96AA3</t>
  </si>
  <si>
    <t>RFWD3</t>
  </si>
  <si>
    <t>e3 ubiquitin-protein ligase rfwd3 (ec 2.3.2.27) (ring finger and wd repeat domain-containing protein 3) (ring finger protein 201)</t>
  </si>
  <si>
    <t>Q6PCD5</t>
  </si>
  <si>
    <t>RFX6</t>
  </si>
  <si>
    <t>dna-binding protein rfx6 (regulatory factor x 6) (regulatory factor x domain-containing protein 1)</t>
  </si>
  <si>
    <t>Q8HWS3</t>
  </si>
  <si>
    <t>RGR</t>
  </si>
  <si>
    <t>rpe-retinal g protein-coupled receptor</t>
  </si>
  <si>
    <t>P47804</t>
  </si>
  <si>
    <t>RGS9</t>
  </si>
  <si>
    <t>regulator of g-protein signaling 9 (rgs9)</t>
  </si>
  <si>
    <t>O75916</t>
  </si>
  <si>
    <t>RGS9BP</t>
  </si>
  <si>
    <t>regulator of g-protein signaling 9-binding protein (rgs9-anchoring protein)</t>
  </si>
  <si>
    <t>Q6ZS82</t>
  </si>
  <si>
    <t>RHAG</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</si>
  <si>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</si>
  <si>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Q02094</t>
  </si>
  <si>
    <t>RHCE</t>
  </si>
  <si>
    <t>blood group rh(ce) polypeptide (rh polypeptide 1) (rhpi) (rh30a) (rhixb) (rhesus c/e antigens) (cd antigen cd240ce)</t>
  </si>
  <si>
    <t>P18577</t>
  </si>
  <si>
    <t>RHD</t>
  </si>
  <si>
    <t>blood group rh(d) polypeptide (rhxiii) (rh polypeptide 2) (rhpii) (rhesus d antigen) (cd antigen cd240d)</t>
  </si>
  <si>
    <t>Q02161</t>
  </si>
  <si>
    <t>RHO</t>
  </si>
  <si>
    <t>rhodopsin (opsin-2)</t>
  </si>
  <si>
    <t>P08100</t>
  </si>
  <si>
    <t>RHOA</t>
  </si>
  <si>
    <t>transforming protein rhoa (ec 3.6.5.2) (rho cdna clone 12) (h12)</t>
  </si>
  <si>
    <t>P61586</t>
  </si>
  <si>
    <t>RHOBTB2</t>
  </si>
  <si>
    <t>rho-related btb domain-containing protein 2 (deleted in breast cancer 2 gene protein) (p83)</t>
  </si>
  <si>
    <t>Q9BYZ6</t>
  </si>
  <si>
    <t>RHOH</t>
  </si>
  <si>
    <t>rho-related gtp-binding protein rhoh (gtp-binding protein ttf) (translocation three four protein)</t>
  </si>
  <si>
    <t>Q15669</t>
  </si>
  <si>
    <t>RIC1</t>
  </si>
  <si>
    <t>guanine nucleotide exchange factor subunit ric1 (connexin-43-interacting protein of 150 kda) (protein ric1 homolog) (rab6a-gef complex partner protein 1)</t>
  </si>
  <si>
    <t>Q4ADV7</t>
  </si>
  <si>
    <t>RILPL1</t>
  </si>
  <si>
    <t>rilp-like protein 1 (rab-interacting lysosomal-like protein 1)</t>
  </si>
  <si>
    <t>Q5EBL4</t>
  </si>
  <si>
    <t>RIMS1</t>
  </si>
  <si>
    <t>regulating synaptic membrane exocytosis protein 1 (rab-3-interacting molecule 1) (rim 1) (rab-3-interacting protein 2)</t>
  </si>
  <si>
    <t>Q86UR5</t>
  </si>
  <si>
    <t>RIMS2</t>
  </si>
  <si>
    <t>regulating synaptic membrane exocytosis protein 2 (rab-3-interacting molecule 2) (rim 2) (rab-3-interacting protein 3)</t>
  </si>
  <si>
    <t>Q9UQ26</t>
  </si>
  <si>
    <t>RIN2</t>
  </si>
  <si>
    <t>ras and rab interactor 2 (ras association domain family 4) (ras inhibitor jc265) (ras interaction/interference protein 2)</t>
  </si>
  <si>
    <t>Q8WYP3</t>
  </si>
  <si>
    <t>RIPOR2</t>
  </si>
  <si>
    <t>rho family-interacting cell polarization regulator 2</t>
  </si>
  <si>
    <t>Q9Y4F9</t>
  </si>
  <si>
    <t>RIT1</t>
  </si>
  <si>
    <t>gtp-binding protein rit1 (ec 3.6.5.2) (ras-like protein expressed in many tissues) (ras-like without caax protein 1)</t>
  </si>
  <si>
    <t>Q92963</t>
  </si>
  <si>
    <t>RLBP1</t>
  </si>
  <si>
    <t>retinaldehyde-binding protein 1 (cellular retinaldehyde-binding protein)</t>
  </si>
  <si>
    <t>P12271</t>
  </si>
  <si>
    <t>RLIM</t>
  </si>
  <si>
    <t>e3 ubiquitin-protein ligase rlim (ec 2.3.2.27) (lim domain-interacting ring finger protein) (ring finger lim domain-binding protein) (r-lim) (ring finger protein 12) (ring-type e3 ubiquitin transferase rlim) (renal carcinoma antigen ny-ren-43)</t>
  </si>
  <si>
    <t>Q9NVW2</t>
  </si>
  <si>
    <t>RNASEH1</t>
  </si>
  <si>
    <t>ribonuclease h1 (rnase h1) (ec 3.1.26.4) (ribonuclease h type ii)</t>
  </si>
  <si>
    <t>O60930</t>
  </si>
  <si>
    <t>RNASET2</t>
  </si>
  <si>
    <t>ribonuclease t2 (ec 4.6.1.19) (ribonuclease 6)</t>
  </si>
  <si>
    <t>O00584</t>
  </si>
  <si>
    <t>RNF6</t>
  </si>
  <si>
    <t>e3 ubiquitin-protein ligase rnf6 (ec 2.3.2.27)</t>
  </si>
  <si>
    <t>Q9Y252</t>
  </si>
  <si>
    <t>RNF13</t>
  </si>
  <si>
    <t>e3 ubiquitin-protein ligase rnf13 (ec 2.3.2.27) (ring finger protein 13)</t>
  </si>
  <si>
    <t>O43567</t>
  </si>
  <si>
    <t>RNF43</t>
  </si>
  <si>
    <t>e3 ubiquitin-protein ligase rnf43 (ec 2.3.2.27) (ring finger protein 43) (ring-type e3 ubiquitin transferase rnf43)</t>
  </si>
  <si>
    <t>Q68DV7</t>
  </si>
  <si>
    <t>RNF113A</t>
  </si>
  <si>
    <t>e3 ubiquitin-protein ligase rnf113a (ec 2.3.2.27) (cwc24 homolog) (ring finger protein 113a) (zinc finger protein 183)</t>
  </si>
  <si>
    <t>O15541</t>
  </si>
  <si>
    <t>RNF125</t>
  </si>
  <si>
    <t>e3 ubiquitin-protein ligase rnf125 (ec 2.3.2.27) (ring finger protein 125) (t-cell ring activation protein 1) (trac-1)</t>
  </si>
  <si>
    <t>Q96EQ8</t>
  </si>
  <si>
    <t>RNF139</t>
  </si>
  <si>
    <t>e3 ubiquitin-protein ligase rnf139 (ec 2.3.2.27) (ring finger protein 139) (ring-type e3 ubiquitin transferase rnf139) (translocation in renal carcinoma on chromosome 8 protein)</t>
  </si>
  <si>
    <t>Q8WU17</t>
  </si>
  <si>
    <t>RNF146</t>
  </si>
  <si>
    <t>e3 ubiquitin-protein ligase rnf146 (ec 2.3.2.27) (dactylidin) (iduna) (ring finger protein 146) (ring-type e3 ubiquitin transferase rnf146)</t>
  </si>
  <si>
    <t>Q9NTX7</t>
  </si>
  <si>
    <t>RNF168</t>
  </si>
  <si>
    <t>e3 ubiquitin-protein ligase rnf168 (hrnf168) (ec 2.3.2.27) (ring finger protein 168) (ring-type e3 ubiquitin transferase rnf168)</t>
  </si>
  <si>
    <t>Q8IYW5</t>
  </si>
  <si>
    <t>RNF213</t>
  </si>
  <si>
    <t>e3 ubiquitin-protein ligase rnf213 (ec 2.3.2.27) (ec 3.6.4.-) (alk lymphoma oligomerization partner on chromosome 17) (e3 ubiquitin-lipopolysaccharide ligase rnf213) (ec 2.3.2.-) (mysterin) (ring finger protein 213)</t>
  </si>
  <si>
    <t>Q63HN8</t>
  </si>
  <si>
    <t>RNF216</t>
  </si>
  <si>
    <t>e3 ubiquitin-protein ligase rnf216 (ec 2.3.2.27) (ring finger protein 216) (ring-type e3 ubiquitin transferase rnf216) (triad domain-containing protein 3) (ubiquitin-conjugating enzyme 7-interacting protein 1) (zinc finger protein inhibiting nf-kappa-b)</t>
  </si>
  <si>
    <t>Q9NWF9</t>
  </si>
  <si>
    <t>RNF220</t>
  </si>
  <si>
    <t>e3 ubiquitin-protein ligase rnf220 (ec 2.3.2.27) (ring finger protein 220) (ring-type e3 ubiquitin transferase rnf220)</t>
  </si>
  <si>
    <t>Q5VTB9</t>
  </si>
  <si>
    <t>RNPC3</t>
  </si>
  <si>
    <t>rna-binding region-containing protein 3 (rna-binding motif protein 40) (rna-binding protein 40) (u11/u12 small nuclear ribonucleoprotein 65 kda protein) (u11/u12 snrnp 65 kda protein) (u11/u12-65k)</t>
  </si>
  <si>
    <t>Q96LT9</t>
  </si>
  <si>
    <t>ROBO2</t>
  </si>
  <si>
    <t>roundabout homolog 2</t>
  </si>
  <si>
    <t>Q9HCK4</t>
  </si>
  <si>
    <t>ROBO3</t>
  </si>
  <si>
    <t>roundabout homolog 3 (roundabout-like protein 3)</t>
  </si>
  <si>
    <t>Q96MS0</t>
  </si>
  <si>
    <t>ROBO4</t>
  </si>
  <si>
    <t>roundabout homolog 4 (magic roundabout)</t>
  </si>
  <si>
    <t>Q8WZ75</t>
  </si>
  <si>
    <t>rod outer segment membrane protein 1 (rosp1) (tetraspanin-23) (tspan-23)</t>
  </si>
  <si>
    <t>Q03395</t>
  </si>
  <si>
    <t>ROR1</t>
  </si>
  <si>
    <t>inactive tyrosine-protein kinase transmembrane receptor ror1 (neurotrophic tyrosine kinase, receptor-related 1)</t>
  </si>
  <si>
    <t>Q01973</t>
  </si>
  <si>
    <t>ROR2</t>
  </si>
  <si>
    <t>tyrosine-protein kinase transmembrane receptor ror2 (ec 2.7.10.1) (neurotrophic tyrosine kinase, receptor-related 2)</t>
  </si>
  <si>
    <t>Q01974</t>
  </si>
  <si>
    <t>RORA</t>
  </si>
  <si>
    <t>nuclear receptor ror-alpha (nuclear receptor rzr-alpha) (nuclear receptor subfamily 1 group f member 1) (rar-related orphan receptor a) (retinoid-related orphan receptor-alpha)</t>
  </si>
  <si>
    <t>P35398</t>
  </si>
  <si>
    <t>RORB</t>
  </si>
  <si>
    <t>nuclear receptor ror-beta (nuclear receptor rzr-beta) (nuclear receptor subfamily 1 group f member 2) (retinoid-related orphan receptor-beta)</t>
  </si>
  <si>
    <t>Q92753</t>
  </si>
  <si>
    <t>RP1L1</t>
  </si>
  <si>
    <t>retinitis pigmentosa 1-like 1 protein</t>
  </si>
  <si>
    <t>Q8IWN7</t>
  </si>
  <si>
    <t>RP2</t>
  </si>
  <si>
    <t>protein xrp2</t>
  </si>
  <si>
    <t>O75695</t>
  </si>
  <si>
    <t>RP9</t>
  </si>
  <si>
    <t>retinitis pigmentosa 9 protein (pim-1-associated protein) (pap-1)</t>
  </si>
  <si>
    <t>Q8TA86</t>
  </si>
  <si>
    <t>retinoid isomerohydrolase (ec 3.1.1.64) (all-trans-retinyl-palmitate hydrolase) (lutein isomerase) (meso-zeaxanthin isomerase) (ec 5.3.3.22) (retinal pigment epithelium-specific 65 kda protein) (retinol isomerase)</t>
  </si>
  <si>
    <t>Q16518</t>
  </si>
  <si>
    <t>RPGR</t>
  </si>
  <si>
    <t>x-linked retinitis pigmentosa gtpase regulator</t>
  </si>
  <si>
    <t>Q92834</t>
  </si>
  <si>
    <t>RPGRIP1</t>
  </si>
  <si>
    <t>x-linked retinitis pigmentosa gtpase regulator-interacting protein 1 (rpgr-interacting protein 1)</t>
  </si>
  <si>
    <t>Q96KN7</t>
  </si>
  <si>
    <t>RPIA</t>
  </si>
  <si>
    <t>ribose-5-phosphate isomerase (ec 5.3.1.6) (phosphoriboisomerase)</t>
  </si>
  <si>
    <t>P49247</t>
  </si>
  <si>
    <t>RPL26</t>
  </si>
  <si>
    <t>large ribosomal subunit protein ul24 (60s ribosomal protein l26)</t>
  </si>
  <si>
    <t>P61254</t>
  </si>
  <si>
    <t>RPS27</t>
  </si>
  <si>
    <t>small ribosomal subunit protein es27 (40s ribosomal protein s27) (metallopan-stimulin 1) (mps-1)</t>
  </si>
  <si>
    <t>P42677</t>
  </si>
  <si>
    <t>RRAS2</t>
  </si>
  <si>
    <t>ras-related protein r-ras2 (ec 3.6.5.-) (ras-like protein tc21) (teratocarcinoma oncogene)</t>
  </si>
  <si>
    <t>P62070</t>
  </si>
  <si>
    <t>RS1</t>
  </si>
  <si>
    <t>retinoschisin (x-linked juvenile retinoschisis protein)</t>
  </si>
  <si>
    <t>O15537</t>
  </si>
  <si>
    <t>RSPO1</t>
  </si>
  <si>
    <t>r-spondin-1 (roof plate-specific spondin-1) (hrspo1)</t>
  </si>
  <si>
    <t>Q2MKA7</t>
  </si>
  <si>
    <t>RSPO2</t>
  </si>
  <si>
    <t>r-spondin-2 (roof plate-specific spondin-2) (hrspo2)</t>
  </si>
  <si>
    <t>Q6UXX9</t>
  </si>
  <si>
    <t>RSPO4</t>
  </si>
  <si>
    <t>r-spondin-4 (roof plate-specific spondin-4) (hrspo4)</t>
  </si>
  <si>
    <t>Q2I0M5</t>
  </si>
  <si>
    <t>RSPRY1</t>
  </si>
  <si>
    <t>ring finger and spry domain-containing protein 1</t>
  </si>
  <si>
    <t>Q96DX4</t>
  </si>
  <si>
    <t>RSRC1</t>
  </si>
  <si>
    <t>serine/arginine-related protein 53 (srrp53) (arginine/serine-rich coiled-coil protein 1)</t>
  </si>
  <si>
    <t>Q96IZ7</t>
  </si>
  <si>
    <t>RTEL1</t>
  </si>
  <si>
    <t>regulator of telomere elongation helicase 1 (ec 3.6.4.12) (novel helicase-like)</t>
  </si>
  <si>
    <t>Q9NZ71</t>
  </si>
  <si>
    <t>RTN2</t>
  </si>
  <si>
    <t>reticulon-2 (neuroendocrine-specific protein-like 1) (nsp-like protein 1) (neuroendocrine-specific protein-like i) (nsp-like protein i) (nspli)</t>
  </si>
  <si>
    <t>O75298</t>
  </si>
  <si>
    <t>RTN4IP1</t>
  </si>
  <si>
    <t>reticulon-4-interacting protein 1, mitochondrial (nogo-interacting mitochondrial protein)</t>
  </si>
  <si>
    <t>Q8WWV3</t>
  </si>
  <si>
    <t>RTN4R</t>
  </si>
  <si>
    <t>reticulon-4 receptor (nogo receptor) (ngr) (nogo-66 receptor)</t>
  </si>
  <si>
    <t>Q9BZR6</t>
  </si>
  <si>
    <t>RTTN</t>
  </si>
  <si>
    <t>rotatin</t>
  </si>
  <si>
    <t>Q86VV8</t>
  </si>
  <si>
    <t>RUBCN</t>
  </si>
  <si>
    <t>run domain beclin-1-interacting and cysteine-rich domain-containing protein (rubicon) (beclin-1 associated run domain containing protein) (baron)</t>
  </si>
  <si>
    <t>Q92622</t>
  </si>
  <si>
    <t>RUNX1</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</si>
  <si>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</si>
  <si>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Q01196</t>
  </si>
  <si>
    <t>RUNX1T1</t>
  </si>
  <si>
    <t>protein cbfa2t1 (cyclin-d-related protein) (eight twenty one protein) (protein eto) (protein mtg8) (zinc finger mynd domain-containing protein 2)</t>
  </si>
  <si>
    <t>Q06455</t>
  </si>
  <si>
    <t>RUNX2</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</si>
  <si>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</si>
  <si>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Q13950</t>
  </si>
  <si>
    <t>RUSC2</t>
  </si>
  <si>
    <t>ap-4 complex accessory subunit rusc2 (interacting protein of rab1) (iporin) (run and sh3 domain-containing protein 2)</t>
  </si>
  <si>
    <t>Q8N2Y8</t>
  </si>
  <si>
    <t>RXFP2</t>
  </si>
  <si>
    <t>relaxin receptor 2 (g-protein coupled receptor 106) (g-protein coupled receptor affecting testicular descent) (leucine-rich repeat-containing g-protein coupled receptor 8) (relaxin family peptide receptor 2)</t>
  </si>
  <si>
    <t>Q8WXD0</t>
  </si>
  <si>
    <t>S1PR2</t>
  </si>
  <si>
    <t>sphingosine 1-phosphate receptor 2 (s1p receptor 2) (s1p2) (endothelial differentiation g-protein coupled receptor 5) (sphingosine 1-phosphate receptor edg-5) (s1p receptor edg-5)</t>
  </si>
  <si>
    <t>O95136</t>
  </si>
  <si>
    <t>SAA1</t>
  </si>
  <si>
    <t>serum amyloid a-1 protein (saa) [cleaved into: amyloid protein a (amyloid fibril protein aa); serum amyloid protein a(2-104); serum amyloid protein a(3-104); serum amyloid protein a(2-103); serum amyloid protein a(2-102); serum amyloid protein a(4-101)]</t>
  </si>
  <si>
    <t>P0DJI8</t>
  </si>
  <si>
    <t>SAA2</t>
  </si>
  <si>
    <t>serum amyloid a-2 protein (saa2) [cleaved into: amyloid a2 protein (aa2)]</t>
  </si>
  <si>
    <t>P0DJI9</t>
  </si>
  <si>
    <t>SACS</t>
  </si>
  <si>
    <t>sacsin (dnaj homolog subfamily c member 29)</t>
  </si>
  <si>
    <t>Q9NZJ4</t>
  </si>
  <si>
    <t>SAG</t>
  </si>
  <si>
    <t>s-arrestin (48 kda protein) (retinal s-antigen) (s-ag) (rod photoreceptor arrestin)</t>
  </si>
  <si>
    <t>P10523</t>
  </si>
  <si>
    <t>SALL1</t>
  </si>
  <si>
    <t>sal-like protein 1 (spalt-like transcription factor 1) (zinc finger protein 794) (zinc finger protein sall1) (zinc finger protein spalt-1) (hsal1) (sal-1)</t>
  </si>
  <si>
    <t>Q9NSC2</t>
  </si>
  <si>
    <t>SALL2</t>
  </si>
  <si>
    <t>sal-like protein 2 (zinc finger protein 795) (zinc finger protein sall2) (zinc finger protein spalt-2) (sal-2) (hsal2)</t>
  </si>
  <si>
    <t>Q9Y467</t>
  </si>
  <si>
    <t>SALL4</t>
  </si>
  <si>
    <t>sal-like protein 4 (zinc finger protein 797) (zinc finger protein sall4)</t>
  </si>
  <si>
    <t>Q9UJQ4</t>
  </si>
  <si>
    <t>SAMD9</t>
  </si>
  <si>
    <t>sterile alpha motif domain-containing protein 9 (sam domain-containing protein 9)</t>
  </si>
  <si>
    <t>Q5K651</t>
  </si>
  <si>
    <t>SAMD9L</t>
  </si>
  <si>
    <t>sterile alpha motif domain-containing protein 9-like (sam domain-containing protein 9-like)</t>
  </si>
  <si>
    <t>Q8IVG5</t>
  </si>
  <si>
    <t>SAMHD1</t>
  </si>
  <si>
    <t>deoxynucleoside triphosphate triphosphohydrolase samhd1 (dntpase) (ec 3.1.5.-) (dendritic cell-derived ifng-induced protein) (dcip) (monocyte protein 5) (mop-5) (sam domain and hd domain-containing protein 1) (hsamhd1)</t>
  </si>
  <si>
    <t>Q9Y3Z3</t>
  </si>
  <si>
    <t>SARDH</t>
  </si>
  <si>
    <t>sarcosine dehydrogenase, mitochondrial (sardh) (ec 1.5.8.3) (bpr-2)</t>
  </si>
  <si>
    <t>Q9UL12</t>
  </si>
  <si>
    <t>serine--trna ligase, cytoplasmic (ec 6.1.1.11) (seryl-trna synthetase) (serrs) (seryl-trna(ser/sec) synthetase)</t>
  </si>
  <si>
    <t>P49591</t>
  </si>
  <si>
    <t>SARS2</t>
  </si>
  <si>
    <t>serine--trna ligase, mitochondrial (ec 6.1.1.11) (serrsmt) (seryl-trna synthetase) (serrs) (seryl-trna(ser/sec) synthetase)</t>
  </si>
  <si>
    <t>Q9NP81</t>
  </si>
  <si>
    <t>SASH1</t>
  </si>
  <si>
    <t>sam and sh3 domain-containing protein 1 (proline-glutamate repeat-containing protein)</t>
  </si>
  <si>
    <t>O94885</t>
  </si>
  <si>
    <t>SASH3</t>
  </si>
  <si>
    <t>sam and sh3 domain-containing protein 3 (sh3 protein expressed in lymphocytes homolog)</t>
  </si>
  <si>
    <t>O75995</t>
  </si>
  <si>
    <t>SAT1</t>
  </si>
  <si>
    <t>diamine acetyltransferase 1 (ec 2.3.1.57) (polyamine n-acetyltransferase 1) (putrescine acetyltransferase) (spermidine/spermine n(1)-acetyltransferase 1) (ssat) (ssat-1)</t>
  </si>
  <si>
    <t>P21673</t>
  </si>
  <si>
    <t>SATB1</t>
  </si>
  <si>
    <t>dna-binding protein satb1 (special at-rich sequence-binding protein 1)</t>
  </si>
  <si>
    <t>Q01826</t>
  </si>
  <si>
    <t>SATB2</t>
  </si>
  <si>
    <t>dna-binding protein satb2 (special at-rich sequence-binding protein 2)</t>
  </si>
  <si>
    <t>Q9UPW6</t>
  </si>
  <si>
    <t>SBDS</t>
  </si>
  <si>
    <t>ribosome maturation protein sbds (shwachman-bodian-diamond syndrome protein)</t>
  </si>
  <si>
    <t>Q9Y3A5</t>
  </si>
  <si>
    <t>SBF1</t>
  </si>
  <si>
    <t>myotubularin-related protein 5 (inactive phosphatidylinositol 3-phosphatase 5) (set-binding factor 1) (sbf1)</t>
  </si>
  <si>
    <t>O95248</t>
  </si>
  <si>
    <t>SBF2</t>
  </si>
  <si>
    <t>myotubularin-related protein 13 (inactive phosphatidylinositol 3-phosphatase 13) (set-binding factor 2)</t>
  </si>
  <si>
    <t>Q86WG5</t>
  </si>
  <si>
    <t>SC5D</t>
  </si>
  <si>
    <t>lathosterol oxidase (ec 1.14.19.20) (c-5 sterol desaturase) (delta(7)-sterol 5-desaturase) (delta(7)-sterol c5(6)-desaturase) (lathosterol 5-desaturase) (sterol-c5-desaturase)</t>
  </si>
  <si>
    <t>O75845</t>
  </si>
  <si>
    <t>SCAPER</t>
  </si>
  <si>
    <t>s phase cyclin a-associated protein in the endoplasmic reticulum (s phase cyclin a-associated protein in the er) (zinc finger protein 291)</t>
  </si>
  <si>
    <t>Q9BY12</t>
  </si>
  <si>
    <t>SCARB2</t>
  </si>
  <si>
    <t>lysosome membrane protein 2 (85 kda lysosomal membrane sialoglycoprotein) (lgp85) (cd36 antigen-like 2) (lysosome membrane protein ii) (limp ii) (scavenger receptor class b member 2) (cd antigen cd36)</t>
  </si>
  <si>
    <t>Q14108</t>
  </si>
  <si>
    <t>SCD5</t>
  </si>
  <si>
    <t>stearoyl-coa desaturase 5 (ec 1.14.19.1) (acyl-coa-desaturase 4) (hscd5) (stearoyl-coa 9-desaturase) (stearoyl-coa desaturase 2)</t>
  </si>
  <si>
    <t>Q86SK9</t>
  </si>
  <si>
    <t>SCO1</t>
  </si>
  <si>
    <t>protein sco1 homolog, mitochondrial</t>
  </si>
  <si>
    <t>O75880</t>
  </si>
  <si>
    <t>SCO2</t>
  </si>
  <si>
    <t>protein sco2 homolog, mitochondrial</t>
  </si>
  <si>
    <t>O43819</t>
  </si>
  <si>
    <t>SCP2</t>
  </si>
  <si>
    <t>sterol carrier protein 2 (scp-2) (acetyl-coa c-myristoyltransferase) (ec 2.3.1.155) (non-specific lipid-transfer protein) (nsl-tp) (propanoyl-coa c-acyltransferase) (ec 2.3.1.176) (scp-2/3-oxoacyl-coa thiolase) (scp-2/thiolase) (ec 2.3.1.16) (scp-chi) (scpx) (sterol carrier protein x) (scp-x)</t>
  </si>
  <si>
    <t>P22307</t>
  </si>
  <si>
    <t>SCUBE3</t>
  </si>
  <si>
    <t>signal peptide, cub and egf-like domain-containing protein 3</t>
  </si>
  <si>
    <t>Q8IX30</t>
  </si>
  <si>
    <t>SCYL1</t>
  </si>
  <si>
    <t>n-terminal kinase-like protein (coated vesicle-associated kinase of 90 kda) (scy1-like protein 1) (telomerase regulation-associated protein) (telomerase transcriptional element-interacting factor) (teratoma-associated tyrosine kinase)</t>
  </si>
  <si>
    <t>Q96KG9</t>
  </si>
  <si>
    <t>SDCCAG8</t>
  </si>
  <si>
    <t>serologically defined colon cancer antigen 8 (antigen ny-co-8) (centrosomal colon cancer autoantigen protein) (hcccap)</t>
  </si>
  <si>
    <t>Q86SQ7</t>
  </si>
  <si>
    <t>SDHAF2</t>
  </si>
  <si>
    <t>succinate dehydrogenase assembly factor 2, mitochondrial (sdh assembly factor 2) (sdhaf2)</t>
  </si>
  <si>
    <t>Q9NX18</t>
  </si>
  <si>
    <t>SDR9C7</t>
  </si>
  <si>
    <t>short-chain dehydrogenase/reductase family 9c member 7 (ec 1.1.1.-) (orphan short-chain dehydrogenase/reductase) (sdr-o) (rdh-s)</t>
  </si>
  <si>
    <t>Q8NEX9</t>
  </si>
  <si>
    <t>SEC23A</t>
  </si>
  <si>
    <t>protein transport protein sec23a (hsec23a) (sec23-related protein a)</t>
  </si>
  <si>
    <t>Q15436</t>
  </si>
  <si>
    <t>SEC23B</t>
  </si>
  <si>
    <t>protein transport protein sec23b (hsec23b) (sec23-related protein b)</t>
  </si>
  <si>
    <t>Q15437</t>
  </si>
  <si>
    <t>SEC63</t>
  </si>
  <si>
    <t>translocation protein sec63 homolog (dnaj homolog subfamily c member 23)</t>
  </si>
  <si>
    <t>Q9UGP8</t>
  </si>
  <si>
    <t>SECISBP2</t>
  </si>
  <si>
    <t>selenocysteine insertion sequence-binding protein 2 (secis-binding protein 2)</t>
  </si>
  <si>
    <t>Q96T21</t>
  </si>
  <si>
    <t>SELENBP1</t>
  </si>
  <si>
    <t>methanethiol oxidase (mto) (ec 1.8.3.4) (56 kda selenium-binding protein) (sbp56) (sp56) (selenium-binding protein 1)</t>
  </si>
  <si>
    <t>Q13228</t>
  </si>
  <si>
    <t>SELENOI</t>
  </si>
  <si>
    <t>ethanolaminephosphotransferase 1 (hept1) (ec 2.7.8.1) (selenoprotein i) (seli)</t>
  </si>
  <si>
    <t>Q9C0D9</t>
  </si>
  <si>
    <t>SELENON</t>
  </si>
  <si>
    <t>selenoprotein n (seln)</t>
  </si>
  <si>
    <t>Q9NZV5</t>
  </si>
  <si>
    <t>SELP</t>
  </si>
  <si>
    <t>p-selectin (cd62 antigen-like family member p) (granule membrane protein 140) (gmp-140) (leukocyte-endothelial cell adhesion molecule 3) (lecam3) (platelet activation dependent granule-external membrane protein) (padgem) (cd antigen cd62p)</t>
  </si>
  <si>
    <t>P16109</t>
  </si>
  <si>
    <t>SEMA3A</t>
  </si>
  <si>
    <t>semaphorin-3a (semaphorin iii) (sema iii)</t>
  </si>
  <si>
    <t>Q14563</t>
  </si>
  <si>
    <t>SEMA4A</t>
  </si>
  <si>
    <t>semaphorin-4a (semaphorin-b) (sema b)</t>
  </si>
  <si>
    <t>Q9H3S1</t>
  </si>
  <si>
    <t>SEMA6B</t>
  </si>
  <si>
    <t>semaphorin-6b (semaphorin-z) (sema z)</t>
  </si>
  <si>
    <t>Q9H3T3</t>
  </si>
  <si>
    <t>SEMA7A</t>
  </si>
  <si>
    <t>semaphorin-7a (cdw108) (jmh blood group antigen) (john-milton-hargen human blood group ag) (semaphorin-k1) (sema k1) (semaphorin-l) (sema l) (cd antigen cd108)</t>
  </si>
  <si>
    <t>O75326</t>
  </si>
  <si>
    <t>SEPSECS</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</si>
  <si>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</si>
  <si>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Q9HD40</t>
  </si>
  <si>
    <t>SEPTIN11</t>
  </si>
  <si>
    <t>septin-11</t>
  </si>
  <si>
    <t>Q9NVA2</t>
  </si>
  <si>
    <t>SEPTIN12</t>
  </si>
  <si>
    <t>septin-12</t>
  </si>
  <si>
    <t>Q8IYM1</t>
  </si>
  <si>
    <t>SERAC1</t>
  </si>
  <si>
    <t>protein serac1 (serine active site-containing protein 1)</t>
  </si>
  <si>
    <t>Q96JX3</t>
  </si>
  <si>
    <t>SERPINA1</t>
  </si>
  <si>
    <t>alpha-1-antitrypsin (alpha-1 protease inhibitor) (alpha-1-antiproteinase) (serpin a1) [cleaved into: short peptide from aat (spaat)]</t>
  </si>
  <si>
    <t>P01009</t>
  </si>
  <si>
    <t>SERPINB6</t>
  </si>
  <si>
    <t>serpin b6 (cytoplasmic antiproteinase) (cap) (peptidase inhibitor 6) (pi-6) (placental thrombin inhibitor)</t>
  </si>
  <si>
    <t>P35237</t>
  </si>
  <si>
    <t>SERPINB7</t>
  </si>
  <si>
    <t>serpin b7 (megsin) (tp55)</t>
  </si>
  <si>
    <t>O75635</t>
  </si>
  <si>
    <t>SERPINB8</t>
  </si>
  <si>
    <t>serpin b8 (cytoplasmic antiproteinase 2) (cap-2) (cap2) (peptidase inhibitor 8) (pi-8)</t>
  </si>
  <si>
    <t>P50452</t>
  </si>
  <si>
    <t>SERPINC1</t>
  </si>
  <si>
    <t>antithrombin-iii (atiii) (serpin c1)</t>
  </si>
  <si>
    <t>P01008</t>
  </si>
  <si>
    <t>SERPIND1</t>
  </si>
  <si>
    <t>heparin cofactor 2 (heparin cofactor ii) (hc-ii) (protease inhibitor leuserpin-2) (hls2) (serpin d1)</t>
  </si>
  <si>
    <t>P05546</t>
  </si>
  <si>
    <t>SERPINF1</t>
  </si>
  <si>
    <t>pigment epithelium-derived factor (pedf) (cell proliferation-inducing gene 35 protein) (epc-1) (serpin f1)</t>
  </si>
  <si>
    <t>P36955</t>
  </si>
  <si>
    <t>SERPINF2</t>
  </si>
  <si>
    <t>alpha-2-antiplasmin (alpha-2-ap) (alpha-2-plasmin inhibitor) (alpha-2-pi) (serpin f2)</t>
  </si>
  <si>
    <t>P08697</t>
  </si>
  <si>
    <t>plasma protease c1 inhibitor (c1 inh) (c1inh) (c1 esterase inhibitor) (c1-inhibiting factor) (serpin g1)</t>
  </si>
  <si>
    <t>P05155</t>
  </si>
  <si>
    <t>SERPINH1</t>
  </si>
  <si>
    <t>serpin h1 (47 kda heat shock protein) (arsenic-transactivated protein 3) (astp3) (cell proliferation-inducing gene 14 protein) (collagen-binding protein) (colligin) (rheumatoid arthritis-related antigen ra-a47)</t>
  </si>
  <si>
    <t>P50454</t>
  </si>
  <si>
    <t>SERPINI1</t>
  </si>
  <si>
    <t>neuroserpin (peptidase inhibitor 12) (pi-12) (serpin i1)</t>
  </si>
  <si>
    <t>Q99574</t>
  </si>
  <si>
    <t>SET</t>
  </si>
  <si>
    <t>protein set (hla-dr-associated protein ii) (inhibitor of granzyme a-activated dnase) (igaad) (phapii) (phosphatase 2a inhibitor i2pp2a) (i-2pp2a) (template-activating factor i) (taf-i)</t>
  </si>
  <si>
    <t>Q01105</t>
  </si>
  <si>
    <t>SETBP1</t>
  </si>
  <si>
    <t>set-binding protein (seb)</t>
  </si>
  <si>
    <t>Q9Y6X0</t>
  </si>
  <si>
    <t>SETD2</t>
  </si>
  <si>
    <t>histone-lysine n-methyltransferase setd2 (ec 2.1.1.359) (hif-1) (huntingtin yeast partner b) (huntingtin-interacting protein 1) (hip-1) (huntingtin-interacting protein b) (lysine n-methyltransferase 3a) (protein-lysine n-methyltransferase setd2) (ec 2.1.1.-) (set domain-containing protein 2) (hset2) (p231hbp)</t>
  </si>
  <si>
    <t>Q9BYW2</t>
  </si>
  <si>
    <t>SETD5</t>
  </si>
  <si>
    <t>histone-lysine n-methyltransferase setd5 (ec 2.1.1.359) (ec 2.1.1.367) (set domain-containing protein 5)</t>
  </si>
  <si>
    <t>Q9C0A6</t>
  </si>
  <si>
    <t>SETX</t>
  </si>
  <si>
    <t>probable helicase senataxin (ec 3.6.4.-) (amyotrophic lateral sclerosis 4 protein) (sen1 homolog) (senataxin)</t>
  </si>
  <si>
    <t>Q7Z333</t>
  </si>
  <si>
    <t>SFRP4</t>
  </si>
  <si>
    <t>secreted frizzled-related protein 4 (sfrp-4) (frizzled protein, human endometrium) (frphe)</t>
  </si>
  <si>
    <t>Q6FHJ7</t>
  </si>
  <si>
    <t>SFTPA1</t>
  </si>
  <si>
    <t>pulmonary surfactant-associated protein a1 (psp-a) (pspa) (sp-a) (sp-a1) (35 kda pulmonary surfactant-associated protein) (alveolar proteinosis protein) (collectin-4)</t>
  </si>
  <si>
    <t>Q8IWL2</t>
  </si>
  <si>
    <t>SFTPA2</t>
  </si>
  <si>
    <t>pulmonary surfactant-associated protein a2 (psp-a) (pspa) (sp-a) (sp-a2) (35 kda pulmonary surfactant-associated protein) (alveolar proteinosis protein) (collectin-5)</t>
  </si>
  <si>
    <t>Q8IWL1</t>
  </si>
  <si>
    <t>SFTPB</t>
  </si>
  <si>
    <t>pulmonary surfactant-associated protein b (sp-b) (18 kda pulmonary-surfactant protein) (6 kda protein) (pulmonary surfactant-associated proteolipid spl(phe))</t>
  </si>
  <si>
    <t>P07988</t>
  </si>
  <si>
    <t>SFTPC</t>
  </si>
  <si>
    <t>surfactant protein c (sp-c) (pulmonary surfactant-associated protein c) (pulmonary surfactant-associated proteolipid spl(val)) (sp5)</t>
  </si>
  <si>
    <t>P11686</t>
  </si>
  <si>
    <t>SFXN4</t>
  </si>
  <si>
    <t>sideroflexin-4 (breast cancer resistance marker 1)</t>
  </si>
  <si>
    <t>Q6P4A7</t>
  </si>
  <si>
    <t>SGMS2</t>
  </si>
  <si>
    <t>phosphatidylcholine:ceramide cholinephosphotransferase 2 (ec 2.7.8.27) (sphingomyelin synthase 2)</t>
  </si>
  <si>
    <t>Q8NHU3</t>
  </si>
  <si>
    <t>SGO1</t>
  </si>
  <si>
    <t>shugoshin 1 (serologically defined breast cancer antigen ny-br-85) (shugoshin-like 1)</t>
  </si>
  <si>
    <t>Q5FBB7</t>
  </si>
  <si>
    <t>SGPL1</t>
  </si>
  <si>
    <t>sphingosine-1-phosphate lyase 1 (s1pl) (sp-lyase 1) (spl 1) (hspl) (ec 4.1.2.27) (sphingosine-1-phosphate aldolase)</t>
  </si>
  <si>
    <t>O95470</t>
  </si>
  <si>
    <t>n-sulphoglucosamine sulphohydrolase (ec 3.10.1.1) (sulfoglucosamine sulfamidase) (sulphamidase)</t>
  </si>
  <si>
    <t>P51688</t>
  </si>
  <si>
    <t>SH2B3</t>
  </si>
  <si>
    <t>sh2b adapter protein 3 (lymphocyte adapter protein) (lymphocyte-specific adapter protein lnk) (signal transduction protein lnk)</t>
  </si>
  <si>
    <t>Q9UQQ2</t>
  </si>
  <si>
    <t>SH2D1A</t>
  </si>
  <si>
    <t>sh2 domain-containing protein 1a (duncan disease sh2-protein) (signaling lymphocytic activation molecule-associated protein) (slam-associated protein) (t-cell signal transduction molecule sap)</t>
  </si>
  <si>
    <t>O60880</t>
  </si>
  <si>
    <t>SH3BGRL</t>
  </si>
  <si>
    <t>adapter sh3bgrl (sh3 domain-binding glutamic acid-rich-like protein 1)</t>
  </si>
  <si>
    <t>O75368</t>
  </si>
  <si>
    <t>SH3BP2</t>
  </si>
  <si>
    <t>sh3 domain-binding protein 2 (3bp-2)</t>
  </si>
  <si>
    <t>P78314</t>
  </si>
  <si>
    <t>SH3GL1</t>
  </si>
  <si>
    <t>endophilin-a2 (een fusion partner of mll) (endophilin-2) (extra eleven-nineteen leukemia fusion gene protein) (een) (sh3 domain protein 2b) (sh3 domain-containing grb2-like protein 1)</t>
  </si>
  <si>
    <t>Q99961</t>
  </si>
  <si>
    <t>SH3KBP1</t>
  </si>
  <si>
    <t>sh3 domain-containing kinase-binding protein 1 (cd2-binding protein 3) (cd2bp3) (cbl-interacting protein of 85 kda) (human src family kinase-binding protein 1) (hsb-1)</t>
  </si>
  <si>
    <t>Q96B97</t>
  </si>
  <si>
    <t>SH3PXD2B</t>
  </si>
  <si>
    <t>sh3 and px domain-containing protein 2b (adapter protein hofi) (factor for adipocyte differentiation 49) (tyrosine kinase substrate with four sh3 domains)</t>
  </si>
  <si>
    <t>A1X283</t>
  </si>
  <si>
    <t>SH3TC2</t>
  </si>
  <si>
    <t>sh3 domain and tetratricopeptide repeat-containing protein 2</t>
  </si>
  <si>
    <t>Q8TF17</t>
  </si>
  <si>
    <t>SHANK2</t>
  </si>
  <si>
    <t>sh3 and multiple ankyrin repeat domains protein 2 (shank2) (cortactin-binding protein 1) (cortbp1) (proline-rich synapse-associated protein 1)</t>
  </si>
  <si>
    <t>Q9UPX8</t>
  </si>
  <si>
    <t>SHH</t>
  </si>
  <si>
    <t>sonic hedgehog protein (shh) (ec 3.1.-.-) (hhg-1) (shh unprocessed n-terminal signaling and c-terminal autoprocessing domains) (shhnc) [cleaved into: sonic hedgehog protein n-product (shhn) (shh n-terminal processed signaling domains) (shhnp)]</t>
  </si>
  <si>
    <t>Q15465</t>
  </si>
  <si>
    <t>SHOC2</t>
  </si>
  <si>
    <t>leucine-rich repeat protein shoc-2 (protein soc-2 homolog) (protein sur-8 homolog)</t>
  </si>
  <si>
    <t>Q9UQ13</t>
  </si>
  <si>
    <t>SHOX</t>
  </si>
  <si>
    <t>short stature homeobox protein (pseudoautosomal homeobox-containing osteogenic protein) (short stature homeobox-containing protein)</t>
  </si>
  <si>
    <t>O15266</t>
  </si>
  <si>
    <t>SHPK</t>
  </si>
  <si>
    <t>sedoheptulokinase (shk) (ec 2.7.1.14) (carbohydrate kinase-like protein)</t>
  </si>
  <si>
    <t>Q9UHJ6</t>
  </si>
  <si>
    <t>SHQ1</t>
  </si>
  <si>
    <t>protein shq1 homolog</t>
  </si>
  <si>
    <t>Q6PI26</t>
  </si>
  <si>
    <t>SHROOM4</t>
  </si>
  <si>
    <t>protein shroom4 (second homolog of apical protein)</t>
  </si>
  <si>
    <t>Q9ULL8</t>
  </si>
  <si>
    <t>SI</t>
  </si>
  <si>
    <t>sucrase-isomaltase, intestinal [cleaved into: sucrase (ec 3.2.1.48); isomaltase (ec 3.2.1.10)]</t>
  </si>
  <si>
    <t>P14410</t>
  </si>
  <si>
    <t>SIAE</t>
  </si>
  <si>
    <t>sialate o-acetylesterase (ec 3.1.1.53) (h-lse) (sialic acid-specific 9-o-acetylesterase)</t>
  </si>
  <si>
    <t>Q9HAT2</t>
  </si>
  <si>
    <t>SIAH1</t>
  </si>
  <si>
    <t>e3 ubiquitin-protein ligase siah1 (ec 2.3.2.27) (ring-type e3 ubiquitin transferase siah1) (seven in absentia homolog 1) (siah-1) (siah-1a)</t>
  </si>
  <si>
    <t>Q8IUQ4</t>
  </si>
  <si>
    <t>SIL1</t>
  </si>
  <si>
    <t>nucleotide exchange factor sil1 (bip-associated protein) (bap)</t>
  </si>
  <si>
    <t>Q9H173</t>
  </si>
  <si>
    <t>SIX1</t>
  </si>
  <si>
    <t>homeobox protein six1 (sine oculis homeobox homolog 1)</t>
  </si>
  <si>
    <t>Q15475</t>
  </si>
  <si>
    <t>SIX3</t>
  </si>
  <si>
    <t>homeobox protein six3 (sine oculis homeobox homolog 3)</t>
  </si>
  <si>
    <t>O95343</t>
  </si>
  <si>
    <t>SIX5</t>
  </si>
  <si>
    <t>homeobox protein six5 (dm locus-associated homeodomain protein) (sine oculis homeobox homolog 5)</t>
  </si>
  <si>
    <t>Q8N196</t>
  </si>
  <si>
    <t>SIX6</t>
  </si>
  <si>
    <t>homeobox protein six6 (homeodomain protein optx2) (optic homeobox 2) (sine oculis homeobox homolog 6)</t>
  </si>
  <si>
    <t>O95475</t>
  </si>
  <si>
    <t>SKI</t>
  </si>
  <si>
    <t>ski oncogene (proto-oncogene c-ski)</t>
  </si>
  <si>
    <t>P12755</t>
  </si>
  <si>
    <t>SLC1A1</t>
  </si>
  <si>
    <t>excitatory amino acid transporter 3 (excitatory amino-acid carrier 1) (neuronal and epithelial glutamate transporter) (sodium-dependent glutamate/aspartate transporter 3) (solute carrier family 1 member 1)</t>
  </si>
  <si>
    <t>P43005</t>
  </si>
  <si>
    <t>SLC1A2</t>
  </si>
  <si>
    <t>excitatory amino acid transporter 2 (glutamate/aspartate transporter ii) (sodium-dependent glutamate/aspartate transporter 2) (solute carrier family 1 member 2)</t>
  </si>
  <si>
    <t>P43004</t>
  </si>
  <si>
    <t>SLC1A3</t>
  </si>
  <si>
    <t>excitatory amino acid transporter 1 (sodium-dependent glutamate/aspartate transporter 1) (glast-1) (solute carrier family 1 member 3)</t>
  </si>
  <si>
    <t>P43003</t>
  </si>
  <si>
    <t>SLC2A2</t>
  </si>
  <si>
    <t>solute carrier family 2, facilitated glucose transporter member 2 (glucose transporter type 2, liver) (glut-2)</t>
  </si>
  <si>
    <t>P11168</t>
  </si>
  <si>
    <t>SLC2A9</t>
  </si>
  <si>
    <t>solute carrier family 2, facilitated glucose transporter member 9 (glucose transporter type 9) (glut-9) (urate transporter)</t>
  </si>
  <si>
    <t>Q9NRM0</t>
  </si>
  <si>
    <t>SLC2A10</t>
  </si>
  <si>
    <t>solute carrier family 2, facilitated glucose transporter member 10 (glucose transporter type 10) (glut-10)</t>
  </si>
  <si>
    <t>O95528</t>
  </si>
  <si>
    <t>SLC4A1</t>
  </si>
  <si>
    <t>band 3 anion transport protein (anion exchange protein 1) (ae 1) (anion exchanger 1) (solute carrier family 4 member 1) (cd antigen cd233)</t>
  </si>
  <si>
    <t>P02730</t>
  </si>
  <si>
    <t>SLC4A4</t>
  </si>
  <si>
    <t>electrogenic sodium bicarbonate cotransporter 1 (sodium bicarbonate cotransporter) (na(+)/hco3(-) cotransporter) (solute carrier family 4 member 4) (knbc1)</t>
  </si>
  <si>
    <t>Q9Y6R1</t>
  </si>
  <si>
    <t>SLC5A5</t>
  </si>
  <si>
    <t>sodium/iodide cotransporter (na(+)/i(-) cotransporter) (natrium iodide transporter) (sodium-iodide symporter) (na(+)/i(-) symporter) (solute carrier family 5 member 5)</t>
  </si>
  <si>
    <t>Q92911</t>
  </si>
  <si>
    <t>SLC5A7</t>
  </si>
  <si>
    <t>high affinity choline transporter 1 (hcht1) (hemicholinium-3-sensitive choline transporter) (cht) (solute carrier family 5 member 7)</t>
  </si>
  <si>
    <t>Q9GZV3</t>
  </si>
  <si>
    <t>SLC6A1</t>
  </si>
  <si>
    <t>sodium- and chloride-dependent gaba transporter 1 (gat-1) (solute carrier family 6 member 1)</t>
  </si>
  <si>
    <t>P30531</t>
  </si>
  <si>
    <t>SLC6A5</t>
  </si>
  <si>
    <t>sodium- and chloride-dependent glycine transporter 2 (glyt-2) (glyt2) (solute carrier family 6 member 5)</t>
  </si>
  <si>
    <t>Q9Y345</t>
  </si>
  <si>
    <t>SLC6A6</t>
  </si>
  <si>
    <t>sodium- and chloride-dependent taurine transporter (solute carrier family 6 member 6)</t>
  </si>
  <si>
    <t>P31641</t>
  </si>
  <si>
    <t>SLC6A8</t>
  </si>
  <si>
    <t>sodium- and chloride-dependent creatine transporter 1 (ct1) (creatine transporter 1) (solute carrier family 6 member 8)</t>
  </si>
  <si>
    <t>P48029</t>
  </si>
  <si>
    <t>SLC6A14</t>
  </si>
  <si>
    <t>sodium- and chloride-dependent neutral and basic amino acid transporter b(0+) (amino acid transporter atb0+) (solute carrier family 6 member 14)</t>
  </si>
  <si>
    <t>Q9UN76</t>
  </si>
  <si>
    <t>SLC6A17</t>
  </si>
  <si>
    <t>sodium-dependent neutral amino acid transporter slc6a17 (sodium-dependent neurotransmitter transporter ntt4) (solute carrier family 6 member 17)</t>
  </si>
  <si>
    <t>Q9H1V8</t>
  </si>
  <si>
    <t>SLC6A18</t>
  </si>
  <si>
    <t>inactive sodium-dependent neutral amino acid transporter b(0)at3 (sodium- and chloride-dependent transporter xtrp2) (solute carrier family 6 member 18) (system b(0) neutral amino acid transporter at3)</t>
  </si>
  <si>
    <t>Q96N87</t>
  </si>
  <si>
    <t>SLC6A20</t>
  </si>
  <si>
    <t>sodium- and chloride-dependent transporter xtrp3 (sodium/imino-acid transporter 1) (solute carrier family 6 member 20) (transporter rb21a homolog)</t>
  </si>
  <si>
    <t>Q9NP91</t>
  </si>
  <si>
    <t>SLC7A14</t>
  </si>
  <si>
    <t>solute carrier family 7 member 14 (gamma-aminobutyric acid transporter slc7a14)</t>
  </si>
  <si>
    <t>Q8TBB6</t>
  </si>
  <si>
    <t>SLC9A1</t>
  </si>
  <si>
    <t>sodium/hydrogen exchanger 1 (apnh) (na(+)/h(+) antiporter, amiloride-sensitive) (na(+)/h(+) exchanger 1) (nhe-1) (solute carrier family 9 member 1)</t>
  </si>
  <si>
    <t>P19634</t>
  </si>
  <si>
    <t>SLC9A3</t>
  </si>
  <si>
    <t>sodium/hydrogen exchanger 3 (na(+)/h(+) exchanger 3) (nhe-3) (solute carrier family 9 member 3)</t>
  </si>
  <si>
    <t>P48764</t>
  </si>
  <si>
    <t>SLC9A3R1</t>
  </si>
  <si>
    <t>na(+)/h(+) exchange regulatory cofactor nhe-rf1 (nherf-1) (ezrin-radixin-moesin-binding phosphoprotein 50) (ebp50) (regulatory cofactor of na(+)/h(+) exchanger) (sodium-hydrogen exchanger regulatory factor 1) (solute carrier family 9 isoform a3 regulatory factor 1)</t>
  </si>
  <si>
    <t>O14745</t>
  </si>
  <si>
    <t>SLC9A6</t>
  </si>
  <si>
    <t>sodium/hydrogen exchanger 6 (na(+)/h(+) exchanger 6) (nhe-6) (solute carrier family 9 member 6)</t>
  </si>
  <si>
    <t>Q92581</t>
  </si>
  <si>
    <t>SLC9A7</t>
  </si>
  <si>
    <t>sodium/hydrogen exchanger 7 (na(+)/h(+) exchanger 7) (nhe-7) (solute carrier family 9 member 7)</t>
  </si>
  <si>
    <t>Q96T83</t>
  </si>
  <si>
    <t>SLC9A9</t>
  </si>
  <si>
    <t>sodium/hydrogen exchanger 9 (na(+)/h(+) exchanger 9) (nhe-9) (solute carrier family 9 member 9)</t>
  </si>
  <si>
    <t>Q8IVB4</t>
  </si>
  <si>
    <t>SLC10A2</t>
  </si>
  <si>
    <t>ileal sodium/bile acid cotransporter (apical sodium-dependent bile acid transporter) (asbt) (ileal na(+)/bile acid cotransporter) (ileal sodium-dependent bile acid transporter) (ibat) (isbt) (na(+)-dependent ileal bile acid transporter) (sodium/taurocholate cotransporting polypeptide, ileal) (solute carrier family 10 member 2)</t>
  </si>
  <si>
    <t>Q12908</t>
  </si>
  <si>
    <t>SLC10A7</t>
  </si>
  <si>
    <t>sodium/bile acid cotransporter 7 (na(+)/bile acid cotransporter 7) (solute carrier family 10 member 7)</t>
  </si>
  <si>
    <t>Q0GE19</t>
  </si>
  <si>
    <t>SLC11A2</t>
  </si>
  <si>
    <t>natural resistance-associated macrophage protein 2 (nramp 2) (divalent cation transporter 1) (divalent metal transporter 1) (dmt-1) (solute carrier family 11 member 2)</t>
  </si>
  <si>
    <t>P49281</t>
  </si>
  <si>
    <t>SLC12A1</t>
  </si>
  <si>
    <t>solute carrier family 12 member 1 (bumetanide-sensitive sodium-(potassium)-chloride cotransporter 2) (kidney-specific na-k-cl symporter)</t>
  </si>
  <si>
    <t>Q13621</t>
  </si>
  <si>
    <t>SLC12A2</t>
  </si>
  <si>
    <t>solute carrier family 12 member 2 (basolateral na-k-cl symporter) (bumetanide-sensitive sodium-(potassium)-chloride cotransporter 2)</t>
  </si>
  <si>
    <t>P55011</t>
  </si>
  <si>
    <t>SLC12A3</t>
  </si>
  <si>
    <t>solute carrier family 12 member 3 (na-cl cotransporter) (ncc) (na-cl symporter) (thiazide-sensitive sodium-chloride cotransporter)</t>
  </si>
  <si>
    <t>P55017</t>
  </si>
  <si>
    <t>solute carrier family 12 member 5 (electroneutral potassium-chloride cotransporter 2) (k-cl cotransporter 2) (hkcc2) (neuronal k-cl cotransporter)</t>
  </si>
  <si>
    <t>Q9H2X9</t>
  </si>
  <si>
    <t>SLC12A6</t>
  </si>
  <si>
    <t>solute carrier family 12 member 6 (electroneutral potassium-chloride cotransporter 3) (k-cl cotransporter 3)</t>
  </si>
  <si>
    <t>Q9UHW9</t>
  </si>
  <si>
    <t>SLC12A8</t>
  </si>
  <si>
    <t>solute carrier family 12 member 8 (cation-chloride cotransporter 9)</t>
  </si>
  <si>
    <t>A0AV02</t>
  </si>
  <si>
    <t>SLC13A3</t>
  </si>
  <si>
    <t>na(+)/dicarboxylate cotransporter 3 (nadc-3) (hnadc3) (na(+)-coupled carboxylate transporter 3) (nac3) (sodium-dependent high-affinity dicarboxylate transporter 2) (solute carrier family 13 member 3) (slc13a3)</t>
  </si>
  <si>
    <t>Q8WWT9</t>
  </si>
  <si>
    <t>SLC13A5</t>
  </si>
  <si>
    <t>na(+)/citrate cotransporter (nact) (sodium-coupled citrate transporter) (sodium-dependent citrate transporter) (solute carrier family 13 member 5)</t>
  </si>
  <si>
    <t>Q86YT5</t>
  </si>
  <si>
    <t>SLC16A1</t>
  </si>
  <si>
    <t>monocarboxylate transporter 1 (mct 1) (solute carrier family 16 member 1)</t>
  </si>
  <si>
    <t>P53985</t>
  </si>
  <si>
    <t>SLC16A2</t>
  </si>
  <si>
    <t>monocarboxylate transporter 8 (mct 8) (monocarboxylate transporter 7) (mct 7) (solute carrier family 16 member 2) (x-linked pest-containing transporter)</t>
  </si>
  <si>
    <t>P36021</t>
  </si>
  <si>
    <t>SLC17A8</t>
  </si>
  <si>
    <t>vesicular glutamate transporter 3 (vglut3) (solute carrier family 17 member 8)</t>
  </si>
  <si>
    <t>Q8NDX2</t>
  </si>
  <si>
    <t>SLC17A9</t>
  </si>
  <si>
    <t>voltage-gated purine nucleotide uniporter slc17a9 (solute carrier family 17 member 9) (vesicular nucleotide transporter) (vnut)</t>
  </si>
  <si>
    <t>Q9BYT1</t>
  </si>
  <si>
    <t>SLC18A3</t>
  </si>
  <si>
    <t>vesicular acetylcholine transporter (vacht) (solute carrier family 18 member 3)</t>
  </si>
  <si>
    <t>Q16572</t>
  </si>
  <si>
    <t>SLC19A1</t>
  </si>
  <si>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</si>
  <si>
    <t>P41440</t>
  </si>
  <si>
    <t>SLC19A2</t>
  </si>
  <si>
    <t>thiamine transporter 1 (thtr-1) (thtr1) (solute carrier family 19 member 2) (thiamine carrier 1) (tc1)</t>
  </si>
  <si>
    <t>O60779</t>
  </si>
  <si>
    <t>SLC19A3</t>
  </si>
  <si>
    <t>thiamine transporter 2 (thtr-2) (thtr2) (solute carrier family 19 member 3)</t>
  </si>
  <si>
    <t>Q9BZV2</t>
  </si>
  <si>
    <t>SLC20A2</t>
  </si>
  <si>
    <t>sodium-dependent phosphate transporter 2 (gibbon ape leukemia virus receptor 2) (glvr-2) (phosphate transporter 2) (pit-2) (pit2) (hpit2) (solute carrier family 20 member 2)</t>
  </si>
  <si>
    <t>Q08357</t>
  </si>
  <si>
    <t>SLC22A12</t>
  </si>
  <si>
    <t>solute carrier family 22 member 12 (organic anion transporter 4-like protein) (renal-specific transporter) (rst) (urate anion exchanger 1) (urat1) (urate:anion antiporter slc22a12)</t>
  </si>
  <si>
    <t>Q96S37</t>
  </si>
  <si>
    <t>SLC22A18</t>
  </si>
  <si>
    <t>solute carrier family 22 member 18 (beckwith-wiedemann syndrome chromosomal region 1 candidate gene a protein) (efflux transporter-like protein) (imprinted multi-membrane-spanning polyspecific transporter-related protein 1) (organic cation transporter-like protein 2) (orctl-2) (solute carrier family 22 member 1-like) (tumor-suppressing stf cdna 5 protein) (tumor-suppressing subchromosomal transferable fragment candidate gene 5 protein) (p45-beckwith-wiedemann region 1 a) (p45-bwr1a)</t>
  </si>
  <si>
    <t>Q96BI1</t>
  </si>
  <si>
    <t>SLC24A1</t>
  </si>
  <si>
    <t>sodium/potassium/calcium exchanger 1 (na(+)/k(+)/ca(2+)-exchange protein 1) (retinal rod na-ca+k exchanger) (solute carrier family 24 member 1)</t>
  </si>
  <si>
    <t>O60721</t>
  </si>
  <si>
    <t>SLC24A4</t>
  </si>
  <si>
    <t>sodium/potassium/calcium exchanger 4 (na(+)/k(+)/ca(2+)-exchange protein 4) (solute carrier family 24 member 4)</t>
  </si>
  <si>
    <t>Q8NFF2</t>
  </si>
  <si>
    <t>SLC24A5</t>
  </si>
  <si>
    <t>sodium/potassium/calcium exchanger 5 (na(+)/k(+)/ca(2+)-exchange protein 5) (solute carrier family 24 member 5)</t>
  </si>
  <si>
    <t>Q71RS6</t>
  </si>
  <si>
    <t>SLC25A1</t>
  </si>
  <si>
    <t>tricarboxylate transport protein, mitochondrial (citrate transport protein) (ctp) (mitochondrial citrate carrier) (cic) (solute carrier family 25 member 1) (tricarboxylate carrier protein)</t>
  </si>
  <si>
    <t>P53007</t>
  </si>
  <si>
    <t>SLC25A3</t>
  </si>
  <si>
    <t>solute carrier family 25 member 3 (phosphate carrier protein, mitochondrial) (phosphate transport protein) (ptp)</t>
  </si>
  <si>
    <t>Q00325</t>
  </si>
  <si>
    <t>SLC25A4</t>
  </si>
  <si>
    <t>adp/atp translocase 1 (adp,atp carrier protein 1) (adp,atp carrier protein, heart/skeletal muscle isoform t1) (adenine nucleotide translocator 1) (ant 1) (solute carrier family 25 member 4)</t>
  </si>
  <si>
    <t>P12235</t>
  </si>
  <si>
    <t>SLC25A10</t>
  </si>
  <si>
    <t>mitochondrial dicarboxylate carrier (dic) (solute carrier family 25 member 10)</t>
  </si>
  <si>
    <t>Q9UBX3</t>
  </si>
  <si>
    <t>SLC25A11</t>
  </si>
  <si>
    <t>mitochondrial 2-oxoglutarate/malate carrier protein (ogcp) (alpha-oxoglutarate carrier) (solute carrier family 25 member 11) (slc25a11)</t>
  </si>
  <si>
    <t>Q02978</t>
  </si>
  <si>
    <t>SLC25A12</t>
  </si>
  <si>
    <t>electrogenic aspartate/glutamate antiporter slc25a12, mitochondrial (araceli hiperlarga) (aralar) (aralar1) (mitochondrial aspartate glutamate carrier 1) (solute carrier family 25 member 12)</t>
  </si>
  <si>
    <t>O75746</t>
  </si>
  <si>
    <t>SLC25A13</t>
  </si>
  <si>
    <t>electrogenic aspartate/glutamate antiporter slc25a13, mitochondrial (calcium-binding mitochondrial carrier protein aralar2) (aralar-related gene 2) (aralar2) (citrin) (mitochondrial aspartate glutamate carrier 2) (solute carrier family 25 member 13)</t>
  </si>
  <si>
    <t>Q9UJS0</t>
  </si>
  <si>
    <t>SLC25A15</t>
  </si>
  <si>
    <t>mitochondrial ornithine transporter 1 (solute carrier family 25 member 15)</t>
  </si>
  <si>
    <t>Q9Y619</t>
  </si>
  <si>
    <t>SLC25A19</t>
  </si>
  <si>
    <t>mitochondrial thiamine pyrophosphate carrier (mitochondrial thiamine pyrophosphate transporter) (mtppt) (mitochondrial uncoupling protein 1) (solute carrier family 25 member 19)</t>
  </si>
  <si>
    <t>Q9HC21</t>
  </si>
  <si>
    <t>SLC25A20</t>
  </si>
  <si>
    <t>mitochondrial carnitine/acylcarnitine carrier protein (carnitine/acylcarnitine translocase) (cac) (cact) (solute carrier family 25 member 20)</t>
  </si>
  <si>
    <t>O43772</t>
  </si>
  <si>
    <t>SLC25A22</t>
  </si>
  <si>
    <t>mitochondrial glutamate carrier 1 (gc-1) (glutamate/h(+) symporter 1) (solute carrier family 25 member 22)</t>
  </si>
  <si>
    <t>Q9H936</t>
  </si>
  <si>
    <t>SLC25A24</t>
  </si>
  <si>
    <t>mitochondrial adenyl nucleotide antiporter slc25a24 (mitochondrial atp-mg/pi carrier protein 1) (mitochondrial ca(2+)-dependent solute carrier protein 1) (short calcium-binding mitochondrial carrier protein 1) (scamc-1) (solute carrier family 25 member 24)</t>
  </si>
  <si>
    <t>Q6NUK1</t>
  </si>
  <si>
    <t>SLC25A32</t>
  </si>
  <si>
    <t>solute carrier family 25 member 32 (mitochondrial fad transporter)</t>
  </si>
  <si>
    <t>Q9H2D1</t>
  </si>
  <si>
    <t>SLC25A38</t>
  </si>
  <si>
    <t>mitochondrial glycine transporter (appoptosin) (mitochondrial glycine transporter glyc) (solute carrier family 25 member 38)</t>
  </si>
  <si>
    <t>Q96DW6</t>
  </si>
  <si>
    <t>SLC25A42</t>
  </si>
  <si>
    <t>mitochondrial coenzyme a transporter slc25a42 (solute carrier family 25 member 42)</t>
  </si>
  <si>
    <t>Q86VD7</t>
  </si>
  <si>
    <t>SLC25A46</t>
  </si>
  <si>
    <t>mitochondrial outer membrane protein slc25a46 (solute carrier family 25 member 46)</t>
  </si>
  <si>
    <t>Q96AG3</t>
  </si>
  <si>
    <t>SLC26A1</t>
  </si>
  <si>
    <t>sulfate anion transporter 1 (sat-1) (solute carrier family 26 member 1)</t>
  </si>
  <si>
    <t>Q9H2B4</t>
  </si>
  <si>
    <t>SLC26A2</t>
  </si>
  <si>
    <t>sulfate transporter (diastrophic dysplasia protein) (solute carrier family 26 member 2)</t>
  </si>
  <si>
    <t>P50443</t>
  </si>
  <si>
    <t>SLC26A3</t>
  </si>
  <si>
    <t>chloride anion exchanger (down-regulated in adenoma) (protein dra) (solute carrier family 26 member 3)</t>
  </si>
  <si>
    <t>P40879</t>
  </si>
  <si>
    <t>SLC26A4</t>
  </si>
  <si>
    <t>pendrin (sodium-independent chloride/iodide transporter) (solute carrier family 26 member 4)</t>
  </si>
  <si>
    <t>O43511</t>
  </si>
  <si>
    <t>prestin (solute carrier family 26 member 5)</t>
  </si>
  <si>
    <t>P58743</t>
  </si>
  <si>
    <t>SLC26A8</t>
  </si>
  <si>
    <t>testis anion transporter 1 (anion exchange transporter) (solute carrier family 26 member 8)</t>
  </si>
  <si>
    <t>Q96RN1</t>
  </si>
  <si>
    <t>SLC27A4</t>
  </si>
  <si>
    <t>long-chain fatty acid transport protein 4 (fatp-4) (fatty acid transport protein 4) (arachidonate--coa ligase) (ec 6.2.1.15) (long-chain-fatty-acid--coa ligase) (ec 6.2.1.3) (solute carrier family 27 member 4) (very long-chain acyl-coa synthetase 4) (acsvl4) (ec 6.2.1.-)</t>
  </si>
  <si>
    <t>Q6P1M0</t>
  </si>
  <si>
    <t>SLC28A1</t>
  </si>
  <si>
    <t>sodium/nucleoside cotransporter 1 (concentrative nucleoside transporter 1) (cnt 1) (hcnt1) (na(+)/nucleoside cotransporter 1) (sodium-coupled nucleoside transporter 1) (solute carrier family 28 member 1)</t>
  </si>
  <si>
    <t>O00337</t>
  </si>
  <si>
    <t>SLC29A3</t>
  </si>
  <si>
    <t>equilibrative nucleoside transporter 3 (hent3) (solute carrier family 29 member 3)</t>
  </si>
  <si>
    <t>Q9BZD2</t>
  </si>
  <si>
    <t>SLC30A9</t>
  </si>
  <si>
    <t>proton-coupled zinc antiporter slc30a9, mitochondrial (human embryonic lung protein) (huel) (solute carrier family 30 member 9) (zinc transporter 9) (znt-9)</t>
  </si>
  <si>
    <t>Q6PML9</t>
  </si>
  <si>
    <t>SLC33A1</t>
  </si>
  <si>
    <t>acetyl-coenzyme a transporter 1 (at-1) (acetyl-coa transporter 1) (solute carrier family 33 member 1)</t>
  </si>
  <si>
    <t>O00400</t>
  </si>
  <si>
    <t>SLC34A1</t>
  </si>
  <si>
    <t>sodium-dependent phosphate transport protein 2a (sodium-phosphate transport protein 2a) (na(+)-dependent phosphate cotransporter 2a) (napi-3) (sodium/phosphate cotransporter 2a) (na(+)/pi cotransporter 2a) (napi-2a) (solute carrier family 34 member 1)</t>
  </si>
  <si>
    <t>Q06495</t>
  </si>
  <si>
    <t>SLC34A2</t>
  </si>
  <si>
    <t>sodium-dependent phosphate transport protein 2b (sodium-phosphate transport protein 2b) (na(+)-dependent phosphate cotransporter 2b) (napi3b) (sodium/phosphate cotransporter 2b) (na(+)/pi cotransporter 2b) (napi-2b) (solute carrier family 34 member 2)</t>
  </si>
  <si>
    <t>O95436</t>
  </si>
  <si>
    <t>SLC34A3</t>
  </si>
  <si>
    <t>sodium-dependent phosphate transport protein 2c (sodium-phosphate transport protein 2c) (na(+)-dependent phosphate cotransporter 2c) (sodium/inorganic phosphate cotransporter iic) (sodium/phosphate cotransporter 2c) (na(+)/pi cotransporter 2c) (napi-2c) (solute carrier family 34 member 3)</t>
  </si>
  <si>
    <t>Q8N130</t>
  </si>
  <si>
    <t>udp-galactose translocator (solute carrier family 35 member a2) (udp-galactose transporter) (udp-gal-tr) (ugt)</t>
  </si>
  <si>
    <t>P78381</t>
  </si>
  <si>
    <t>SLC36A2</t>
  </si>
  <si>
    <t>proton-coupled amino acid transporter 2 (proton/amino acid transporter 2) (solute carrier family 36 member 2) (transmembrane domain rich protein 1) (tramdorin-1)</t>
  </si>
  <si>
    <t>Q495M3</t>
  </si>
  <si>
    <t>SLC38A3</t>
  </si>
  <si>
    <t>sodium-coupled neutral amino acid transporter 3 (n-system amino acid transporter 1) (na(+)-coupled neutral amino acid transporter 3) (solute carrier family 38 member 3) (system n amino acid transporter 1)</t>
  </si>
  <si>
    <t>Q99624</t>
  </si>
  <si>
    <t>SLC39A4</t>
  </si>
  <si>
    <t>zinc transporter zip4 (solute carrier family 39 member 4) (zrt- and irt-like protein 4) (zip-4)</t>
  </si>
  <si>
    <t>Q6P5W5</t>
  </si>
  <si>
    <t>SLC39A7</t>
  </si>
  <si>
    <t>zinc transporter slc39a7 (histidine-rich membrane protein ke4) (really interesting new gene 5 protein) (solute carrier family 39 member 7) (zrt-, irt-like protein 7) (zip7)</t>
  </si>
  <si>
    <t>Q92504</t>
  </si>
  <si>
    <t>SLC39A8</t>
  </si>
  <si>
    <t>metal cation symporter zip8 (bcg-induced integral membrane protein in monocyte clone 103 protein) (liv-1 subfamily of zip zinc transporter 6) (lzt-hs6) (solute carrier family 39 member 8) (zrt- and irt-like protein 8) (zip-8)</t>
  </si>
  <si>
    <t>Q9C0K1</t>
  </si>
  <si>
    <t>SLC39A13</t>
  </si>
  <si>
    <t>zinc transporter zip13 (liv-1 subfamily of zip zinc transporter 9) (lzt-hs9) (solute carrier family 39 member 13) (zrt- and irt-like protein 13) (zip-13)</t>
  </si>
  <si>
    <t>Q96H72</t>
  </si>
  <si>
    <t>SLC40A1</t>
  </si>
  <si>
    <t>ferroportin (ferroportin-1) (iron-regulated transporter 1) (solute carrier family 40 member 1)</t>
  </si>
  <si>
    <t>Q9NP59</t>
  </si>
  <si>
    <t>SLC41A1</t>
  </si>
  <si>
    <t>solute carrier family 41 member 1</t>
  </si>
  <si>
    <t>Q8IVJ1</t>
  </si>
  <si>
    <t>SLC44A1</t>
  </si>
  <si>
    <t>choline transporter-like protein 1 (cdw92) (solute carrier family 44 member 1) (cd antigen cd92)</t>
  </si>
  <si>
    <t>Q8WWI5</t>
  </si>
  <si>
    <t>SLC44A4</t>
  </si>
  <si>
    <t>choline transporter-like protein 4 (solute carrier family 44 member 4) (thiamine pyrophosphate transporter 1) (htppt1)</t>
  </si>
  <si>
    <t>Q53GD3</t>
  </si>
  <si>
    <t>SLC45A1</t>
  </si>
  <si>
    <t>proton-associated sugar transporter a (past-a) (deleted in neuroblastoma 5 protein) (dnb-5) (solute carrier family 45 member 1)</t>
  </si>
  <si>
    <t>Q9Y2W3</t>
  </si>
  <si>
    <t>SLC45A2</t>
  </si>
  <si>
    <t>membrane-associated transporter protein (melanoma antigen aim1) (protein aim-1) (solute carrier family 45 member 2)</t>
  </si>
  <si>
    <t>Q9UMX9</t>
  </si>
  <si>
    <t>SLC46A1</t>
  </si>
  <si>
    <t>proton-coupled folate transporter (hspcft) (hpcft) (heme carrier protein 1) (pcft/hcp1) (solute carrier family 46 member 1)</t>
  </si>
  <si>
    <t>Q96NT5</t>
  </si>
  <si>
    <t>SLC49A4</t>
  </si>
  <si>
    <t>solute carrier family 49 member 4 (disrupted in renal cancer protein 2) (disrupted in renal carcinoma protein 2)</t>
  </si>
  <si>
    <t>Q96SL1</t>
  </si>
  <si>
    <t>SLC51A</t>
  </si>
  <si>
    <t>organic solute transporter subunit alpha (ost-alpha) (solute carrier family 51 subunit alpha)</t>
  </si>
  <si>
    <t>Q86UW1</t>
  </si>
  <si>
    <t>SLC51B</t>
  </si>
  <si>
    <t>organic solute transporter subunit beta (ost-beta) (solute carrier family 51 subunit beta)</t>
  </si>
  <si>
    <t>Q86UW2</t>
  </si>
  <si>
    <t>SLC52A1</t>
  </si>
  <si>
    <t>solute carrier family 52, riboflavin transporter, member 1 (porcine endogenous retrovirus a receptor 2) (perv-a receptor 2) (hupar-2) (protein gpr172b) (riboflavin transporter 1) (hrft1)</t>
  </si>
  <si>
    <t>Q9NWF4</t>
  </si>
  <si>
    <t>SLC52A2</t>
  </si>
  <si>
    <t>solute carrier family 52, riboflavin transporter, member 2 (porcine endogenous retrovirus a receptor 1) (perv-a receptor 1) (protein gpr172a) (riboflavin transporter 3) (hrft3)</t>
  </si>
  <si>
    <t>Q9HAB3</t>
  </si>
  <si>
    <t>SLC52A3</t>
  </si>
  <si>
    <t>solute carrier family 52, riboflavin transporter, member 3 (riboflavin transporter 2) (hrft2)</t>
  </si>
  <si>
    <t>Q9NQ40</t>
  </si>
  <si>
    <t>SLCO2A1</t>
  </si>
  <si>
    <t>solute carrier organic anion transporter family member 2a1 (slco2a1) (oatp2a1) (phoar2) (prostaglandin transporter) (pgt) (solute carrier family 21 member 2) (slc21a2)</t>
  </si>
  <si>
    <t>Q92959</t>
  </si>
  <si>
    <t>SLITRK1</t>
  </si>
  <si>
    <t>slit and ntrk-like protein 1 (leucine-rich repeat-containing protein 12)</t>
  </si>
  <si>
    <t>Q96PX8</t>
  </si>
  <si>
    <t>SLITRK6</t>
  </si>
  <si>
    <t>slit and ntrk-like protein 6</t>
  </si>
  <si>
    <t>Q9H5Y7</t>
  </si>
  <si>
    <t>SLURP1</t>
  </si>
  <si>
    <t>secreted ly-6/upar-related protein 1 (slurp-1) (ars component b) (ars(component b)-81/s) (anti-neoplastic urinary protein) (anup)</t>
  </si>
  <si>
    <t>P55000</t>
  </si>
  <si>
    <t>SLX4IP</t>
  </si>
  <si>
    <t>protein slx4ip (slx4-interacting protein)</t>
  </si>
  <si>
    <t>Q5VYV7</t>
  </si>
  <si>
    <t>SMAD6</t>
  </si>
  <si>
    <t>mothers against decapentaplegic homolog 6 (mad homolog 6) (mothers against dpp homolog 6) (smad family member 6) (smad 6) (smad6) (hsmad6)</t>
  </si>
  <si>
    <t>O43541</t>
  </si>
  <si>
    <t>SMAD7</t>
  </si>
  <si>
    <t>mothers against decapentaplegic homolog 7 (mad homolog 7) (mothers against dpp homolog 7) (mothers against decapentaplegic homolog 8) (mad homolog 8) (mothers against dpp homolog 8) (smad family member 7) (smad 7) (smad7) (hsmad7)</t>
  </si>
  <si>
    <t>O15105</t>
  </si>
  <si>
    <t>SMAD9</t>
  </si>
  <si>
    <t>mothers against decapentaplegic homolog 9 (mad homolog 9) (mothers against dpp homolog 9) (madh6) (smad family member 9) (smad 9) (smad9)</t>
  </si>
  <si>
    <t>O15198</t>
  </si>
  <si>
    <t>SMARCAD1</t>
  </si>
  <si>
    <t>swi/snf-related matrix-associated actin-dependent regulator of chromatin subfamily a containing dead/h box 1 (ec 3.6.4.12) (atp-dependent helicase 1) (hhel1)</t>
  </si>
  <si>
    <t>Q9H4L7</t>
  </si>
  <si>
    <t>SMARCAL1</t>
  </si>
  <si>
    <t>swi/snf-related matrix-associated actin-dependent regulator of chromatin subfamily a-like protein 1 (ec 3.6.4.-) (hepa-related protein) (hharp) (sucrose nonfermenting protein 2-like 1)</t>
  </si>
  <si>
    <t>Q9NZC9</t>
  </si>
  <si>
    <t>SMCHD1</t>
  </si>
  <si>
    <t>structural maintenance of chromosomes flexible hinge domain-containing protein 1 (smc hinge domain-containing protein 1) (ec 3.6.1.-)</t>
  </si>
  <si>
    <t>A6NHR9</t>
  </si>
  <si>
    <t>SMOC1</t>
  </si>
  <si>
    <t>sparc-related modular calcium-binding protein 1 (secreted modular calcium-binding protein 1) (smoc-1)</t>
  </si>
  <si>
    <t>Q9H4F8</t>
  </si>
  <si>
    <t>SMPD4</t>
  </si>
  <si>
    <t>sphingomyelin phosphodiesterase 4 (ec 3.1.4.12) (neutral sphingomyelinase 3) (nsmase-3) (nsmase3) (neutral sphingomyelinase iii)</t>
  </si>
  <si>
    <t>Q9NXE4</t>
  </si>
  <si>
    <t>SMS</t>
  </si>
  <si>
    <t>spermine synthase (spmsy) (ec 2.5.1.22) (spermidine aminopropyltransferase)</t>
  </si>
  <si>
    <t>P52788</t>
  </si>
  <si>
    <t>SNAI2</t>
  </si>
  <si>
    <t>zinc finger protein snai2 (neural crest transcription factor slug) (protein snail homolog 2)</t>
  </si>
  <si>
    <t>O43623</t>
  </si>
  <si>
    <t>SNAP25</t>
  </si>
  <si>
    <t>synaptosomal-associated protein 25 (snap-25) (super protein) (sup) (synaptosomal-associated 25 kda protein)</t>
  </si>
  <si>
    <t>P60880</t>
  </si>
  <si>
    <t>SNAP29</t>
  </si>
  <si>
    <t>synaptosomal-associated protein 29 (snap-29) (soluble 29 kda nsf attachment protein) (vesicle-membrane fusion protein snap-29)</t>
  </si>
  <si>
    <t>O95721</t>
  </si>
  <si>
    <t>SNCAIP</t>
  </si>
  <si>
    <t>synphilin-1 (sph1) (alpha-synuclein-interacting protein)</t>
  </si>
  <si>
    <t>Q9Y6H5</t>
  </si>
  <si>
    <t>SNX3</t>
  </si>
  <si>
    <t>sorting nexin-3 (protein sdp3)</t>
  </si>
  <si>
    <t>O60493</t>
  </si>
  <si>
    <t>SNX10</t>
  </si>
  <si>
    <t>sorting nexin-10</t>
  </si>
  <si>
    <t>Q9Y5X0</t>
  </si>
  <si>
    <t>SOCS1</t>
  </si>
  <si>
    <t>suppressor of cytokine signaling 1 (socs-1) (jak-binding protein) (jab) (stat-induced stat inhibitor 1) (ssi-1) (tec-interacting protein 3) (tip-3)</t>
  </si>
  <si>
    <t>O15524</t>
  </si>
  <si>
    <t>SOCS3</t>
  </si>
  <si>
    <t>suppressor of cytokine signaling 3 (socs-3) (cytokine-inducible sh2 protein 3) (cis-3) (stat-induced stat inhibitor 3) (ssi-3)</t>
  </si>
  <si>
    <t>O14543</t>
  </si>
  <si>
    <t>SOD2</t>
  </si>
  <si>
    <t>superoxide dismutase [mn], mitochondrial (ec 1.15.1.1)</t>
  </si>
  <si>
    <t>P04179</t>
  </si>
  <si>
    <t>SOHLH1</t>
  </si>
  <si>
    <t>spermatogenesis- and oogenesis-specific basic helix-loop-helix-containing protein 1</t>
  </si>
  <si>
    <t>Q5JUK2</t>
  </si>
  <si>
    <t>SON</t>
  </si>
  <si>
    <t>protein son (bax antagonist selected in saccharomyces 1) (bass1) (negative regulatory element-binding protein) (nre-binding protein) (protein dbp-5) (son3)</t>
  </si>
  <si>
    <t>P18583</t>
  </si>
  <si>
    <t>SORD</t>
  </si>
  <si>
    <t>sorbitol dehydrogenase (sdh) (ec 1.1.1.-) ((r,r)-butanediol dehydrogenase) (ec 1.1.1.4) (l-iditol 2-dehydrogenase) (ec 1.1.1.14) (polyol dehydrogenase) (ribitol dehydrogenase) (rdh) (ec 1.1.1.56) (xylitol dehydrogenase) (xdh) (ec 1.1.1.9)</t>
  </si>
  <si>
    <t>Q00796</t>
  </si>
  <si>
    <t>SORL1</t>
  </si>
  <si>
    <t>sortilin-related receptor (low-density lipoprotein receptor relative with 11 ligand-binding repeats) (ldlr relative with 11 ligand-binding repeats) (lr11) (sorla-1) (sorting protein-related receptor containing ldlr class a repeats) (sorla)</t>
  </si>
  <si>
    <t>Q92673</t>
  </si>
  <si>
    <t>SORT1</t>
  </si>
  <si>
    <t>sortilin (100 kda nt receptor) (glycoprotein 95) (gp95) (neurotensin receptor 3) (nt3) (ntr3)</t>
  </si>
  <si>
    <t>Q99523</t>
  </si>
  <si>
    <t>SOS2</t>
  </si>
  <si>
    <t>son of sevenless homolog 2 (sos-2)</t>
  </si>
  <si>
    <t>Q07890</t>
  </si>
  <si>
    <t>SOST</t>
  </si>
  <si>
    <t>sclerostin</t>
  </si>
  <si>
    <t>Q9BQB4</t>
  </si>
  <si>
    <t>SOX2</t>
  </si>
  <si>
    <t>transcription factor sox-2</t>
  </si>
  <si>
    <t>P48431</t>
  </si>
  <si>
    <t>SOX3</t>
  </si>
  <si>
    <t>transcription factor sox-3</t>
  </si>
  <si>
    <t>P41225</t>
  </si>
  <si>
    <t>SOX4</t>
  </si>
  <si>
    <t>transcription factor sox-4</t>
  </si>
  <si>
    <t>Q06945</t>
  </si>
  <si>
    <t>SOX5</t>
  </si>
  <si>
    <t>transcription factor sox-5</t>
  </si>
  <si>
    <t>P35711</t>
  </si>
  <si>
    <t>SOX6</t>
  </si>
  <si>
    <t>transcription factor sox-6</t>
  </si>
  <si>
    <t>P35712</t>
  </si>
  <si>
    <t>SOX9</t>
  </si>
  <si>
    <t>transcription factor sox-9</t>
  </si>
  <si>
    <t>P48436</t>
  </si>
  <si>
    <t>SOX10</t>
  </si>
  <si>
    <t>transcription factor sox-10</t>
  </si>
  <si>
    <t>P56693</t>
  </si>
  <si>
    <t>SOX11</t>
  </si>
  <si>
    <t>transcription factor sox-11</t>
  </si>
  <si>
    <t>P35716</t>
  </si>
  <si>
    <t>SOX13</t>
  </si>
  <si>
    <t>transcription factor sox-13 (islet cell antigen 12) (sry (sex determining region y)-box 13) (type 1 diabetes autoantigen ica12)</t>
  </si>
  <si>
    <t>Q9UN79</t>
  </si>
  <si>
    <t>SOX17</t>
  </si>
  <si>
    <t>transcription factor sox-17</t>
  </si>
  <si>
    <t>Q9H6I2</t>
  </si>
  <si>
    <t>SOX18</t>
  </si>
  <si>
    <t>transcription factor sox-18</t>
  </si>
  <si>
    <t>P35713</t>
  </si>
  <si>
    <t>SP7</t>
  </si>
  <si>
    <t>transcription factor sp7 (zinc finger protein osterix)</t>
  </si>
  <si>
    <t>Q8TDD2</t>
  </si>
  <si>
    <t>SP110</t>
  </si>
  <si>
    <t>sp110 nuclear body protein (interferon-induced protein 41/75) (speckled 110 kda) (transcriptional coactivator sp110)</t>
  </si>
  <si>
    <t>Q9HB58</t>
  </si>
  <si>
    <t>SPAG17</t>
  </si>
  <si>
    <t>sperm-associated antigen 17 (projection protein pf6 homolog)</t>
  </si>
  <si>
    <t>Q6Q759</t>
  </si>
  <si>
    <t>SPARC</t>
  </si>
  <si>
    <t>sparc (basement-membrane protein 40) (bm-40) (osteonectin) (on) (secreted protein acidic and rich in cysteine)</t>
  </si>
  <si>
    <t>P09486</t>
  </si>
  <si>
    <t>SPART</t>
  </si>
  <si>
    <t>spartin (spastic paraplegia 20 protein) (trans-activated by hepatitis c virus core protein 1)</t>
  </si>
  <si>
    <t>Q8N0X7</t>
  </si>
  <si>
    <t>SPAST</t>
  </si>
  <si>
    <t>spastin (ec 5.6.1.1) (spastic paraplegia 4 protein)</t>
  </si>
  <si>
    <t>Q9UBP0</t>
  </si>
  <si>
    <t>SPATA5</t>
  </si>
  <si>
    <t>atpase family gene 2 protein homolog a (ec 3.6.4.10) (afg2 aaa atpase homolog a) (ribosome biogenesis protein spata5) (spermatogenesis-associated factor protein) (spermatogenesis-associated protein 5)</t>
  </si>
  <si>
    <t>Q8NB90</t>
  </si>
  <si>
    <t>SPATA5L1</t>
  </si>
  <si>
    <t>atpase family gene 2 protein homolog b (ec 3.6.4.10) (afg2 aaa atpase homolog b) (ribosome biogenesis protein spata5l1) (spermatogenesis-associated protein 5-like protein 1)</t>
  </si>
  <si>
    <t>Q9BVQ7</t>
  </si>
  <si>
    <t>SPATA7</t>
  </si>
  <si>
    <t>spermatogenesis-associated protein 7 (hsd-3.1) (spermatogenesis-associated protein hsd3)</t>
  </si>
  <si>
    <t>Q9P0W8</t>
  </si>
  <si>
    <t>SPATA16</t>
  </si>
  <si>
    <t>spermatogenesis-associated protein 16 (testis development protein nyd-sp12)</t>
  </si>
  <si>
    <t>Q9BXB7</t>
  </si>
  <si>
    <t>SPDYE1</t>
  </si>
  <si>
    <t>speedy protein e1 (williams-beuren syndrome chromosomal region 19 protein)</t>
  </si>
  <si>
    <t>Q8NFV5</t>
  </si>
  <si>
    <t>SPECC1</t>
  </si>
  <si>
    <t>cytospin-b (nuclear structure protein 5) (nsp5) (sperm antigen hcmogt-1) (sperm antigen with calponin homology and coiled-coil domains 1)</t>
  </si>
  <si>
    <t>Q5M775</t>
  </si>
  <si>
    <t>SPEF2</t>
  </si>
  <si>
    <t>sperm flagellar protein 2 (protein kpl2)</t>
  </si>
  <si>
    <t>Q9C093</t>
  </si>
  <si>
    <t>SPEG</t>
  </si>
  <si>
    <t>striated muscle preferentially expressed protein kinase (ec 2.7.11.1) (aortic preferentially expressed protein 1) (apeg-1)</t>
  </si>
  <si>
    <t>Q15772</t>
  </si>
  <si>
    <t>SPEN</t>
  </si>
  <si>
    <t>msx2-interacting protein (smart/hdac1-associated repressor protein) (spen homolog)</t>
  </si>
  <si>
    <t>Q96T58</t>
  </si>
  <si>
    <t>SPG7</t>
  </si>
  <si>
    <t>mitochondrial inner membrane m-aaa protease component paraplegin (ec 3.4.24.-) (ec 3.6.-.-) (cell matrix adhesion regulator) (paraplegin) (spastic paraplegia 7 protein)</t>
  </si>
  <si>
    <t>Q9UQ90</t>
  </si>
  <si>
    <t>SPG11</t>
  </si>
  <si>
    <t>spatacsin (colorectal carcinoma-associated protein) (spastic paraplegia 11 protein)</t>
  </si>
  <si>
    <t>Q96JI7</t>
  </si>
  <si>
    <t>SPG21</t>
  </si>
  <si>
    <t>maspardin (acid cluster protein 33) (spastic paraplegia 21 autosomal recessive mast syndrome protein) (spastic paraplegia 21 protein)</t>
  </si>
  <si>
    <t>Q9NZD8</t>
  </si>
  <si>
    <t>SPHK2</t>
  </si>
  <si>
    <t>sphingosine kinase 2 (sk 2) (spk 2) (ec 2.7.1.91)</t>
  </si>
  <si>
    <t>Q9NRA0</t>
  </si>
  <si>
    <t>SPI1</t>
  </si>
  <si>
    <t>transcription factor pu.1 (31 kda-transforming protein)</t>
  </si>
  <si>
    <t>P17947</t>
  </si>
  <si>
    <t>SPINK1</t>
  </si>
  <si>
    <t>serine protease inhibitor kazal-type 1 (pancreatic secretory trypsin inhibitor) (tumor-associated trypsin inhibitor) (tati)</t>
  </si>
  <si>
    <t>P00995</t>
  </si>
  <si>
    <t>SPINK2</t>
  </si>
  <si>
    <t>serine protease inhibitor kazal-type 2 (acrosin-trypsin inhibitor) (epididymis tissue protein li 172) (husi-ii)</t>
  </si>
  <si>
    <t>P20155</t>
  </si>
  <si>
    <t>SPINK5</t>
  </si>
  <si>
    <t>serine protease inhibitor kazal-type 5 (lympho-epithelial kazal-type-related inhibitor) (lekti) [cleaved into: hemofiltrate peptide hf6478; hemofiltrate peptide hf7665]</t>
  </si>
  <si>
    <t>Q9NQ38</t>
  </si>
  <si>
    <t>SPINT2</t>
  </si>
  <si>
    <t>kunitz-type protease inhibitor 2 (hepatocyte growth factor activator inhibitor type 2) (hai-2) (placental bikunin)</t>
  </si>
  <si>
    <t>O43291</t>
  </si>
  <si>
    <t>SPNS2</t>
  </si>
  <si>
    <t>sphingosine-1-phosphate transporter spns2 (protein spinster homolog 2)</t>
  </si>
  <si>
    <t>Q8IVW8</t>
  </si>
  <si>
    <t>SPOP</t>
  </si>
  <si>
    <t>speckle-type poz protein (hib homolog 1) (roadkill homolog 1)</t>
  </si>
  <si>
    <t>O43791</t>
  </si>
  <si>
    <t>SPPL2A</t>
  </si>
  <si>
    <t>signal peptide peptidase-like 2a (spp-like 2a) (sppl2a) (ec 3.4.23.-) (intramembrane protease 3) (imp-3) (presenilin-like protein 2)</t>
  </si>
  <si>
    <t>Q8TCT8</t>
  </si>
  <si>
    <t>SPR</t>
  </si>
  <si>
    <t>sepiapterin reductase (spr) (ec 1.1.1.153)</t>
  </si>
  <si>
    <t>P35270</t>
  </si>
  <si>
    <t>SPRED1</t>
  </si>
  <si>
    <t>sprouty-related, evh1 domain-containing protein 1 (spred-1) (hspred1)</t>
  </si>
  <si>
    <t>Q7Z699</t>
  </si>
  <si>
    <t>SPRED2</t>
  </si>
  <si>
    <t>sprouty-related, evh1 domain-containing protein 2 (spred-2)</t>
  </si>
  <si>
    <t>Q7Z698</t>
  </si>
  <si>
    <t>SPRTN</t>
  </si>
  <si>
    <t>dna-dependent metalloprotease sprtn (ec 3.4.24.-) (dna damage protein targeting vcp) (dvc1) (protein with sprt-like domain at the n terminus) (spartan)</t>
  </si>
  <si>
    <t>Q9H040</t>
  </si>
  <si>
    <t>SPRY2</t>
  </si>
  <si>
    <t>protein sprouty homolog 2 (spry-2)</t>
  </si>
  <si>
    <t>O43597</t>
  </si>
  <si>
    <t>SPRY4</t>
  </si>
  <si>
    <t>protein sprouty homolog 4 (spry-4)</t>
  </si>
  <si>
    <t>Q9C004</t>
  </si>
  <si>
    <t>SPTAN1</t>
  </si>
  <si>
    <t>spectrin alpha chain, non-erythrocytic 1 (alpha-ii spectrin) (fodrin alpha chain) (spectrin, non-erythroid alpha subunit)</t>
  </si>
  <si>
    <t>Q13813</t>
  </si>
  <si>
    <t>SPTBN1</t>
  </si>
  <si>
    <t>spectrin beta chain, non-erythrocytic 1 (beta-ii spectrin) (fodrin beta chain) (spectrin, non-erythroid beta chain 1)</t>
  </si>
  <si>
    <t>Q01082</t>
  </si>
  <si>
    <t>SPTBN2</t>
  </si>
  <si>
    <t>spectrin beta chain, non-erythrocytic 2 (beta-iii spectrin) (spinocerebellar ataxia 5 protein)</t>
  </si>
  <si>
    <t>O15020</t>
  </si>
  <si>
    <t>SPTBN4</t>
  </si>
  <si>
    <t>spectrin beta chain, non-erythrocytic 4 (beta-iv spectrin) (spectrin, non-erythroid beta chain 3)</t>
  </si>
  <si>
    <t>Q9H254</t>
  </si>
  <si>
    <t>SQOR</t>
  </si>
  <si>
    <t>sulfide:quinone oxidoreductase, mitochondrial (sqor) (ec 1.8.5.8) (sulfide dehydrogenase-like) (sulfide quinone oxidoreductase)</t>
  </si>
  <si>
    <t>Q9Y6N5</t>
  </si>
  <si>
    <t>SQSTM1</t>
  </si>
  <si>
    <t>sequestosome-1 (ebi3-associated protein of 60 kda) (ebiap) (p60) (phosphotyrosine-independent ligand for the lck sh2 domain of 62 kda) (ubiquitin-binding protein p62)</t>
  </si>
  <si>
    <t>Q13501</t>
  </si>
  <si>
    <t>SRD5A3</t>
  </si>
  <si>
    <t>polyprenol reductase (ec 1.3.1.94) (3-oxo-5-alpha-steroid 4-dehydrogenase 3) (ec 1.3.1.22) (steroid 5-alpha-reductase 2-like) (steroid 5-alpha-reductase 3) (s5ar 3) (sr type 3)</t>
  </si>
  <si>
    <t>Q9H8P0</t>
  </si>
  <si>
    <t>SREBF1</t>
  </si>
  <si>
    <t>sterol regulatory element-binding protein 1 (srebp-1) (class d basic helix-loop-helix protein 1) (bhlhd1) (sterol regulatory element-binding transcription factor 1) [cleaved into: processed sterol regulatory element-binding protein 1 (transcription factor srebf1)]</t>
  </si>
  <si>
    <t>P36956</t>
  </si>
  <si>
    <t>SRGAP1</t>
  </si>
  <si>
    <t>slit-robo rho gtpase-activating protein 1 (srgap1) (rho gtpase-activating protein 13)</t>
  </si>
  <si>
    <t>Q7Z6B7</t>
  </si>
  <si>
    <t>SRGAP2</t>
  </si>
  <si>
    <t>slit-robo rho gtpase-activating protein 2 (srgap2) (formin-binding protein 2) (rho gtpase-activating protein 34)</t>
  </si>
  <si>
    <t>O75044</t>
  </si>
  <si>
    <t>SRGAP3</t>
  </si>
  <si>
    <t>slit-robo rho gtpase-activating protein 3 (srgap3) (mental disorder-associated gap) (rho gtpase-activating protein 14) (wave-associated rac gtpase-activating protein) (wrp)</t>
  </si>
  <si>
    <t>O43295</t>
  </si>
  <si>
    <t>SRPX2</t>
  </si>
  <si>
    <t>sushi repeat-containing protein srpx2 (sushi-repeat protein upregulated in leukemia)</t>
  </si>
  <si>
    <t>O60687</t>
  </si>
  <si>
    <t>SRY</t>
  </si>
  <si>
    <t>sex-determining region y protein (testis-determining factor)</t>
  </si>
  <si>
    <t>Q05066</t>
  </si>
  <si>
    <t>SSBP1</t>
  </si>
  <si>
    <t>single-stranded dna-binding protein, mitochondrial (mt-ssb) (mtssb) (pwp1-interacting protein 17)</t>
  </si>
  <si>
    <t>Q04837</t>
  </si>
  <si>
    <t>SSX2</t>
  </si>
  <si>
    <t>ba564h18.1 (synovial sarcoma, x breakpoint 2)</t>
  </si>
  <si>
    <t>Q8WWZ9</t>
  </si>
  <si>
    <t>ST3GAL5</t>
  </si>
  <si>
    <t>lactosylceramide alpha-2,3-sialyltransferase (ec 2.4.3.9) (cmp-neuac:lactosylceramide alpha-2,3-sialyltransferase) (gm3 synthase) (ganglioside gm3 synthase) (st3gal v) (st3galv) (sialyltransferase 9)</t>
  </si>
  <si>
    <t>Q9UNP4</t>
  </si>
  <si>
    <t>STAC3</t>
  </si>
  <si>
    <t>sh3 and cysteine-rich domain-containing protein 3</t>
  </si>
  <si>
    <t>Q96MF2</t>
  </si>
  <si>
    <t>STAMBP</t>
  </si>
  <si>
    <t>stam-binding protein (ec 3.4.19.-) (associated molecule with the sh3 domain of stam) (endosome-associated ubiquitin isopeptidase)</t>
  </si>
  <si>
    <t>O95630</t>
  </si>
  <si>
    <t>STAR</t>
  </si>
  <si>
    <t>steroidogenic acute regulatory protein, mitochondrial (star) (start domain-containing protein 1) (stard1)</t>
  </si>
  <si>
    <t>P49675</t>
  </si>
  <si>
    <t>STEAP3</t>
  </si>
  <si>
    <t>metalloreductase steap3 (ec 1.16.1.-) (dudulin-2) (six-transmembrane epithelial antigen of prostate 3) (tumor suppressor-activated pathway protein 6) (htsap6) (phyde) (hphyde)</t>
  </si>
  <si>
    <t>Q658P3</t>
  </si>
  <si>
    <t>STIM1</t>
  </si>
  <si>
    <t>stromal interaction molecule 1</t>
  </si>
  <si>
    <t>Q13586</t>
  </si>
  <si>
    <t>STK19</t>
  </si>
  <si>
    <t>inactive serine/threonine-protein kinase 19 (protein g11) (protein rp1)</t>
  </si>
  <si>
    <t>P49842</t>
  </si>
  <si>
    <t>STRA6</t>
  </si>
  <si>
    <t>receptor for retinol uptake stra6 (retinol-binding protein receptor stra6) (stimulated by retinoic acid gene 6 protein homolog)</t>
  </si>
  <si>
    <t>Q9BX79</t>
  </si>
  <si>
    <t>STRC</t>
  </si>
  <si>
    <t>stereocilin</t>
  </si>
  <si>
    <t>Q7RTU9</t>
  </si>
  <si>
    <t>STUB1</t>
  </si>
  <si>
    <t>e3 ubiquitin-protein ligase chip (ec 2.3.2.27) (antigen ny-co-7) (cll-associated antigen kw-8) (carboxy terminus of hsp70-interacting protein) (ring-type e3 ubiquitin transferase chip) (stip1 homology and u box-containing protein 1)</t>
  </si>
  <si>
    <t>Q9UNE7</t>
  </si>
  <si>
    <t>STX1A</t>
  </si>
  <si>
    <t>syntaxin-1a (neuron-specific antigen hpc-1)</t>
  </si>
  <si>
    <t>Q16623</t>
  </si>
  <si>
    <t>STX1B</t>
  </si>
  <si>
    <t>syntaxin-1b (syntaxin-1b1) (syntaxin-1b2)</t>
  </si>
  <si>
    <t>P61266</t>
  </si>
  <si>
    <t>STX3</t>
  </si>
  <si>
    <t>syntaxin-3</t>
  </si>
  <si>
    <t>Q13277</t>
  </si>
  <si>
    <t>STX11</t>
  </si>
  <si>
    <t>syntaxin-11</t>
  </si>
  <si>
    <t>O75558</t>
  </si>
  <si>
    <t>STX16</t>
  </si>
  <si>
    <t>syntaxin-16 (syn16)</t>
  </si>
  <si>
    <t>O14662</t>
  </si>
  <si>
    <t>STXBP1</t>
  </si>
  <si>
    <t>syntaxin-binding protein 1 (munc18-1) (n-sec1) (protein unc-18 homolog 1) (unc18-1) (protein unc-18 homolog a) (unc-18a) (p67)</t>
  </si>
  <si>
    <t>P61764</t>
  </si>
  <si>
    <t>STXBP2</t>
  </si>
  <si>
    <t>syntaxin-binding protein 2 (protein unc-18 homolog 2) (unc18-2) (protein unc-18 homolog b) (unc-18b)</t>
  </si>
  <si>
    <t>Q15833</t>
  </si>
  <si>
    <t>SUGCT</t>
  </si>
  <si>
    <t>succinate--hydroxymethylglutarate coa-transferase (ec 2.8.3.13) (dermal papilla-derived protein 13) (succinylcoa:glutarate-coa transferase)</t>
  </si>
  <si>
    <t>Q9HAC7</t>
  </si>
  <si>
    <t>SULT2B1</t>
  </si>
  <si>
    <t>sulfotransferase 2b1 (ec 2.8.2.2) (alcohol sulfotransferase) (hydroxysteroid sulfotransferase 2) (sulfotransferase family 2b member 1) (sulfotransferase family cytosolic 2b member 1) (st2b1)</t>
  </si>
  <si>
    <t>O00204</t>
  </si>
  <si>
    <t>SUMF1</t>
  </si>
  <si>
    <t>formylglycine-generating enzyme (fge) (ec 1.8.3.7) (c-alpha-formylglycine-generating enzyme 1) (sulfatase-modifying factor 1)</t>
  </si>
  <si>
    <t>Q8NBK3</t>
  </si>
  <si>
    <t>small ubiquitin-related modifier 1 (sumo-1) (gap-modifying protein 1) (gmp1) (smt3 homolog 3) (sentrin) (ubiquitin-homology domain protein pic1) (ubiquitin-like protein smt3c) (smt3c) (ubiquitin-like protein ubl1)</t>
  </si>
  <si>
    <t>P63165</t>
  </si>
  <si>
    <t>SUMO4</t>
  </si>
  <si>
    <t>small ubiquitin-related modifier 4 (sumo-4) (small ubiquitin-like protein 4)</t>
  </si>
  <si>
    <t>Q6EEV6</t>
  </si>
  <si>
    <t>SUN5</t>
  </si>
  <si>
    <t>sun domain-containing protein 5 (sad1 and unc84 domain-containing protein 5) (sperm-associated antigen 4-like protein) (testis and spermatogenesis-related gene 4 protein)</t>
  </si>
  <si>
    <t>Q8TC36</t>
  </si>
  <si>
    <t>SUOX</t>
  </si>
  <si>
    <t>sulfite oxidase, mitochondrial (ec 1.8.3.1)</t>
  </si>
  <si>
    <t>P51687</t>
  </si>
  <si>
    <t>SURF1</t>
  </si>
  <si>
    <t>surfeit locus protein 1</t>
  </si>
  <si>
    <t>Q15526</t>
  </si>
  <si>
    <t>SVIL</t>
  </si>
  <si>
    <t>supervillin (archvillin) (p205/p250)</t>
  </si>
  <si>
    <t>O95425</t>
  </si>
  <si>
    <t>SYN1</t>
  </si>
  <si>
    <t>synapsin-1 (brain protein 4.1) (synapsin i)</t>
  </si>
  <si>
    <t>P17600</t>
  </si>
  <si>
    <t>SYN2</t>
  </si>
  <si>
    <t>synapsin-2 (synapsin ii)</t>
  </si>
  <si>
    <t>Q92777</t>
  </si>
  <si>
    <t>SYNGAP1</t>
  </si>
  <si>
    <t>ras/rap gtpase-activating protein syngap (neuronal rasgap) (synaptic ras gtpase-activating protein 1) (synaptic ras-gap 1)</t>
  </si>
  <si>
    <t>Q96PV0</t>
  </si>
  <si>
    <t>SYNJ1</t>
  </si>
  <si>
    <t>synaptojanin-1 (ec 3.1.3.36) (synaptic inositol 1,4,5-trisphosphate 5-phosphatase 1)</t>
  </si>
  <si>
    <t>O43426</t>
  </si>
  <si>
    <t>SYP</t>
  </si>
  <si>
    <t>synaptophysin (major synaptic vesicle protein p38)</t>
  </si>
  <si>
    <t>P08247</t>
  </si>
  <si>
    <t>SYT1</t>
  </si>
  <si>
    <t>synaptotagmin-1 (synaptotagmin i) (syti) (p65)</t>
  </si>
  <si>
    <t>P21579</t>
  </si>
  <si>
    <t>SYT2</t>
  </si>
  <si>
    <t>synaptotagmin-2 (synaptotagmin ii) (sytii)</t>
  </si>
  <si>
    <t>Q8N9I0</t>
  </si>
  <si>
    <t>SYT14</t>
  </si>
  <si>
    <t>synaptotagmin-14 (synaptotagmin xiv) (sytxiv)</t>
  </si>
  <si>
    <t>Q8NB59</t>
  </si>
  <si>
    <t>SYVN1</t>
  </si>
  <si>
    <t>e3 ubiquitin-protein ligase synoviolin (ec 2.3.2.27) (ring-type e3 ubiquitin transferase synoviolin) (synovial apoptosis inhibitor 1)</t>
  </si>
  <si>
    <t>Q86TM6</t>
  </si>
  <si>
    <t>TAB2</t>
  </si>
  <si>
    <t>tgf-beta-activated kinase 1 and map3k7-binding protein 2 (mitogen-activated protein kinase kinase kinase 7-interacting protein 2) (tak1-binding protein 2) (tab-2) (tgf-beta-activated kinase 1-binding protein 2)</t>
  </si>
  <si>
    <t>Q9NYJ8</t>
  </si>
  <si>
    <t>TAC3</t>
  </si>
  <si>
    <t>tachykinin-3 (zneurok1) [cleaved into: neurokinin-b (nkb) (neuromedin-k)]</t>
  </si>
  <si>
    <t>Q9UHF0</t>
  </si>
  <si>
    <t>TACO1</t>
  </si>
  <si>
    <t>translational activator of cytochrome c oxidase 1 (coiled-coil domain-containing protein 44) (translational activator of mitochondrially-encoded cytochrome c oxidase i)</t>
  </si>
  <si>
    <t>Q9BSH4</t>
  </si>
  <si>
    <t>TACSTD2</t>
  </si>
  <si>
    <t>tumor-associated calcium signal transducer 2 (cell surface glycoprotein trop-2) (membrane component chromosome 1 surface marker 1) (pancreatic carcinoma marker protein ga733-1)</t>
  </si>
  <si>
    <t>P09758</t>
  </si>
  <si>
    <t>TAF1</t>
  </si>
  <si>
    <t>transcription initiation factor tfiid subunit 1 (ec 2.3.1.48) (ec 2.7.11.1) (cell cycle gene 1 protein) (tbp-associated factor 250 kda) (p250) (transcription initiation factor tfiid 250 kda subunit) (taf(ii)250) (tafii-250) (tafii250)</t>
  </si>
  <si>
    <t>P21675</t>
  </si>
  <si>
    <t>TAF15</t>
  </si>
  <si>
    <t>tata-binding protein-associated factor 2n (68 kda tata-binding protein-associated factor) (taf(ii)68) (tafii68) (rna-binding protein 56)</t>
  </si>
  <si>
    <t>Q92804</t>
  </si>
  <si>
    <t>TAL1</t>
  </si>
  <si>
    <t>t-cell acute lymphocytic leukemia protein 1 (tal-1) (class a basic helix-loop-helix protein 17) (bhlha17) (stem cell protein) (t-cell leukemia/lymphoma protein 5)</t>
  </si>
  <si>
    <t>P17542</t>
  </si>
  <si>
    <t>TALDO1</t>
  </si>
  <si>
    <t>transaldolase (ec 2.2.1.2)</t>
  </si>
  <si>
    <t>P37837</t>
  </si>
  <si>
    <t>TANC2</t>
  </si>
  <si>
    <t>protein tanc2 (tetratricopeptide repeat, ankyrin repeat and coiled-coil domain-containing protein 2)</t>
  </si>
  <si>
    <t>Q9HCD6</t>
  </si>
  <si>
    <t>TAP1</t>
  </si>
  <si>
    <t>antigen peptide transporter 1 (apt1) (ec 7.4.2.14) (atp-binding cassette sub-family b member 2) (peptide supply factor 1) (peptide transporter psf1) (psf-1) (peptide transporter tap1) (peptide transporter involved in antigen processing 1) (really interesting new gene 4 protein) (ring4)</t>
  </si>
  <si>
    <t>Q03518</t>
  </si>
  <si>
    <t>TAP2</t>
  </si>
  <si>
    <t>antigen peptide transporter 2 (apt2) (ec 7.4.2.14) (atp-binding cassette sub-family b member 3) (peptide supply factor 2) (peptide transporter psf2) (psf-2) (peptide transporter tap2) (peptide transporter involved in antigen processing 2) (really interesting new gene 11 protein) (ring11)</t>
  </si>
  <si>
    <t>Q03519</t>
  </si>
  <si>
    <t>TAPT1</t>
  </si>
  <si>
    <t>transmembrane anterior posterior transformation protein 1 homolog (cytomegalovirus partial fusion receptor)</t>
  </si>
  <si>
    <t>Q6NXT6</t>
  </si>
  <si>
    <t>threonine--trna ligase 1, cytoplasmic (ec 6.1.1.3) (threonyl-trna synthetase) (thrrs) (threonyl-trna synthetase 1)</t>
  </si>
  <si>
    <t>P26639</t>
  </si>
  <si>
    <t>TARS2</t>
  </si>
  <si>
    <t>threonine--trna ligase, mitochondrial (ec 6.1.1.3) (threonyl-trna synthetase) (thrrs) (threonyl-trna synthetase-like 1)</t>
  </si>
  <si>
    <t>Q9BW92</t>
  </si>
  <si>
    <t>TASP1</t>
  </si>
  <si>
    <t>threonine aspartase 1 (taspase-1) (ec 3.4.25.-) [cleaved into: threonine aspartase subunit alpha; threonine aspartase subunit beta]</t>
  </si>
  <si>
    <t>Q9H6P5</t>
  </si>
  <si>
    <t>TBC1D4</t>
  </si>
  <si>
    <t>tbc1 domain family member 4 (akt substrate of 160 kda) (as160)</t>
  </si>
  <si>
    <t>O60343</t>
  </si>
  <si>
    <t>TBC1D20</t>
  </si>
  <si>
    <t>tbc1 domain family member 20</t>
  </si>
  <si>
    <t>Q96BZ9</t>
  </si>
  <si>
    <t>TBC1D23</t>
  </si>
  <si>
    <t>tbc1 domain family member 23 (hcv non-structural protein 4a-transactivated protein 1)</t>
  </si>
  <si>
    <t>Q9NUY8</t>
  </si>
  <si>
    <t>TBC1D24</t>
  </si>
  <si>
    <t>tbc1 domain family member 24</t>
  </si>
  <si>
    <t>Q9ULP9</t>
  </si>
  <si>
    <t>TBCD</t>
  </si>
  <si>
    <t>tubulin-specific chaperone d (beta-tubulin cofactor d) (tfcd) (ssd-1) (tubulin-folding cofactor d)</t>
  </si>
  <si>
    <t>Q9BTW9</t>
  </si>
  <si>
    <t>TBCE</t>
  </si>
  <si>
    <t>tubulin-specific chaperone e (tubulin-folding cofactor e)</t>
  </si>
  <si>
    <t>Q15813</t>
  </si>
  <si>
    <t>TBCK</t>
  </si>
  <si>
    <t>tbc domain-containing protein kinase-like protein (ferry endosomal rab5 effector complex subunit 1) (fy-1)</t>
  </si>
  <si>
    <t>CRYZL1,TBCK,PPP1R21,GATD1,C12orf4</t>
  </si>
  <si>
    <t>Q8TEA7</t>
  </si>
  <si>
    <t>TBL1X</t>
  </si>
  <si>
    <t>f-box-like/wd repeat-containing protein tbl1x (smap55) (transducin beta-like protein 1x) (transducin-beta-like protein 1, x-linked)</t>
  </si>
  <si>
    <t>O60907</t>
  </si>
  <si>
    <t>TBL1XR1</t>
  </si>
  <si>
    <t>f-box-like/wd repeat-containing protein tbl1xr1 (nuclear receptor corepressor/hdac3 complex subunit tblr1) (tbl1-related protein 1) (transducin beta-like 1x-related protein 1)</t>
  </si>
  <si>
    <t>Q9BZK7</t>
  </si>
  <si>
    <t>TBL1Y</t>
  </si>
  <si>
    <t>f-box-like/wd repeat-containing protein tbl1y (transducin beta-like protein 1y) (transducin-beta-like protein 1, y-linked)</t>
  </si>
  <si>
    <t>Q9BQ87</t>
  </si>
  <si>
    <t>TBL2</t>
  </si>
  <si>
    <t>transducin beta-like protein 2 (ws beta-transducin repeats protein) (ws-betatrp) (williams-beuren syndrome chromosomal region 13 protein)</t>
  </si>
  <si>
    <t>Q9Y4P3</t>
  </si>
  <si>
    <t>TBR1</t>
  </si>
  <si>
    <t>t-box brain protein 1 (t-brain-1) (tbr-1) (tes-56)</t>
  </si>
  <si>
    <t>Q16650</t>
  </si>
  <si>
    <t>TBX1</t>
  </si>
  <si>
    <t>t-box transcription factor tbx1 (t-box protein 1) (testis-specific t-box protein)</t>
  </si>
  <si>
    <t>O43435</t>
  </si>
  <si>
    <t>TBX2</t>
  </si>
  <si>
    <t>t-box transcription factor tbx2 (t-box protein 2)</t>
  </si>
  <si>
    <t>Q13207</t>
  </si>
  <si>
    <t>TBX3</t>
  </si>
  <si>
    <t>t-box transcription factor tbx3 (t-box protein 3)</t>
  </si>
  <si>
    <t>O15119</t>
  </si>
  <si>
    <t>TBX4</t>
  </si>
  <si>
    <t>t-box transcription factor tbx4 (t-box protein 4)</t>
  </si>
  <si>
    <t>P57082</t>
  </si>
  <si>
    <t>TBX5</t>
  </si>
  <si>
    <t>t-box transcription factor tbx5 (t-box protein 5)</t>
  </si>
  <si>
    <t>Q99593</t>
  </si>
  <si>
    <t>TBX6</t>
  </si>
  <si>
    <t>t-box transcription factor tbx6 (t-box protein 6)</t>
  </si>
  <si>
    <t>O95947</t>
  </si>
  <si>
    <t>TBX18</t>
  </si>
  <si>
    <t>t-box transcription factor tbx18 (t-box protein 18)</t>
  </si>
  <si>
    <t>O95935</t>
  </si>
  <si>
    <t>TBX19</t>
  </si>
  <si>
    <t>t-box transcription factor tbx19 (t-box protein 19) (t-box factor, pituitary)</t>
  </si>
  <si>
    <t>O60806</t>
  </si>
  <si>
    <t>TBX20</t>
  </si>
  <si>
    <t>t-box transcription factor tbx20 (t-box protein 20)</t>
  </si>
  <si>
    <t>Q9UMR3</t>
  </si>
  <si>
    <t>TBX21</t>
  </si>
  <si>
    <t>t-box transcription factor tbx21 (t-box protein 21) (t-cell-specific t-box transcription factor t-bet) (transcription factor tblym)</t>
  </si>
  <si>
    <t>Q9UL17</t>
  </si>
  <si>
    <t>TBX22</t>
  </si>
  <si>
    <t>t-box transcription factor tbx22 (t-box protein 22)</t>
  </si>
  <si>
    <t>Q9Y458</t>
  </si>
  <si>
    <t>TBXT</t>
  </si>
  <si>
    <t>t-box transcription factor t (brachyury protein) (protein t)</t>
  </si>
  <si>
    <t>O15178</t>
  </si>
  <si>
    <t>TCEA1</t>
  </si>
  <si>
    <t>transcription elongation factor a protein 1 (transcription elongation factor s-ii protein 1) (transcription elongation factor tfiis.o)</t>
  </si>
  <si>
    <t>P23193</t>
  </si>
  <si>
    <t>TCF3</t>
  </si>
  <si>
    <t>transcription factor e2-alpha (class b basic helix-loop-helix protein 21) (bhlhb21) (immunoglobulin enhancer-binding factor e12/e47) (immunoglobulin transcription factor 1) (kappa-e2-binding factor) (transcription factor 3) (tcf-3) (transcription factor itf-1)</t>
  </si>
  <si>
    <t>P15923</t>
  </si>
  <si>
    <t>TCF4</t>
  </si>
  <si>
    <t>transcription factor 4 (tcf-4) (class b basic helix-loop-helix protein 19) (bhlhb19) (immunoglobulin transcription factor 2) (itf-2) (sl3-3 enhancer factor 2) (sef-2)</t>
  </si>
  <si>
    <t>P15884</t>
  </si>
  <si>
    <t>TCF7L2</t>
  </si>
  <si>
    <t>transcription factor 7-like 2 (hmg box transcription factor 4) (t-cell-specific transcription factor 4) (t-cell factor 4) (tcf-4) (htcf-4)</t>
  </si>
  <si>
    <t>Q9NQB0</t>
  </si>
  <si>
    <t>TCF12</t>
  </si>
  <si>
    <t>transcription factor 12 (tcf-12) (class b basic helix-loop-helix protein 20) (bhlhb20) (dna-binding protein htf4) (e-box-binding protein) (transcription factor htf-4)</t>
  </si>
  <si>
    <t>Q99081</t>
  </si>
  <si>
    <t>TCF20</t>
  </si>
  <si>
    <t>transcription factor 20 (tcf-20) (nuclear factor spbp) (protein ar1) (stromelysin-1 pdgf-responsive element-binding protein) (spre-binding protein)</t>
  </si>
  <si>
    <t>Q9UGU0</t>
  </si>
  <si>
    <t>TCL1A</t>
  </si>
  <si>
    <t>t-cell leukemia/lymphoma protein 1a (oncogene tcl-1) (oncogene tcl1) (protein p14 tcl1)</t>
  </si>
  <si>
    <t>P56279</t>
  </si>
  <si>
    <t>TCN2</t>
  </si>
  <si>
    <t>transcobalamin-2 (tc-2) (transcobalamin ii) (tc ii) (tcii)</t>
  </si>
  <si>
    <t>P20062</t>
  </si>
  <si>
    <t>TCOF1</t>
  </si>
  <si>
    <t>treacle protein (treacher collins syndrome protein)</t>
  </si>
  <si>
    <t>Q13428</t>
  </si>
  <si>
    <t>TDO2</t>
  </si>
  <si>
    <t>tryptophan 2,3-dioxygenase (tdo) (ec 1.13.11.11) (tryptamin 2,3-dioxygenase) (tryptophan oxygenase) (to) (trpo) (tryptophan pyrrolase) (tryptophanase)</t>
  </si>
  <si>
    <t>P48775</t>
  </si>
  <si>
    <t>TDP2</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</si>
  <si>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</si>
  <si>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O95551</t>
  </si>
  <si>
    <t>TDRD7</t>
  </si>
  <si>
    <t>tudor domain-containing protein 7 (pctaire2-binding protein) (tudor repeat associator with pctaire-2) (trap)</t>
  </si>
  <si>
    <t>Q8NHU6</t>
  </si>
  <si>
    <t>TDRD9</t>
  </si>
  <si>
    <t>atp-dependent rna helicase tdrd9 (ec 3.6.4.13) (tudor domain-containing protein 9)</t>
  </si>
  <si>
    <t>Q8NDG6</t>
  </si>
  <si>
    <t>TECPR2</t>
  </si>
  <si>
    <t>tectonin beta-propeller repeat-containing protein 2 (wd repeat-containing protein kiaa0329/kiaa0297)</t>
  </si>
  <si>
    <t>O15040</t>
  </si>
  <si>
    <t>TECR</t>
  </si>
  <si>
    <t>very-long-chain enoyl-coa reductase (ec 1.3.1.93) (synaptic glycoprotein sc2) (trans-2,3-enoyl-coa reductase) (ter)</t>
  </si>
  <si>
    <t>Q9NZ01</t>
  </si>
  <si>
    <t>TECRL</t>
  </si>
  <si>
    <t>trans-2,3-enoyl-coa reductase-like (ec 1.3.1.-) (steroid 5-alpha-reductase 2-like 2 protein)</t>
  </si>
  <si>
    <t>Q5HYJ1</t>
  </si>
  <si>
    <t>TECTA</t>
  </si>
  <si>
    <t>alpha-tectorin</t>
  </si>
  <si>
    <t>O75443</t>
  </si>
  <si>
    <t>TENM4</t>
  </si>
  <si>
    <t>teneurin-4 (ten-4) (protein odd oz/ten-m homolog 4) (tenascin-m4) (ten-m4) (teneurin transmembrane protein 4)</t>
  </si>
  <si>
    <t>Q6N022</t>
  </si>
  <si>
    <t>TERB1</t>
  </si>
  <si>
    <t>telomere repeats-binding bouquet formation protein 1 (coiled-coil domain-containing protein 79)</t>
  </si>
  <si>
    <t>Q8NA31</t>
  </si>
  <si>
    <t>TET2</t>
  </si>
  <si>
    <t>methylcytosine dioxygenase tet2 (ec 1.14.11.80)</t>
  </si>
  <si>
    <t>Q6N021</t>
  </si>
  <si>
    <t>TET3</t>
  </si>
  <si>
    <t>methylcytosine dioxygenase tet3 (ec 1.14.11.80)</t>
  </si>
  <si>
    <t>O43151</t>
  </si>
  <si>
    <t>TEX11</t>
  </si>
  <si>
    <t>testis-expressed protein 11 (protein zip4 homolog) (zip4h)</t>
  </si>
  <si>
    <t>Q8IYF3</t>
  </si>
  <si>
    <t>TEX14</t>
  </si>
  <si>
    <t>inactive serine/threonine-protein kinase tex14 (protein kinase-like protein sgk307) (sugen kinase 307) (testis-expressed sequence 14) (testis-expressed sequence 14 protein)</t>
  </si>
  <si>
    <t>Q8IWB6</t>
  </si>
  <si>
    <t>TEX15</t>
  </si>
  <si>
    <t>testis-expressed protein 15 (cancer/testis antigen 42) (ct42)</t>
  </si>
  <si>
    <t>Q9BXT5</t>
  </si>
  <si>
    <t>TFAP2A</t>
  </si>
  <si>
    <t>transcription factor ap-2-alpha (ap2-alpha) (ap-2 transcription factor) (activating enhancer-binding protein 2-alpha) (activator protein 2) (ap-2)</t>
  </si>
  <si>
    <t>P05549</t>
  </si>
  <si>
    <t>TFAP2B</t>
  </si>
  <si>
    <t>transcription factor ap-2-beta (ap2-beta) (activating enhancer-binding protein 2-beta)</t>
  </si>
  <si>
    <t>Q92481</t>
  </si>
  <si>
    <t>TFB1M</t>
  </si>
  <si>
    <t>dimethyladenosine transferase 1, mitochondrial (ec 2.1.1.-) (mitochondrial 12s rrna dimethylase 1) (mitochondrial transcription factor b1) (h-mttfb) (h-mttfb1) (htfb1m) (mttfb1) (s-adenosylmethionine-6-n', n'-adenosyl(rrna) dimethyltransferase 1)</t>
  </si>
  <si>
    <t>Q8WVM0</t>
  </si>
  <si>
    <t>TFE3</t>
  </si>
  <si>
    <t>transcription factor e3 (class e basic helix-loop-helix protein 33) (bhlhe33)</t>
  </si>
  <si>
    <t>P19532</t>
  </si>
  <si>
    <t>TFR2</t>
  </si>
  <si>
    <t>transferrin receptor protein 2 (tfr2)</t>
  </si>
  <si>
    <t>Q9UP52</t>
  </si>
  <si>
    <t>TFRC</t>
  </si>
  <si>
    <t>transferrin receptor protein 1 (tr) (tfr) (tfr1) (trfr) (t9) (p90) (cd antigen cd71) [cleaved into: transferrin receptor protein 1, serum form (stfr)]</t>
  </si>
  <si>
    <t>P02786</t>
  </si>
  <si>
    <t>TG</t>
  </si>
  <si>
    <t>thyroglobulin (tg)</t>
  </si>
  <si>
    <t>P01266</t>
  </si>
  <si>
    <t>TGDS</t>
  </si>
  <si>
    <t>dtdp-d-glucose 4,6-dehydratase (ec 4.2.1.46)</t>
  </si>
  <si>
    <t>O95455</t>
  </si>
  <si>
    <t>TGFBI</t>
  </si>
  <si>
    <t>transforming growth factor-beta-induced protein ig-h3 (beta ig-h3) (kerato-epithelin) (rgd-containing collagen-associated protein) (rgd-cap)</t>
  </si>
  <si>
    <t>Q15582</t>
  </si>
  <si>
    <t>TGIF1</t>
  </si>
  <si>
    <t>homeobox protein tgif1 (5'-tg-3'-interacting factor 1)</t>
  </si>
  <si>
    <t>Q15583</t>
  </si>
  <si>
    <t>TGM1</t>
  </si>
  <si>
    <t>protein-glutamine gamma-glutamyltransferase k (ec 2.3.2.13) (epidermal tgase) (transglutaminase k) (tg(k)) (tgk) (tgase k) (transglutaminase-1) (tgase-1)</t>
  </si>
  <si>
    <t>P22735</t>
  </si>
  <si>
    <t>TGM2</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</si>
  <si>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</si>
  <si>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P21980</t>
  </si>
  <si>
    <t>TGM3</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</si>
  <si>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</si>
  <si>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Q08188</t>
  </si>
  <si>
    <t>TH</t>
  </si>
  <si>
    <t>tyrosine 3-monooxygenase (ec 1.14.16.2) (tyrosine 3-hydroxylase) (th)</t>
  </si>
  <si>
    <t>P07101</t>
  </si>
  <si>
    <t>THADA</t>
  </si>
  <si>
    <t>trna (32-2'-o)-methyltransferase regulator thada (gene inducing thyroid adenomas protein) (thyroid adenoma-associated protein)</t>
  </si>
  <si>
    <t>Q6YHU6</t>
  </si>
  <si>
    <t>THAP1</t>
  </si>
  <si>
    <t>thap domain-containing protein 1</t>
  </si>
  <si>
    <t>Q9NVV9</t>
  </si>
  <si>
    <t>THG1L</t>
  </si>
  <si>
    <t>probable trna(his) guanylyltransferase (ec 2.7.7.79) (induced in high glucose-1) (ihg-1) (interphase cytoplasmic foci protein 45) (trna-histidine guanylyltransferase)</t>
  </si>
  <si>
    <t>Q9NWX6</t>
  </si>
  <si>
    <t>THSD4</t>
  </si>
  <si>
    <t>thrombospondin type-1 domain-containing protein 4 (a disintegrin and metalloproteinase with thrombospondin motifs-like protein 6) (adamts-like protein 6) (adamtsl-6)</t>
  </si>
  <si>
    <t>Q6ZMP0</t>
  </si>
  <si>
    <t>THSD7A</t>
  </si>
  <si>
    <t>thrombospondin type-1 domain-containing protein 7a [cleaved into: thrombospondin type-1 domain-containing protein 7a, soluble form]</t>
  </si>
  <si>
    <t>Q9UPZ6</t>
  </si>
  <si>
    <t>THUMPD1</t>
  </si>
  <si>
    <t>thump domain-containing protein 1</t>
  </si>
  <si>
    <t>Q9NXG2</t>
  </si>
  <si>
    <t>TIA1</t>
  </si>
  <si>
    <t>cytotoxic granule associated rna binding protein tia1 (nucleolysin tia-1 isoform p40) (rna-binding protein tia-1) (t-cell-restricted intracellular antigen-1) (tia-1) (p40-tia-1)</t>
  </si>
  <si>
    <t>P31483</t>
  </si>
  <si>
    <t>TIAM1</t>
  </si>
  <si>
    <t>rho guanine nucleotide exchange factor tiam1 (t-lymphoma invasion and metastasis-inducing protein 1) (tiam-1)</t>
  </si>
  <si>
    <t>Q13009</t>
  </si>
  <si>
    <t>TICAM1</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</si>
  <si>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</si>
  <si>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Q8IUC6</t>
  </si>
  <si>
    <t>TIMMDC1</t>
  </si>
  <si>
    <t>complex i assembly factor timmdc1, mitochondrial (protein m5-14) (translocase of inner mitochondrial membrane domain-containing protein 1) (timm domain containing-protein 1)</t>
  </si>
  <si>
    <t>Q9NPL8</t>
  </si>
  <si>
    <t>TIMP3</t>
  </si>
  <si>
    <t>metalloproteinase inhibitor 3 (protein mig-5) (tissue inhibitor of metalloproteinases 3) (timp-3)</t>
  </si>
  <si>
    <t>P35625</t>
  </si>
  <si>
    <t>TJP2</t>
  </si>
  <si>
    <t>tight junction protein zo-2 (tight junction protein 2) (zona occludens protein 2) (zonula occludens protein 2)</t>
  </si>
  <si>
    <t>Q9UDY2</t>
  </si>
  <si>
    <t>TKFC</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</si>
  <si>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</si>
  <si>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Q3LXA3</t>
  </si>
  <si>
    <t>TKT</t>
  </si>
  <si>
    <t>transketolase (tk) (ec 2.2.1.1)</t>
  </si>
  <si>
    <t>P29401</t>
  </si>
  <si>
    <t>TLCD3B</t>
  </si>
  <si>
    <t>ceramide synthase (ec 2.3.1.-) (protein fam57b) (tlc domain-containing protein 3b)</t>
  </si>
  <si>
    <t>Q71RH2</t>
  </si>
  <si>
    <t>TLL1</t>
  </si>
  <si>
    <t>tolloid-like protein 1 (ec 3.4.24.-)</t>
  </si>
  <si>
    <t>O43897</t>
  </si>
  <si>
    <t>toll-like receptor 3 (cd antigen cd283)</t>
  </si>
  <si>
    <t>O15455</t>
  </si>
  <si>
    <t>TLR5</t>
  </si>
  <si>
    <t>toll-like receptor 5 (toll/interleukin-1 receptor-like protein 3)</t>
  </si>
  <si>
    <t>O60602</t>
  </si>
  <si>
    <t>toll-like receptor 7</t>
  </si>
  <si>
    <t>Q9NYK1</t>
  </si>
  <si>
    <t>TLR8</t>
  </si>
  <si>
    <t>toll-like receptor 8 (cd antigen cd288)</t>
  </si>
  <si>
    <t>Q9NR97</t>
  </si>
  <si>
    <t>TLX1</t>
  </si>
  <si>
    <t>t-cell leukemia homeobox protein 1 (homeobox protein hox-11) (proto-oncogene tcl-3) (t-cell leukemia/lymphoma protein 3)</t>
  </si>
  <si>
    <t>P31314</t>
  </si>
  <si>
    <t>transmembrane channel-like protein 1 (transmembrane cochlear-expressed protein 1)</t>
  </si>
  <si>
    <t>Q8TDI8</t>
  </si>
  <si>
    <t>TMC6</t>
  </si>
  <si>
    <t>transmembrane channel-like protein 6 (epidermodysplasia verruciformis protein 1) (protein lak-4)</t>
  </si>
  <si>
    <t>Q7Z403</t>
  </si>
  <si>
    <t>TMC8</t>
  </si>
  <si>
    <t>transmembrane channel-like protein 8 (epidermodysplasia verruciformis protein 2)</t>
  </si>
  <si>
    <t>Q8IU68</t>
  </si>
  <si>
    <t>TMEM38B</t>
  </si>
  <si>
    <t>trimeric intracellular cation channel type b (tric-b) (tricb) (transmembrane protein 38b)</t>
  </si>
  <si>
    <t>Q9NVV0</t>
  </si>
  <si>
    <t>TMEM43</t>
  </si>
  <si>
    <t>transmembrane protein 43 (protein luma)</t>
  </si>
  <si>
    <t>Q9BTV4</t>
  </si>
  <si>
    <t>TMEM63C</t>
  </si>
  <si>
    <t>calcium permeable stress-gated cation channel 1 (transmembrane protein 63c)</t>
  </si>
  <si>
    <t>Q9P1W3</t>
  </si>
  <si>
    <t>TMEM70</t>
  </si>
  <si>
    <t>transmembrane protein 70, mitochondrial</t>
  </si>
  <si>
    <t>Q9BUB7</t>
  </si>
  <si>
    <t>TMEM79</t>
  </si>
  <si>
    <t>transmembrane protein 79 (mattrin)</t>
  </si>
  <si>
    <t>Q9BSE2</t>
  </si>
  <si>
    <t>TMEM94</t>
  </si>
  <si>
    <t>endoplasmic reticulum magnesium-transporting p-type atpase (erma) (endoplasmic reticulum magnesium atpase) (ec 7.2.2.14) (transmembrane protein 94)</t>
  </si>
  <si>
    <t>Q12767</t>
  </si>
  <si>
    <t>TMEM106B</t>
  </si>
  <si>
    <t>transmembrane protein 106b</t>
  </si>
  <si>
    <t>Q9NUM4</t>
  </si>
  <si>
    <t>TMEM114</t>
  </si>
  <si>
    <t>transmembrane protein 114</t>
  </si>
  <si>
    <t>B3SHH9</t>
  </si>
  <si>
    <t>TMEM127</t>
  </si>
  <si>
    <t>transmembrane protein 127</t>
  </si>
  <si>
    <t>O75204</t>
  </si>
  <si>
    <t>TMEM165</t>
  </si>
  <si>
    <t>putative divalent cation/proton antiporter tmem165 (transmembrane protein 165) (transmembrane protein pt27) (transmembrane protein tparl)</t>
  </si>
  <si>
    <t>Q9HC07</t>
  </si>
  <si>
    <t>TMEM175</t>
  </si>
  <si>
    <t>endosomal/lysosomal proton channel tmem175 (potassium channel tmem175) (transmembrane protein 175) (htmem175)</t>
  </si>
  <si>
    <t>Q9BSA9</t>
  </si>
  <si>
    <t>TMEM218</t>
  </si>
  <si>
    <t>transmembrane protein 218</t>
  </si>
  <si>
    <t>A2RU14</t>
  </si>
  <si>
    <t>TMEM230</t>
  </si>
  <si>
    <t>transmembrane protein 230</t>
  </si>
  <si>
    <t>Q96A57</t>
  </si>
  <si>
    <t>TMEM240</t>
  </si>
  <si>
    <t>transmembrane protein 240</t>
  </si>
  <si>
    <t>Q5SV17</t>
  </si>
  <si>
    <t>TMEM260</t>
  </si>
  <si>
    <t>protein o-mannosyl-transferase tmem260 (ec 2.4.1.109) (transmembrane protein 260)</t>
  </si>
  <si>
    <t>Q9NX78</t>
  </si>
  <si>
    <t>TMIE</t>
  </si>
  <si>
    <t>transmembrane inner ear expressed protein</t>
  </si>
  <si>
    <t>Q8NEW7</t>
  </si>
  <si>
    <t>TMLHE</t>
  </si>
  <si>
    <t>trimethyllysine dioxygenase, mitochondrial (ec 1.14.11.8) (epsilon-trimethyllysine 2-oxoglutarate dioxygenase) (epsilon-trimethyllysine hydroxylase) (tml hydroxylase) (tml-alpha-ketoglutarate dioxygenase) (tml dioxygenase) (tmld)</t>
  </si>
  <si>
    <t>Q9NVH6</t>
  </si>
  <si>
    <t>TMPRSS3</t>
  </si>
  <si>
    <t>transmembrane protease serine 3 (ec 3.4.21.-) (serine protease tadg-12) (tumor-associated differentially-expressed gene 12 protein)</t>
  </si>
  <si>
    <t>P57727</t>
  </si>
  <si>
    <t>TMPRSS6</t>
  </si>
  <si>
    <t>transmembrane protease serine 6 (ec 3.4.21.-) (matriptase-2)</t>
  </si>
  <si>
    <t>Q8IU80</t>
  </si>
  <si>
    <t>TMPRSS15</t>
  </si>
  <si>
    <t>enteropeptidase (ec 3.4.21.9) (enterokinase) (serine protease 7) (transmembrane protease serine 15) [cleaved into: enteropeptidase non-catalytic heavy chain; enteropeptidase catalytic light chain]</t>
  </si>
  <si>
    <t>P98073</t>
  </si>
  <si>
    <t>TNFAIP3</t>
  </si>
  <si>
    <t>tumor necrosis factor alpha-induced protein 3 (tnf alpha-induced protein 3) (ec 2.3.2.-) (ec 3.4.19.12) (otu domain-containing protein 7c) (putative dna-binding protein a20) (zinc finger protein a20) [cleaved into: a20p50; a20p37]</t>
  </si>
  <si>
    <t>P21580</t>
  </si>
  <si>
    <t>TNFRSF4</t>
  </si>
  <si>
    <t>tumor necrosis factor receptor superfamily member 4 (act35 antigen) (ox40l receptor) (tax transcriptionally-activated glycoprotein 1 receptor) (cd antigen cd134)</t>
  </si>
  <si>
    <t>P43489</t>
  </si>
  <si>
    <t>TNFRSF10B</t>
  </si>
  <si>
    <t>tumor necrosis factor receptor superfamily member 10b (death receptor 5) (tnf-related apoptosis-inducing ligand receptor 2) (trail receptor 2) (trail-r2) (cd antigen cd262)</t>
  </si>
  <si>
    <t>O14763</t>
  </si>
  <si>
    <t>TNFRSF11A</t>
  </si>
  <si>
    <t>tumor necrosis factor receptor superfamily member 11a (osteoclast differentiation factor receptor) (odfr) (receptor activator of nf-kb) (cd antigen cd265)</t>
  </si>
  <si>
    <t>Q9Y6Q6</t>
  </si>
  <si>
    <t>TNFRSF13B</t>
  </si>
  <si>
    <t>tumor necrosis factor receptor superfamily member 13b (transmembrane activator and caml interactor) (cd antigen cd267)</t>
  </si>
  <si>
    <t>O14836</t>
  </si>
  <si>
    <t>TNFRSF13C</t>
  </si>
  <si>
    <t>tumor necrosis factor receptor superfamily member 13c (b-cell-activating factor receptor) (baff receptor) (baff-r) (blys receptor 3) (cd antigen cd268)</t>
  </si>
  <si>
    <t>Q96RJ3</t>
  </si>
  <si>
    <t>TNFRSF17</t>
  </si>
  <si>
    <t>tumor necrosis factor receptor superfamily member 17 (b-cell maturation protein) (cd antigen cd269)</t>
  </si>
  <si>
    <t>Q02223</t>
  </si>
  <si>
    <t>TNFSF11</t>
  </si>
  <si>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t>
  </si>
  <si>
    <t>O14788</t>
  </si>
  <si>
    <t>TNNI2</t>
  </si>
  <si>
    <t>troponin i, fast skeletal muscle (troponin i, fast-twitch isoform)</t>
  </si>
  <si>
    <t>P48788</t>
  </si>
  <si>
    <t>TNNT1</t>
  </si>
  <si>
    <t>troponin t, slow skeletal muscle (tnts) (slow skeletal muscle troponin t) (stnt)</t>
  </si>
  <si>
    <t>P13805</t>
  </si>
  <si>
    <t>TNNT3</t>
  </si>
  <si>
    <t>troponin t, fast skeletal muscle (tntf) (beta-tntf) (fast skeletal muscle troponin t) (ftnt)</t>
  </si>
  <si>
    <t>P45378</t>
  </si>
  <si>
    <t>TNPO2</t>
  </si>
  <si>
    <t>transportin-2 (karyopherin beta-2b)</t>
  </si>
  <si>
    <t>O14787</t>
  </si>
  <si>
    <t>TNPO3</t>
  </si>
  <si>
    <t>transportin-3 (importin-12) (imp12) (transportin-sr) (trn-sr)</t>
  </si>
  <si>
    <t>Q9Y5L0</t>
  </si>
  <si>
    <t>TOE1</t>
  </si>
  <si>
    <t>target of egr1 protein 1</t>
  </si>
  <si>
    <t>Q96GM8</t>
  </si>
  <si>
    <t>TOM1</t>
  </si>
  <si>
    <t>target of myb1 membrane trafficking protein (target of myb protein 1)</t>
  </si>
  <si>
    <t>O60784</t>
  </si>
  <si>
    <t>TONSL</t>
  </si>
  <si>
    <t>tonsoku-like protein (inhibitor of kappa b-related protein) (i-kappa-b-related protein) (ikappabr) (nf-kappa-b inhibitor-like protein 2) (nuclear factor of kappa light polypeptide gene enhancer in b-cells inhibitor-like 2)</t>
  </si>
  <si>
    <t>Q96HA7</t>
  </si>
  <si>
    <t>TOPORS</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</si>
  <si>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</si>
  <si>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Q9NS56</t>
  </si>
  <si>
    <t>TOR1A</t>
  </si>
  <si>
    <t>torsin-1a (dystonia 1 protein) (torsin atpase-1a) (ec 3.6.4.-) (torsin family 1 member a)</t>
  </si>
  <si>
    <t>O14656</t>
  </si>
  <si>
    <t>TOR1AIP1</t>
  </si>
  <si>
    <t>torsin-1a-interacting protein 1 (lamin-associated protein 1b) (lap1b)</t>
  </si>
  <si>
    <t>Q5JTV8</t>
  </si>
  <si>
    <t>TP53BP1</t>
  </si>
  <si>
    <t>tp53-binding protein 1 (53bp1) (p53-binding protein 1) (p53bp1)</t>
  </si>
  <si>
    <t>Q12888</t>
  </si>
  <si>
    <t>TP63</t>
  </si>
  <si>
    <t>tumor protein 63 (p63) (chronic ulcerative stomatitis protein) (cusp) (keratinocyte transcription factor ket) (transformation-related protein 63) (tp63) (tumor protein p73-like) (p73l) (p40) (p51)</t>
  </si>
  <si>
    <t>Q9H3D4</t>
  </si>
  <si>
    <t>TP73</t>
  </si>
  <si>
    <t>tumor protein p73 (p53-like transcription factor) (p53-related protein)</t>
  </si>
  <si>
    <t>O15350</t>
  </si>
  <si>
    <t>TPH2</t>
  </si>
  <si>
    <t>tryptophan 5-hydroxylase 2 (ec 1.14.16.4) (neuronal tryptophan hydroxylase) (tryptophan 5-monooxygenase 2)</t>
  </si>
  <si>
    <t>Q8IWU9</t>
  </si>
  <si>
    <t>TPI1</t>
  </si>
  <si>
    <t>triosephosphate isomerase (tim) (ec 5.3.1.1) (methylglyoxal synthase) (ec 4.2.3.3) (triose-phosphate isomerase)</t>
  </si>
  <si>
    <t>P60174</t>
  </si>
  <si>
    <t>TPM1</t>
  </si>
  <si>
    <t>tropomyosin alpha-1 chain (alpha-tropomyosin) (tropomyosin-1)</t>
  </si>
  <si>
    <t>P09493</t>
  </si>
  <si>
    <t>TPM2</t>
  </si>
  <si>
    <t>tropomyosin beta chain (beta-tropomyosin) (tropomyosin-2)</t>
  </si>
  <si>
    <t>P07951</t>
  </si>
  <si>
    <t>TPM3</t>
  </si>
  <si>
    <t>tropomyosin alpha-3 chain (gamma-tropomyosin) (tropomyosin-3) (tropomyosin-5) (htm5)</t>
  </si>
  <si>
    <t>P06753</t>
  </si>
  <si>
    <t>TPO</t>
  </si>
  <si>
    <t>thyroid peroxidase (tpo) (ec 1.11.1.8)</t>
  </si>
  <si>
    <t>P07202</t>
  </si>
  <si>
    <t>TPP1</t>
  </si>
  <si>
    <t>tripeptidyl-peptidase 1 (tpp-1) (ec 3.4.14.9) (cell growth-inhibiting gene 1 protein) (lysosomal pepstatin-insensitive protease) (lpic) (tripeptidyl aminopeptidase) (tripeptidyl-peptidase i) (tpp-i)</t>
  </si>
  <si>
    <t>O14773</t>
  </si>
  <si>
    <t>TPP2</t>
  </si>
  <si>
    <t>tripeptidyl-peptidase 2 (tpp-2) (ec 3.4.14.10) (tripeptidyl aminopeptidase) (tripeptidyl-peptidase ii) (tpp-ii)</t>
  </si>
  <si>
    <t>P29144</t>
  </si>
  <si>
    <t>taperin</t>
  </si>
  <si>
    <t>Q4KMQ1</t>
  </si>
  <si>
    <t>TRAF3IP2</t>
  </si>
  <si>
    <t>e3 ubiquitin ligase traf3ip2 (ec 2.3.2.27) (adapter protein ciks) (connection to ikk and sapk/jnk) (e3 ubiquitin-protein ligase ciks) (nuclear factor nf-kappa-b activator 1) (act1) (traf3-interacting protein 2)</t>
  </si>
  <si>
    <t>O43734</t>
  </si>
  <si>
    <t>TRAF7</t>
  </si>
  <si>
    <t>e3 ubiquitin-protein ligase traf7 (ec 2.3.2.-) (ec 2.3.2.27) (ring finger and wd repeat-containing protein 1) (ring finger protein 119) (ring-type e3 ubiquitin transferase traf7) (tnf receptor-associated factor 7)</t>
  </si>
  <si>
    <t>Q6Q0C0</t>
  </si>
  <si>
    <t>TRAIP</t>
  </si>
  <si>
    <t>e3 ubiquitin-protein ligase traip (ec 2.3.2.27) (ring finger protein 206) (traf-interacting protein)</t>
  </si>
  <si>
    <t>Q9BWF2</t>
  </si>
  <si>
    <t>TRAK1</t>
  </si>
  <si>
    <t>trafficking kinesin-binding protein 1 (106 kda o-glcnac transferase-interacting protein) (protein milton)</t>
  </si>
  <si>
    <t>Q9UPV9</t>
  </si>
  <si>
    <t>TRDN</t>
  </si>
  <si>
    <t>triadin</t>
  </si>
  <si>
    <t>Q13061</t>
  </si>
  <si>
    <t>TREH</t>
  </si>
  <si>
    <t>trehalase (ec 3.2.1.28) (alpha,alpha-trehalase) (alpha,alpha-trehalose glucohydrolase)</t>
  </si>
  <si>
    <t>O43280</t>
  </si>
  <si>
    <t>TREM2</t>
  </si>
  <si>
    <t>triggering receptor expressed on myeloid cells 2 (trem-2) (triggering receptor expressed on monocytes 2)</t>
  </si>
  <si>
    <t>Q9NZC2</t>
  </si>
  <si>
    <t>TREX1</t>
  </si>
  <si>
    <t>three-prime repair exonuclease 1 (ec 3.1.11.2) (3'-5' exonuclease trex1) (deoxyribonuclease iii) (dnase iii)</t>
  </si>
  <si>
    <t>Q9NSU2</t>
  </si>
  <si>
    <t>TRHR</t>
  </si>
  <si>
    <t>thyrotropin-releasing hormone receptor (trh-r) (thyroliberin receptor)</t>
  </si>
  <si>
    <t>P34981</t>
  </si>
  <si>
    <t>TRIM8</t>
  </si>
  <si>
    <t>e3 ubiquitin-protein ligase trim8 (ec 2.3.2.27) (glioblastoma-expressed ring finger protein) (ring finger protein 27) (ring-type e3 ubiquitin transferase trim8) (tripartite motif-containing protein 8)</t>
  </si>
  <si>
    <t>Q9BZR9</t>
  </si>
  <si>
    <t>TRIM24</t>
  </si>
  <si>
    <t>transcription intermediary factor 1-alpha (tif1-alpha) (ec 2.3.2.27) (e3 ubiquitin-protein ligase trim24) (ring finger protein 82) (ring-type e3 ubiquitin transferase tif1-alpha) (tripartite motif-containing protein 24)</t>
  </si>
  <si>
    <t>O15164</t>
  </si>
  <si>
    <t>TRIM27</t>
  </si>
  <si>
    <t>zinc finger protein rfp (ec 2.3.2.27) (ring finger protein 76) (ret finger protein) (tripartite motif-containing protein 27)</t>
  </si>
  <si>
    <t>P14373</t>
  </si>
  <si>
    <t>TRIM32</t>
  </si>
  <si>
    <t>e3 ubiquitin-protein ligase trim32 (ec 2.3.2.27) (72 kda tat-interacting protein) (ring-type e3 ubiquitin transferase trim32) (tripartite motif-containing protein 32) (zinc finger protein ht2a)</t>
  </si>
  <si>
    <t>Q13049</t>
  </si>
  <si>
    <t>TRIM33</t>
  </si>
  <si>
    <t>e3 ubiquitin-protein ligase trim33 (ec 2.3.2.27) (ectodermin homolog) (ret-fused gene 7 protein) (protein rfg7) (ring-type e3 ubiquitin transferase trim33) (transcription intermediary factor 1-gamma) (tif1-gamma) (tripartite motif-containing protein 33)</t>
  </si>
  <si>
    <t>Q9UPN9</t>
  </si>
  <si>
    <t>TRIM36</t>
  </si>
  <si>
    <t>e3 ubiquitin-protein ligase trim36 (ec 2.3.2.27) (ring finger protein 98) (ring-type e3 ubiquitin transferase trim36) (tripartite motif-containing protein 36) (zinc-binding protein rbcc728)</t>
  </si>
  <si>
    <t>Q9NQ86</t>
  </si>
  <si>
    <t>TRIM37</t>
  </si>
  <si>
    <t>e3 ubiquitin-protein ligase trim37 (ec 2.3.2.27) (mulibrey nanism protein) (ring-type e3 ubiquitin transferase trim37) (tripartite motif-containing protein 37)</t>
  </si>
  <si>
    <t>O94972</t>
  </si>
  <si>
    <t>TRIM44</t>
  </si>
  <si>
    <t>tripartite motif-containing protein 44 (protein dipb)</t>
  </si>
  <si>
    <t>Q96DX7</t>
  </si>
  <si>
    <t>TRIO</t>
  </si>
  <si>
    <t>triple functional domain protein (ec 2.7.11.1) (ptprf-interacting protein)</t>
  </si>
  <si>
    <t>O75962</t>
  </si>
  <si>
    <t>trio and f-actin-binding protein (protein tara) (trf1-associated protein of 68 kda) (trio-associated repeat on actin)</t>
  </si>
  <si>
    <t>Q9H2D6</t>
  </si>
  <si>
    <t>TRIP11</t>
  </si>
  <si>
    <t>thyroid receptor-interacting protein 11 (tr-interacting protein 11) (trip-11) (clonal evolution-related gene on chromosome 14 protein) (golgi-associated microtubule-binding protein 210) (gmap-210) (trip230)</t>
  </si>
  <si>
    <t>Q15643</t>
  </si>
  <si>
    <t>TRIP12</t>
  </si>
  <si>
    <t>e3 ubiquitin-protein ligase trip12 (ec 2.3.2.26) (e3 ubiquitin-protein ligase for arf) (ulf) (hect-type e3 ubiquitin transferase trip12) (thyroid receptor-interacting protein 12) (tr-interacting protein 12) (trip-12)</t>
  </si>
  <si>
    <t>Q14669</t>
  </si>
  <si>
    <t>TRIP13</t>
  </si>
  <si>
    <t>pachytene checkpoint protein 2 homolog (human papillomavirus type 16 e1 protein-binding protein) (16e1-bp) (hpv16 e1 protein-binding protein) (thyroid hormone receptor interactor 13) (thyroid receptor-interacting protein 13) (tr-interacting protein 13) (trip-13)</t>
  </si>
  <si>
    <t>Q15645</t>
  </si>
  <si>
    <t>TRIT1</t>
  </si>
  <si>
    <t>trna dimethylallyltransferase (ec 2.5.1.75) (isopentenyl-diphosphate:trna isopentenyltransferase) (ipp transferase) (ippt) (hgro1) (trna isopentenyltransferase 1) (iptase)</t>
  </si>
  <si>
    <t>Q9H3H1</t>
  </si>
  <si>
    <t>TRMT1</t>
  </si>
  <si>
    <t>trna (guanine(26)-n(2))-dimethyltransferase (ec 2.1.1.216) (trna 2,2-dimethylguanosine-26 methyltransferase) (trna(guanine-26,n(2)-n(2)) methyltransferase) (trna(m(2,2)g26)dimethyltransferase)</t>
  </si>
  <si>
    <t>Q9NXH9</t>
  </si>
  <si>
    <t>TRMT5</t>
  </si>
  <si>
    <t>trna (guanine(37)-n1)-methyltransferase (ec 2.1.1.228) (m1g-methyltransferase) (trna [gm37] methyltransferase) (trna methyltransferase 5 homolog)</t>
  </si>
  <si>
    <t>Q32P41</t>
  </si>
  <si>
    <t>TRMT10A</t>
  </si>
  <si>
    <t>trna methyltransferase 10 homolog a (ec 2.1.1.221) (rna (guanine-9-)-methyltransferase domain-containing protein 2) (trna (guanine(9)-n(1))-methyltransferase trmt10a)</t>
  </si>
  <si>
    <t>Q8TBZ6</t>
  </si>
  <si>
    <t>TRMU</t>
  </si>
  <si>
    <t>mitochondrial trna-specific 2-thiouridylase 1 (ec 2.8.1.14) (mto2 homolog)</t>
  </si>
  <si>
    <t>O75648</t>
  </si>
  <si>
    <t>TRNT1</t>
  </si>
  <si>
    <t>cca trna nucleotidyltransferase 1, mitochondrial (ec 2.7.7.72) (mitochondrial trna nucleotidyl transferase, cca-adding) (mt cca-adding enzyme) (mt trna cca-diphosphorylase) (mt trna cca-pyrophosphorylase) (mt trna adenylyltransferase)</t>
  </si>
  <si>
    <t>Q96Q11</t>
  </si>
  <si>
    <t>TRPC3</t>
  </si>
  <si>
    <t>short transient receptor potential channel 3 (trpc3) (transient receptor protein 3) (trp-3) (htrp-3) (htrp3)</t>
  </si>
  <si>
    <t>Q13507</t>
  </si>
  <si>
    <t>TRPC6</t>
  </si>
  <si>
    <t>short transient receptor potential channel 6 (trpc6) (transient receptor protein 6) (trp-6)</t>
  </si>
  <si>
    <t>Q9Y210</t>
  </si>
  <si>
    <t>TRPM1</t>
  </si>
  <si>
    <t>transient receptor potential cation channel subfamily m member 1 (long transient receptor potential channel 1) (ltrpc1) (melastatin-1)</t>
  </si>
  <si>
    <t>Q7Z4N2</t>
  </si>
  <si>
    <t>TRPM4</t>
  </si>
  <si>
    <t>transient receptor potential cation channel subfamily m member 4 (htrpm4) (calcium-activated non-selective cation channel 1) (long transient receptor potential channel 4) (ltrpc-4) (ltrpc4) (melastatin-4)</t>
  </si>
  <si>
    <t>Q8TD43</t>
  </si>
  <si>
    <t>TRPM7</t>
  </si>
  <si>
    <t>transient receptor potential cation channel subfamily m member 7 (ec 2.7.11.1) (channel-kinase 1) (long transient receptor potential channel 7) (ltrpc-7) (ltrpc7)</t>
  </si>
  <si>
    <t>Q96QT4</t>
  </si>
  <si>
    <t>TRPS1</t>
  </si>
  <si>
    <t>zinc finger transcription factor trps1 (tricho-rhino-phalangeal syndrome type i protein) (zinc finger protein gc79)</t>
  </si>
  <si>
    <t>Q9UHF7</t>
  </si>
  <si>
    <t>TRPV3</t>
  </si>
  <si>
    <t>transient receptor potential cation channel subfamily v member 3 (trpv3) (vanilloid receptor-like 3) (vrl-3)</t>
  </si>
  <si>
    <t>Q8NET8</t>
  </si>
  <si>
    <t>TRPV4</t>
  </si>
  <si>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</si>
  <si>
    <t>Q9HBA0</t>
  </si>
  <si>
    <t>elongation factor ts, mitochondrial (ef-ts) (ef-tsmt)</t>
  </si>
  <si>
    <t>P43897</t>
  </si>
  <si>
    <t>TSGA10</t>
  </si>
  <si>
    <t>testis-specific gene 10 protein (testis development protein nyd-sp7)</t>
  </si>
  <si>
    <t>Q9BZW7</t>
  </si>
  <si>
    <t>TSHZ3</t>
  </si>
  <si>
    <t>teashirt homolog 3 (zinc finger protein 537)</t>
  </si>
  <si>
    <t>Q63HK5</t>
  </si>
  <si>
    <t>TSPAN7</t>
  </si>
  <si>
    <t>tetraspanin-7 (tspan-7) (cell surface glycoprotein a15) (membrane component chromosome x surface marker 1) (t-cell acute lymphoblastic leukemia-associated antigen 1) (talla-1) (transmembrane 4 superfamily member 2) (cd antigen cd231)</t>
  </si>
  <si>
    <t>P41732</t>
  </si>
  <si>
    <t>TSPAN12</t>
  </si>
  <si>
    <t>tetraspanin-12 (tspan-12) (tetraspan net-2) (transmembrane 4 superfamily member 12)</t>
  </si>
  <si>
    <t>O95859</t>
  </si>
  <si>
    <t>TSPEAR</t>
  </si>
  <si>
    <t>thrombospondin-type laminin g domain and ear repeat-containing protein (tsp-ear)</t>
  </si>
  <si>
    <t>Q8WU66</t>
  </si>
  <si>
    <t>TSPY1</t>
  </si>
  <si>
    <t>testis-specific y-encoded protein 1 (cancer/testis antigen 78) (ct78)</t>
  </si>
  <si>
    <t>Q01534</t>
  </si>
  <si>
    <t>TSPYL1</t>
  </si>
  <si>
    <t>testis-specific y-encoded-like protein 1 (tspy-like protein 1)</t>
  </si>
  <si>
    <t>Q9H0U9</t>
  </si>
  <si>
    <t>TSR2</t>
  </si>
  <si>
    <t>pre-rrna-processing protein tsr2 homolog</t>
  </si>
  <si>
    <t>Q969E8</t>
  </si>
  <si>
    <t>TTC5</t>
  </si>
  <si>
    <t>tetratricopeptide repeat protein 5 (tpr repeat protein 5) (stress-responsive activator of p300) (protein strap)</t>
  </si>
  <si>
    <t>Q8N0Z6</t>
  </si>
  <si>
    <t>TTC7A</t>
  </si>
  <si>
    <t>tetratricopeptide repeat protein 7a (tpr repeat protein 7a)</t>
  </si>
  <si>
    <t>Q9ULT0</t>
  </si>
  <si>
    <t>TTC12</t>
  </si>
  <si>
    <t>tetratricopeptide repeat protein 12 (tpr repeat protein 12)</t>
  </si>
  <si>
    <t>Q9H892</t>
  </si>
  <si>
    <t>TTC19</t>
  </si>
  <si>
    <t>tetratricopeptide repeat protein 19, mitochondrial (tpr repeat protein 19)</t>
  </si>
  <si>
    <t>Q6DKK2</t>
  </si>
  <si>
    <t>TTC29</t>
  </si>
  <si>
    <t>tetratricopeptide repeat protein 29 (tpr repeat protein 29) (protein tbpp2a) (testis development protein nyd-sp14)</t>
  </si>
  <si>
    <t>Q8NA56</t>
  </si>
  <si>
    <t>TTN</t>
  </si>
  <si>
    <t>titin (ec 2.7.11.1) (connectin) (rhabdomyosarcoma antigen mu-rms-40.14)</t>
  </si>
  <si>
    <t>Q8WZ42</t>
  </si>
  <si>
    <t>TTPA</t>
  </si>
  <si>
    <t>alpha-tocopherol transfer protein (alpha-ttp)</t>
  </si>
  <si>
    <t>P49638</t>
  </si>
  <si>
    <t>TUB</t>
  </si>
  <si>
    <t>tubby protein homolog</t>
  </si>
  <si>
    <t>P50607</t>
  </si>
  <si>
    <t>TUBA1A</t>
  </si>
  <si>
    <t>tubulin alpha-1a chain (ec 3.6.5.-) (alpha-tubulin 3) (tubulin b-alpha-1) (tubulin alpha-3 chain) [cleaved into: detyrosinated tubulin alpha-1a chain]</t>
  </si>
  <si>
    <t>Q71U36</t>
  </si>
  <si>
    <t>TUBA3D</t>
  </si>
  <si>
    <t>tubulin alpha-3d chain (ec 3.6.5.-) (alpha-tubulin 3d) [cleaved into: detyrosinated tubulin alpha-3d chain]</t>
  </si>
  <si>
    <t>P0DPH8</t>
  </si>
  <si>
    <t>TUBA4A</t>
  </si>
  <si>
    <t>tubulin alpha-4a chain (ec 3.6.5.-) (alpha-tubulin 1) (testis-specific alpha-tubulin) (tubulin h2-alpha) (tubulin alpha-1 chain)</t>
  </si>
  <si>
    <t>P68366</t>
  </si>
  <si>
    <t>TUBA8</t>
  </si>
  <si>
    <t>tubulin alpha-8 chain (ec 3.6.5.-) (alpha-tubulin 8) (tubulin alpha chain-like 2) [cleaved into: dephenylalaninated tubulin alpha-8 chain]</t>
  </si>
  <si>
    <t>Q9NY65</t>
  </si>
  <si>
    <t>TUBB</t>
  </si>
  <si>
    <t>tubulin beta chain (tubulin beta-5 chain)</t>
  </si>
  <si>
    <t>P07437</t>
  </si>
  <si>
    <t>TUBB1</t>
  </si>
  <si>
    <t>tubulin beta-1 chain</t>
  </si>
  <si>
    <t>Q9H4B7</t>
  </si>
  <si>
    <t>TUBB2A</t>
  </si>
  <si>
    <t>tubulin beta-2a chain (tubulin beta class iia)</t>
  </si>
  <si>
    <t>Q13885</t>
  </si>
  <si>
    <t>TUBB2B</t>
  </si>
  <si>
    <t>tubulin beta-2b chain</t>
  </si>
  <si>
    <t>Q9BVA1</t>
  </si>
  <si>
    <t>TUBB3</t>
  </si>
  <si>
    <t>tubulin beta-3 chain (tubulin beta-4 chain) (tubulin beta-iii)</t>
  </si>
  <si>
    <t>Q13509</t>
  </si>
  <si>
    <t>TUBB4A</t>
  </si>
  <si>
    <t>tubulin beta-4a chain (tubulin 5 beta) (tubulin beta-4 chain)</t>
  </si>
  <si>
    <t>P04350</t>
  </si>
  <si>
    <t>TUBB4B</t>
  </si>
  <si>
    <t>tubulin beta-4b chain (tubulin beta-2 chain) (tubulin beta-2c chain)</t>
  </si>
  <si>
    <t>P68371</t>
  </si>
  <si>
    <t>TUBB6</t>
  </si>
  <si>
    <t>tubulin beta-6 chain (tubulin beta class v)</t>
  </si>
  <si>
    <t>Q9BUF5</t>
  </si>
  <si>
    <t>TUBB8</t>
  </si>
  <si>
    <t>tubulin beta-8 chain (tubulin beta 8 class viii)</t>
  </si>
  <si>
    <t>Q3ZCM7</t>
  </si>
  <si>
    <t>TUBG1</t>
  </si>
  <si>
    <t>tubulin gamma-1 chain (gamma-1-tubulin) (gamma-tubulin complex component 1) (gcp-1)</t>
  </si>
  <si>
    <t>P23258</t>
  </si>
  <si>
    <t>TUBGCP2</t>
  </si>
  <si>
    <t>gamma-tubulin complex component 2 (gcp-2) (hgcp2) (gamma-ring complex protein 103 kda) (h103p) (hgrip103) (spindle pole body protein spc97 homolog) (hspc97)</t>
  </si>
  <si>
    <t>Q9BSJ2</t>
  </si>
  <si>
    <t>TUBGCP4</t>
  </si>
  <si>
    <t>gamma-tubulin complex component 4 (gcp-4) (hgcp4) (gamma-ring complex protein 76 kda) (h76p) (hgrip76)</t>
  </si>
  <si>
    <t>Q9UGJ1</t>
  </si>
  <si>
    <t>TUBGCP6</t>
  </si>
  <si>
    <t>gamma-tubulin complex component 6 (gcp-6)</t>
  </si>
  <si>
    <t>Q96RT7</t>
  </si>
  <si>
    <t>TULP1</t>
  </si>
  <si>
    <t>tubby-related protein 1 (tubby-like protein 1)</t>
  </si>
  <si>
    <t>O00294</t>
  </si>
  <si>
    <t>TULP3</t>
  </si>
  <si>
    <t>tubby-related protein 3 (tubby-like protein 3)</t>
  </si>
  <si>
    <t>O75386</t>
  </si>
  <si>
    <t>TWF1</t>
  </si>
  <si>
    <t>twinfilin-1 (protein a6) (protein tyrosine kinase 9)</t>
  </si>
  <si>
    <t>Q12792</t>
  </si>
  <si>
    <t>TWIST1</t>
  </si>
  <si>
    <t>twist-related protein 1 (class a basic helix-loop-helix protein 38) (bhlha38) (h-twist)</t>
  </si>
  <si>
    <t>Q15672</t>
  </si>
  <si>
    <t>TWIST2</t>
  </si>
  <si>
    <t>twist-related protein 2 (class a basic helix-loop-helix protein 39) (bhlha39) (dermis-expressed protein 1) (dermo-1)</t>
  </si>
  <si>
    <t>Q8WVJ9</t>
  </si>
  <si>
    <t>TWNK</t>
  </si>
  <si>
    <t>twinkle mtdna helicase (ec 5.6.2.3) (progressive external ophthalmoplegia 1 protein) (t7 gp4-like protein with intramitochondrial nucleoid localization) (t7-like mitochondrial dna helicase) (twinkle protein, mitochondrial)</t>
  </si>
  <si>
    <t>Q96RR1</t>
  </si>
  <si>
    <t>TXN2</t>
  </si>
  <si>
    <t>thioredoxin, mitochondrial (mtrx) (mt-trx) (thioredoxin-2)</t>
  </si>
  <si>
    <t>Q99757</t>
  </si>
  <si>
    <t>TXNDC15</t>
  </si>
  <si>
    <t>thioredoxin domain-containing protein 15</t>
  </si>
  <si>
    <t>Q96J42</t>
  </si>
  <si>
    <t>TXNRD2</t>
  </si>
  <si>
    <t>thioredoxin reductase 2, mitochondrial (ec 1.8.1.9) (selenoprotein z) (selz) (tr-beta) (thioredoxin reductase tr3)</t>
  </si>
  <si>
    <t>Q9NNW7</t>
  </si>
  <si>
    <t>TYMP</t>
  </si>
  <si>
    <t>thymidine phosphorylase (tp) (ec 2.4.2.4) (gliostatin) (platelet-derived endothelial cell growth factor) (pd-ecgf) (tdrpase)</t>
  </si>
  <si>
    <t>P19971</t>
  </si>
  <si>
    <t>TYROBP</t>
  </si>
  <si>
    <t>tyro protein tyrosine kinase-binding protein (dnax-activation protein 12) (killer-activating receptor-associated protein) (kar-associated protein)</t>
  </si>
  <si>
    <t>O43914</t>
  </si>
  <si>
    <t>TYRP1</t>
  </si>
  <si>
    <t>5,6-dihydroxyindole-2-carboxylic acid oxidase (dhica oxidase) (ec 1.14.18.-) (catalase b) (glycoprotein 75) (melanoma antigen gp75) (tyrosinase-related protein 1) (trp) (trp-1) (trp1)</t>
  </si>
  <si>
    <t>P17643</t>
  </si>
  <si>
    <t>UBA1</t>
  </si>
  <si>
    <t>ubiquitin-like modifier-activating enzyme 1 (ec 6.2.1.45) (protein a1s9) (ubiquitin-activating enzyme e1)</t>
  </si>
  <si>
    <t>P22314</t>
  </si>
  <si>
    <t>UBA5</t>
  </si>
  <si>
    <t>ubiquitin-like modifier-activating enzyme 5 (ubiquitin-activating enzyme 5) (thifp1) (ufm1-activating enzyme) (ubiquitin-activating enzyme e1 domain-containing protein 1)</t>
  </si>
  <si>
    <t>Q9GZZ9</t>
  </si>
  <si>
    <t>UBAP2</t>
  </si>
  <si>
    <t>ubiquitin-associated protein 2 (ubap-2) (rna polymerase ii degradation factor ubap2)</t>
  </si>
  <si>
    <t>Q5T6F2</t>
  </si>
  <si>
    <t>UBE2A</t>
  </si>
  <si>
    <t>ubiquitin-conjugating enzyme e2 a (ec 2.3.2.23) (e2 ubiquitin-conjugating enzyme a) (rad6 homolog a) (hr6a) (hhr6a) (ubiquitin carrier protein a) (ubiquitin-protein ligase a)</t>
  </si>
  <si>
    <t>P49459</t>
  </si>
  <si>
    <t>UBE2T</t>
  </si>
  <si>
    <t>ubiquitin-conjugating enzyme e2 t (ec 2.3.2.23) (cell proliferation-inducing gene 50 protein) (e2 ubiquitin-conjugating enzyme t) (ubiquitin carrier protein t) (ubiquitin-protein ligase t)</t>
  </si>
  <si>
    <t>Q9NPD8</t>
  </si>
  <si>
    <t>UBE3A</t>
  </si>
  <si>
    <t>ubiquitin-protein ligase e3a (ec 2.3.2.26) (e6ap ubiquitin-protein ligase) (hect-type ubiquitin transferase e3a) (human papillomavirus e6-associated protein) (oncogenic protein-associated protein e6-ap) (renal carcinoma antigen ny-ren-54)</t>
  </si>
  <si>
    <t>Q05086</t>
  </si>
  <si>
    <t>UBE4A</t>
  </si>
  <si>
    <t>ubiquitin conjugation factor e4 a (ec 2.3.2.27) (ring-type e3 ubiquitin transferase e4 a)</t>
  </si>
  <si>
    <t>Q14139</t>
  </si>
  <si>
    <t>UBIAD1</t>
  </si>
  <si>
    <t>ubia prenyltransferase domain-containing protein 1 (ec 2.5.1.-) (ec 2.5.1.39) (transitional epithelial response protein 1)</t>
  </si>
  <si>
    <t>Q9Y5Z9</t>
  </si>
  <si>
    <t>UBQLN2</t>
  </si>
  <si>
    <t>ubiquilin-2 (chap1) (dsk2 homolog) (protein linking iap with cytoskeleton 2) (plic-2) (hplic-2) (ubiquitin-like product chap1/dsk2)</t>
  </si>
  <si>
    <t>Q9UHD9</t>
  </si>
  <si>
    <t>UBQLN4</t>
  </si>
  <si>
    <t>ubiquilin-4 (ataxin-1 interacting ubiquitin-like protein) (a1up) (ataxin-1 ubiquitin-like-interacting protein a1u) (connexin43-interacting protein of 75 kda) (cip75)</t>
  </si>
  <si>
    <t>Q9NRR5</t>
  </si>
  <si>
    <t>UBR1</t>
  </si>
  <si>
    <t>e3 ubiquitin-protein ligase ubr1 (ec 2.3.2.27) (n-recognin-1) (ubiquitin-protein ligase e3-alpha-1) (ubiquitin-protein ligase e3-alpha-i)</t>
  </si>
  <si>
    <t>Q8IWV7</t>
  </si>
  <si>
    <t>UBR7</t>
  </si>
  <si>
    <t>putative e3 ubiquitin-protein ligase ubr7 (ec 2.3.2.27) (n-recognin-7) (ring-type e3 ubiquitin transferase ubr7)</t>
  </si>
  <si>
    <t>Q8N806</t>
  </si>
  <si>
    <t>UBTF</t>
  </si>
  <si>
    <t>nucleolar transcription factor 1 (autoantigen nor-90) (upstream-binding factor 1) (ubf-1)</t>
  </si>
  <si>
    <t>P17480</t>
  </si>
  <si>
    <t>UCHL1</t>
  </si>
  <si>
    <t>ubiquitin carboxyl-terminal hydrolase isozyme l1 (uch-l1) (ec 3.4.19.12) (neuron cytoplasmic protein 9.5) (pgp 9.5) (pgp9.5) (ubiquitin thioesterase l1)</t>
  </si>
  <si>
    <t>P09936</t>
  </si>
  <si>
    <t>UCP3</t>
  </si>
  <si>
    <t>putative mitochondrial transporter ucp3 (solute carrier family 25 member 9) (uncoupling protein-3) (ucp 3)</t>
  </si>
  <si>
    <t>P55916</t>
  </si>
  <si>
    <t>UFC1</t>
  </si>
  <si>
    <t>ubiquitin-fold modifier-conjugating enzyme 1 (ufm1-conjugating enzyme 1)</t>
  </si>
  <si>
    <t>Q9Y3C8</t>
  </si>
  <si>
    <t>UFM1</t>
  </si>
  <si>
    <t>ubiquitin-fold modifier 1</t>
  </si>
  <si>
    <t>P61960</t>
  </si>
  <si>
    <t>UGDH</t>
  </si>
  <si>
    <t>udp-glucose 6-dehydrogenase (udp-glc dehydrogenase) (udp-glcdh) (udpgdh) (ec 1.1.1.22)</t>
  </si>
  <si>
    <t>O60701</t>
  </si>
  <si>
    <t>UGP2</t>
  </si>
  <si>
    <t>utp--glucose-1-phosphate uridylyltransferase (ec 2.7.7.9) (udp-glucose pyrophosphorylase) (udpgp) (ugpase)</t>
  </si>
  <si>
    <t>Q16851</t>
  </si>
  <si>
    <t>UHRF1</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</si>
  <si>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</si>
  <si>
    <t>Q96T88</t>
  </si>
  <si>
    <t>UHRF2</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</si>
  <si>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</si>
  <si>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Q96PU4</t>
  </si>
  <si>
    <t>ULK4</t>
  </si>
  <si>
    <t>serine/threonine-protein kinase ulk4 (ec 2.7.11.1) (unc-51-like kinase 4)</t>
  </si>
  <si>
    <t>Q96C45</t>
  </si>
  <si>
    <t>UMOD</t>
  </si>
  <si>
    <t>uromodulin (tamm-horsfall urinary glycoprotein) (thp) [cleaved into: uromodulin, secreted form]</t>
  </si>
  <si>
    <t>P07911</t>
  </si>
  <si>
    <t>UMPS</t>
  </si>
  <si>
    <t>uridine 5'-monophosphate synthase (ump synthase) [includes: orotate phosphoribosyltransferase (oprt) (oprtase) (ec 2.4.2.10); orotidine 5'-phosphate decarboxylase (odc) (ompd) (ec 4.1.1.23) (ompdecase)]</t>
  </si>
  <si>
    <t>P11172</t>
  </si>
  <si>
    <t>UNC5C</t>
  </si>
  <si>
    <t>netrin receptor unc5c (protein unc-5 homolog 3) (protein unc-5 homolog c)</t>
  </si>
  <si>
    <t>O95185</t>
  </si>
  <si>
    <t>UNC13D</t>
  </si>
  <si>
    <t>protein unc-13 homolog d (munc13-4)</t>
  </si>
  <si>
    <t>Q70J99</t>
  </si>
  <si>
    <t>UNC45B</t>
  </si>
  <si>
    <t>protein unc-45 homolog b (unc-45b) (smunc45)</t>
  </si>
  <si>
    <t>Q8IWX7</t>
  </si>
  <si>
    <t>UNC93B1</t>
  </si>
  <si>
    <t>protein unc-93 homolog b1 (unc-93b1) (hunc93b1)</t>
  </si>
  <si>
    <t>Q9H1C4</t>
  </si>
  <si>
    <t>UNC119</t>
  </si>
  <si>
    <t>protein unc-119 homolog a (retinal protein 4) (hrg4)</t>
  </si>
  <si>
    <t>Q13432</t>
  </si>
  <si>
    <t>UNG</t>
  </si>
  <si>
    <t>uracil-dna glycosylase (udg) (ec 3.2.2.27)</t>
  </si>
  <si>
    <t>P13051</t>
  </si>
  <si>
    <t>UPB1</t>
  </si>
  <si>
    <t>beta-ureidopropionase (ec 3.5.1.6) (bup-1) (beta-alanine synthase) (n-carbamoyl-beta-alanine amidohydrolase)</t>
  </si>
  <si>
    <t>Q9UBR1</t>
  </si>
  <si>
    <t>UPF3B</t>
  </si>
  <si>
    <t>regulator of nonsense transcripts 3b (nonsense mrna reducing factor 3b) (up-frameshift suppressor 3 homolog b) (hupf3b) (up-frameshift suppressor 3 homolog on chromosome x) (hupf3p-x)</t>
  </si>
  <si>
    <t>Q9BZI7</t>
  </si>
  <si>
    <t>UPK3A</t>
  </si>
  <si>
    <t>uroplakin-3a (up3a) (uroplakin iii) (upiii)</t>
  </si>
  <si>
    <t>O75631</t>
  </si>
  <si>
    <t>UQCC2</t>
  </si>
  <si>
    <t>ubiquinol-cytochrome c reductase complex assembly factor 2 (breast cancer-associated protein sga-81m) (mitochondrial nucleoid factor 1) (mitochondrial protein m19)</t>
  </si>
  <si>
    <t>Q9BRT2</t>
  </si>
  <si>
    <t>UQCC3</t>
  </si>
  <si>
    <t>ubiquinol-cytochrome-c reductase complex assembly factor 3 (assembly factor cbp4 homolog)</t>
  </si>
  <si>
    <t>Q6UW78</t>
  </si>
  <si>
    <t>UROD</t>
  </si>
  <si>
    <t>uroporphyrinogen decarboxylase (upd) (uro-d) (ec 4.1.1.37)</t>
  </si>
  <si>
    <t>P06132</t>
  </si>
  <si>
    <t>UROS</t>
  </si>
  <si>
    <t>uroporphyrinogen-iii synthase (uroiiis) (uros) (ec 4.2.1.75) (hydroxymethylbilane hydrolyase [cyclizing]) (uroporphyrinogen-iii cosynthase)</t>
  </si>
  <si>
    <t>P10746</t>
  </si>
  <si>
    <t>USH1C</t>
  </si>
  <si>
    <t>harmonin (antigen ny-co-38/ny-co-37) (autoimmune enteropathy-related antigen aie-75) (protein pdz-73) (renal carcinoma antigen ny-ren-3) (usher syndrome type-1c protein)</t>
  </si>
  <si>
    <t>Q9Y6N9</t>
  </si>
  <si>
    <t>USH1G</t>
  </si>
  <si>
    <t>pre-mrna splicing regulator ush1g (scaffold protein containing ankyrin repeats and sam domain) (usher syndrome type-1g protein)</t>
  </si>
  <si>
    <t>Q495M9</t>
  </si>
  <si>
    <t>USP6</t>
  </si>
  <si>
    <t>ubiquitin carboxyl-terminal hydrolase 6 (ec 3.4.19.12) (deubiquitinating enzyme 6) (proto-oncogene tre-2) (rn-tre) (ubiquitin thioesterase 6) (ubiquitin-specific-processing protease 6)</t>
  </si>
  <si>
    <t>P35125</t>
  </si>
  <si>
    <t>USP7</t>
  </si>
  <si>
    <t>ubiquitin carboxyl-terminal hydrolase 7 (ec 3.4.19.12) (deubiquitinating enzyme 7) (herpesvirus-associated ubiquitin-specific protease) (ubiquitin thioesterase 7) (ubiquitin-specific-processing protease 7)</t>
  </si>
  <si>
    <t>Q93009</t>
  </si>
  <si>
    <t>USP8</t>
  </si>
  <si>
    <t>ubiquitin carboxyl-terminal hydrolase 8 (ec 3.4.19.12) (deubiquitinating enzyme 8) (ubiquitin isopeptidase y) (hubpy) (ubiquitin thioesterase 8) (ubiquitin-specific-processing protease 8)</t>
  </si>
  <si>
    <t>P40818</t>
  </si>
  <si>
    <t>USP9X</t>
  </si>
  <si>
    <t>ubiquitin carboxyl-terminal hydrolase 9x (ec 3.4.19.12) (deubiquitinating enzyme faf-x) (fat facets in mammals) (hfam) (fat facets protein-related, x-linked) (ubiquitin thioesterase faf-x) (ubiquitin-specific protease 9, x chromosome) (ubiquitin-specific-processing protease faf-x)</t>
  </si>
  <si>
    <t>Q93008</t>
  </si>
  <si>
    <t>USP9Y</t>
  </si>
  <si>
    <t>ubiquitin carboxyl-terminal hydrolase 9y (ec 3.4.19.12) (deubiquitinating enzyme faf-y) (fat facets protein-related, y-linked) (ubiquitin thioesterase faf-y) (ubiquitin-specific protease 9, y chromosome) (ubiquitin-specific-processing protease faf-y)</t>
  </si>
  <si>
    <t>O00507</t>
  </si>
  <si>
    <t>USP16</t>
  </si>
  <si>
    <t>ubiquitin carboxyl-terminal hydrolase 16 (ec 3.4.19.12) (deubiquitinating enzyme 16) (ubiquitin thioesterase 16) (ubiquitin-processing protease ubp-m) (ubiquitin-specific-processing protease 16)</t>
  </si>
  <si>
    <t>Q9Y5T5</t>
  </si>
  <si>
    <t>USP18</t>
  </si>
  <si>
    <t>ubl carboxyl-terminal hydrolase 18 (ec 3.4.19.12) (43 kda isg15-specific protease) (hubp43) (isg15-specific-processing protease) (ubl thioesterase 18)</t>
  </si>
  <si>
    <t>Q9UMW8</t>
  </si>
  <si>
    <t>USP27X</t>
  </si>
  <si>
    <t>ubiquitin carboxyl-terminal hydrolase 27 (ec 3.4.19.12) (deubiquitinating enzyme 27) (ubiquitin carboxyl-terminal hydrolase 22-like) (ubiquitin thioesterase 27) (ubiquitin-specific-processing protease 27) (x-linked ubiquitin carboxyl-terminal hydrolase 27)</t>
  </si>
  <si>
    <t>A6NNY8</t>
  </si>
  <si>
    <t>USP45</t>
  </si>
  <si>
    <t>ubiquitin carboxyl-terminal hydrolase 45 (ec 3.4.19.12) (deubiquitinating enzyme 45) (ubiquitin thioesterase 45) (ubiquitin-specific-processing protease 45)</t>
  </si>
  <si>
    <t>Q70EL2</t>
  </si>
  <si>
    <t>UVSSA</t>
  </si>
  <si>
    <t>uv-stimulated scaffold protein a</t>
  </si>
  <si>
    <t>Q2YD98</t>
  </si>
  <si>
    <t>VAC14</t>
  </si>
  <si>
    <t>protein vac14 homolog (tax1-binding protein 2)</t>
  </si>
  <si>
    <t>Q08AM6</t>
  </si>
  <si>
    <t>VAMP1</t>
  </si>
  <si>
    <t>vesicle-associated membrane protein 1 (vamp-1) (synaptobrevin-1)</t>
  </si>
  <si>
    <t>P23763</t>
  </si>
  <si>
    <t>VAMP2</t>
  </si>
  <si>
    <t>vesicle-associated membrane protein 2 (vamp-2) (synaptobrevin-2)</t>
  </si>
  <si>
    <t>P63027</t>
  </si>
  <si>
    <t>VANGL1</t>
  </si>
  <si>
    <t>vang-like protein 1 (loop-tail protein 2 homolog) (lpp2) (strabismus 2) (van gogh-like protein 1)</t>
  </si>
  <si>
    <t>Q8TAA9</t>
  </si>
  <si>
    <t>VANGL2</t>
  </si>
  <si>
    <t>vang-like protein 2 (loop-tail protein 1 homolog) (strabismus 1) (van gogh-like protein 2)</t>
  </si>
  <si>
    <t>Q9ULK5</t>
  </si>
  <si>
    <t>VAPB</t>
  </si>
  <si>
    <t>vesicle-associated membrane protein-associated protein b/c (vamp-b/vamp-c) (vamp-associated protein b/c) (vap-b/vap-c)</t>
  </si>
  <si>
    <t>O95292</t>
  </si>
  <si>
    <t>VARS1</t>
  </si>
  <si>
    <t>valine--trna ligase (ec 6.1.1.9) (protein g7a) (valyl-trna synthetase) (valrs)</t>
  </si>
  <si>
    <t>P26640</t>
  </si>
  <si>
    <t>VARS2</t>
  </si>
  <si>
    <t>valine--trna ligase, mitochondrial (ec 6.1.1.9) (valyl-trna synthetase) (valrs) (valyl-trna synthetase-like)</t>
  </si>
  <si>
    <t>Q5ST30</t>
  </si>
  <si>
    <t>VCAN</t>
  </si>
  <si>
    <t>versican core protein (chondroitin sulfate proteoglycan core protein 2) (chondroitin sulfate proteoglycan 2) (glial hyaluronate-binding protein) (ghap) (large fibroblast proteoglycan) (pg-m)</t>
  </si>
  <si>
    <t>P13611</t>
  </si>
  <si>
    <t>VIL1</t>
  </si>
  <si>
    <t>villin-1</t>
  </si>
  <si>
    <t>P09327</t>
  </si>
  <si>
    <t>VIM</t>
  </si>
  <si>
    <t>vimentin</t>
  </si>
  <si>
    <t>P08670</t>
  </si>
  <si>
    <t>VLDLR</t>
  </si>
  <si>
    <t>very low-density lipoprotein receptor (vldl receptor) (vldl-r)</t>
  </si>
  <si>
    <t>P98155</t>
  </si>
  <si>
    <t>VPS13A</t>
  </si>
  <si>
    <t>intermembrane lipid transfer protein vps13a (chorea-acanthocytosis protein) (chorein) (vacuolar protein sorting-associated protein 13a)</t>
  </si>
  <si>
    <t>Q96RL7</t>
  </si>
  <si>
    <t>VPS13B</t>
  </si>
  <si>
    <t>intermembrane lipid transfer protein vps13b (cohen syndrome protein 1) (vacuolar protein sorting-associated protein 13b)</t>
  </si>
  <si>
    <t>Q7Z7G8</t>
  </si>
  <si>
    <t>VPS13C</t>
  </si>
  <si>
    <t>intermembrane lipid transfer protein vps13c (vacuolar protein sorting-associated protein 13c)</t>
  </si>
  <si>
    <t>Q709C8</t>
  </si>
  <si>
    <t>VPS13D</t>
  </si>
  <si>
    <t>intermembrane lipid transfer protein vps13d (vacuolar protein sorting-associated protein 13d)</t>
  </si>
  <si>
    <t>Q5THJ4</t>
  </si>
  <si>
    <t>VPS45</t>
  </si>
  <si>
    <t>vacuolar protein sorting-associated protein 45 (h-vps45) (hlvps45)</t>
  </si>
  <si>
    <t>Q9NRW7</t>
  </si>
  <si>
    <t>VSX1</t>
  </si>
  <si>
    <t>visual system homeobox 1 (homeodomain protein rinx) (retinal inner nuclear layer homeobox protein) (transcription factor vsx1)</t>
  </si>
  <si>
    <t>Q9NZR4</t>
  </si>
  <si>
    <t>VSX2</t>
  </si>
  <si>
    <t>visual system homeobox 2 (ceh-10 homeodomain-containing homolog) (homeobox protein chx10)</t>
  </si>
  <si>
    <t>P58304</t>
  </si>
  <si>
    <t>VWA3B</t>
  </si>
  <si>
    <t>von willebrand factor a domain-containing protein 3b (vwa domain-containing protein 3b)</t>
  </si>
  <si>
    <t>Q502W6</t>
  </si>
  <si>
    <t>VWF</t>
  </si>
  <si>
    <t>von willebrand factor (vwf) [cleaved into: von willebrand antigen 2 (von willebrand antigen ii)]</t>
  </si>
  <si>
    <t>P04275</t>
  </si>
  <si>
    <t>WAC</t>
  </si>
  <si>
    <t>ww domain-containing adapter protein with coiled-coil</t>
  </si>
  <si>
    <t>Q9BTA9</t>
  </si>
  <si>
    <t>WARS1</t>
  </si>
  <si>
    <t>tryptophan--trna ligase, cytoplasmic (ec 6.1.1.2) (interferon-induced protein 53) (ifp53) (tryptophanyl-trna synthetase) (trprs) (hwrs) [cleaved into: t1-trprs; t2-trprs]</t>
  </si>
  <si>
    <t>P23381</t>
  </si>
  <si>
    <t>WARS2</t>
  </si>
  <si>
    <t>tryptophan--trna ligase, mitochondrial (ec 6.1.1.2) ((mt)trprs) (tryptophanyl-trna synthetase) (trprs)</t>
  </si>
  <si>
    <t>Q9UGM6</t>
  </si>
  <si>
    <t>WAS</t>
  </si>
  <si>
    <t>mitochondrial-derived peptide mots-c (mitochondrial open reading frame of the 12s rrna-c)</t>
  </si>
  <si>
    <t>A0A0C5B5G6</t>
  </si>
  <si>
    <t>WASF1</t>
  </si>
  <si>
    <t>actin-binding protein wasf1 (protein wave-1) (verprolin homology domain-containing protein 1) (wiskott-aldrich syndrome protein family member 1) (wasp family protein member 1)</t>
  </si>
  <si>
    <t>Q92558</t>
  </si>
  <si>
    <t>WBP2</t>
  </si>
  <si>
    <t>ww domain-binding protein 2 (wbp-2)</t>
  </si>
  <si>
    <t>Q969T9</t>
  </si>
  <si>
    <t>WBP11</t>
  </si>
  <si>
    <t>ww domain-binding protein 11 (wbp-11) (npw38-binding protein) (npwbp) (sh3 domain-binding protein snp70) (splicing factor that interacts with pqbp-1 and pp1)</t>
  </si>
  <si>
    <t>Q9Y2W2</t>
  </si>
  <si>
    <t>WDCP</t>
  </si>
  <si>
    <t>wd repeat and coiled-coil-containing protein</t>
  </si>
  <si>
    <t>Q9H6R7</t>
  </si>
  <si>
    <t>WDFY3</t>
  </si>
  <si>
    <t>wd repeat and fyve domain-containing protein 3 (autophagy-linked fyve protein) (alfy)</t>
  </si>
  <si>
    <t>Q8IZQ1</t>
  </si>
  <si>
    <t>WDR1</t>
  </si>
  <si>
    <t>wd repeat-containing protein 1 (actin-interacting protein 1) (aip1) (nori-1)</t>
  </si>
  <si>
    <t>O75083</t>
  </si>
  <si>
    <t>WDR11</t>
  </si>
  <si>
    <t>wd repeat-containing protein 11 (bromodomain and wd repeat-containing protein 2) (wd repeat-containing protein 15)</t>
  </si>
  <si>
    <t>Q9BZH6</t>
  </si>
  <si>
    <t>WDR37</t>
  </si>
  <si>
    <t>wd repeat-containing protein 37</t>
  </si>
  <si>
    <t>Q9Y2I8</t>
  </si>
  <si>
    <t>WDR45</t>
  </si>
  <si>
    <t>wd repeat domain phosphoinositide-interacting protein 4 (wipi-4) (wd repeat-containing protein 45)</t>
  </si>
  <si>
    <t>Q9Y484</t>
  </si>
  <si>
    <t>WDR45B</t>
  </si>
  <si>
    <t>wd repeat domain phosphoinositide-interacting protein 3 (wipi-3) (wd repeat-containing protein 45-like) (wdr45-like protein) (wd repeat-containing protein 45b) (wipi49-like protein)</t>
  </si>
  <si>
    <t>Q5MNZ6</t>
  </si>
  <si>
    <t>WDR62</t>
  </si>
  <si>
    <t>wd repeat-containing protein 62</t>
  </si>
  <si>
    <t>O43379</t>
  </si>
  <si>
    <t>WDR73</t>
  </si>
  <si>
    <t>wd repeat-containing protein 73</t>
  </si>
  <si>
    <t>Q6P4I2</t>
  </si>
  <si>
    <t>WFS1</t>
  </si>
  <si>
    <t>wolframin</t>
  </si>
  <si>
    <t>O76024</t>
  </si>
  <si>
    <t>WIPF1</t>
  </si>
  <si>
    <t>was/wasl-interacting protein family member 1 (protein prpl-2) (wiskott-aldrich syndrome protein-interacting protein) (wasp-interacting protein)</t>
  </si>
  <si>
    <t>O43516</t>
  </si>
  <si>
    <t>WIPI2</t>
  </si>
  <si>
    <t>wd repeat domain phosphoinositide-interacting protein 2 (wipi-2) (wipi49-like protein 2)</t>
  </si>
  <si>
    <t>Q9Y4P8</t>
  </si>
  <si>
    <t>WLS</t>
  </si>
  <si>
    <t>protein wntless homolog (integral membrane protein gpr177) (protein evenness interrupted homolog) (evi) (putative nf-kappa-b-activating protein 373)</t>
  </si>
  <si>
    <t>Q5T9L3</t>
  </si>
  <si>
    <t>WNK4</t>
  </si>
  <si>
    <t>serine/threonine-protein kinase wnk4 (ec 2.7.11.1) (protein kinase lysine-deficient 4) (protein kinase with no lysine 4)</t>
  </si>
  <si>
    <t>Q96J92</t>
  </si>
  <si>
    <t>WNT1</t>
  </si>
  <si>
    <t>proto-oncogene wnt-1 (proto-oncogene int-1 homolog)</t>
  </si>
  <si>
    <t>P04628</t>
  </si>
  <si>
    <t>WNT2B</t>
  </si>
  <si>
    <t>protein wnt-2b (protein wnt-13)</t>
  </si>
  <si>
    <t>Q93097</t>
  </si>
  <si>
    <t>WNT3</t>
  </si>
  <si>
    <t>proto-oncogene wnt-3 (proto-oncogene int-4 homolog)</t>
  </si>
  <si>
    <t>P56703</t>
  </si>
  <si>
    <t>WNT4</t>
  </si>
  <si>
    <t>protein wnt-4</t>
  </si>
  <si>
    <t>P56705</t>
  </si>
  <si>
    <t>WNT5A</t>
  </si>
  <si>
    <t>protein wnt-5a</t>
  </si>
  <si>
    <t>P41221</t>
  </si>
  <si>
    <t>WNT7A</t>
  </si>
  <si>
    <t>protein wnt-7a</t>
  </si>
  <si>
    <t>O00755</t>
  </si>
  <si>
    <t>WNT10B</t>
  </si>
  <si>
    <t>protein wnt-10b (protein wnt-12)</t>
  </si>
  <si>
    <t>O00744</t>
  </si>
  <si>
    <t>WRN</t>
  </si>
  <si>
    <t>bifunctional 3'-5' exonuclease/atp-dependent helicase wrn (dna helicase, recq-like type 3) (recq protein-like 2) (werner syndrome protein) [includes: 3'-5' exonuclease (ec 3.1.-.-); atp-dependent helicase (ec 5.6.2.4) (dna 3'-5' helicase wrn)]</t>
  </si>
  <si>
    <t>Q14191</t>
  </si>
  <si>
    <t>WT1</t>
  </si>
  <si>
    <t>wilms tumor protein (wt33)</t>
  </si>
  <si>
    <t>P19544</t>
  </si>
  <si>
    <t>WWOX</t>
  </si>
  <si>
    <t>ww domain-containing oxidoreductase (ec 1.1.1.-) (fragile site fra16d oxidoreductase) (short chain dehydrogenase/reductase family 41c member 1)</t>
  </si>
  <si>
    <t>Q9NZC7</t>
  </si>
  <si>
    <t>XDH</t>
  </si>
  <si>
    <t>xanthine dehydrogenase/oxidase [includes: xanthine dehydrogenase (xd) (ec 1.17.1.4); xanthine oxidase (xo) (ec 1.17.3.2) (xanthine oxidoreductase) (xor)]</t>
  </si>
  <si>
    <t>P47989</t>
  </si>
  <si>
    <t>XIAP</t>
  </si>
  <si>
    <t>e3 ubiquitin-protein ligase xiap (ec 2.3.2.27) (baculoviral iap repeat-containing protein 4) (iap-like protein) (ilp) (hilp) (inhibitor of apoptosis protein 3) (iap-3) (hiap-3) (hiap3) (ring-type e3 ubiquitin transferase xiap) (x-linked inhibitor of apoptosis protein) (x-linked iap)</t>
  </si>
  <si>
    <t>P98170</t>
  </si>
  <si>
    <t>XK</t>
  </si>
  <si>
    <t>endoplasmic reticulum membrane adapter protein xk (kell complex 37 kda component) (kx antigen) (membrane transport protein xk) (xk-related protein 1)</t>
  </si>
  <si>
    <t>P51811</t>
  </si>
  <si>
    <t>XPA</t>
  </si>
  <si>
    <t>dna repair protein complementing xp-a cells (xeroderma pigmentosum group a-complementing protein)</t>
  </si>
  <si>
    <t>P23025</t>
  </si>
  <si>
    <t>XPNPEP2</t>
  </si>
  <si>
    <t>xaa-pro aminopeptidase 2 (ec 3.4.11.9) (aminoacylproline aminopeptidase) (membrane-bound aminopeptidase p) (membrane-bound app) (membrane-bound amp) (mamp) (x-pro aminopeptidase 2)</t>
  </si>
  <si>
    <t>O43895</t>
  </si>
  <si>
    <t>XPR1</t>
  </si>
  <si>
    <t>solute carrier family 53 member 1 (phosphate exporter slc53a1) (protein syg1 homolog) (xenotropic and polytropic murine leukemia virus receptor x3) (x-receptor) (xenotropic and polytropic retrovirus receptor 1)</t>
  </si>
  <si>
    <t>Q9UBH6</t>
  </si>
  <si>
    <t>XYLT1</t>
  </si>
  <si>
    <t>xylosyltransferase 1 (ec 2.4.2.26) (peptide o-xylosyltransferase 1) (xylosyltransferase i) (xt-i) (xylt-i)</t>
  </si>
  <si>
    <t>Q86Y38</t>
  </si>
  <si>
    <t>XYLT2</t>
  </si>
  <si>
    <t>xylosyltransferase 2 (ec 2.4.2.26) (peptide o-xylosyltransferase 1) (xylosyltransferase ii) (xt-ii) (xylt-ii)</t>
  </si>
  <si>
    <t>Q9H1B5</t>
  </si>
  <si>
    <t>tyrosine--trna ligase, mitochondrial (ec 6.1.1.1) (tyrosyl-trna synthetase) (tyrrs)</t>
  </si>
  <si>
    <t>Q9Y2Z4</t>
  </si>
  <si>
    <t>YIPF5</t>
  </si>
  <si>
    <t>protein yipf5 (five-pass transmembrane protein localizing in the golgi apparatus and the endoplasmic reticulum 5) (smooth muscle cell-associated protein 5) (smap-5) (yip1 family member 5) (ypt-interacting protein 1 a)</t>
  </si>
  <si>
    <t>Q969M3</t>
  </si>
  <si>
    <t>YME1L1</t>
  </si>
  <si>
    <t>atp-dependent zinc metalloprotease yme1l1 (ec 3.4.24.-) (ec 3.6.-.-) (atp-dependent metalloprotease ftsh1) (meg-4) (presenilin-associated metalloprotease) (pamp) (yme1-like protein 1)</t>
  </si>
  <si>
    <t>Q96TA2</t>
  </si>
  <si>
    <t>YRDC</t>
  </si>
  <si>
    <t>threonylcarbamoyl-amp synthase (ec 2.7.7.87) (dopamine receptor-interacting protein 3) (ischemia/reperfusion-inducible protein homolog) (hirip)</t>
  </si>
  <si>
    <t>Q86U90</t>
  </si>
  <si>
    <t>YWHAG</t>
  </si>
  <si>
    <t>14-3-3 protein gamma (protein kinase c inhibitor protein 1) (kcip-1) [cleaved into: 14-3-3 protein gamma, n-terminally processed]</t>
  </si>
  <si>
    <t>P61981</t>
  </si>
  <si>
    <t>ZBTB7A</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</si>
  <si>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</si>
  <si>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O95365</t>
  </si>
  <si>
    <t>ZBTB16</t>
  </si>
  <si>
    <t>zinc finger and btb domain-containing protein 16 (promyelocytic leukemia zinc finger protein) (zinc finger protein 145) (zinc finger protein plzf)</t>
  </si>
  <si>
    <t>Q05516</t>
  </si>
  <si>
    <t>ZBTB18</t>
  </si>
  <si>
    <t>zinc finger and btb domain-containing protein 18 (58 kda repressor protein) (transcriptional repressor rp58) (translin-associated zinc finger protein 1) (taz-1) (zinc finger protein 238) (zinc finger protein c2h2-171)</t>
  </si>
  <si>
    <t>Q99592</t>
  </si>
  <si>
    <t>ZBTB20</t>
  </si>
  <si>
    <t>zinc finger and btb domain-containing protein 20 (dendritic-derived btb/poz zinc finger protein) (zinc finger protein 288)</t>
  </si>
  <si>
    <t>Q9HC78</t>
  </si>
  <si>
    <t>ZBTB24</t>
  </si>
  <si>
    <t>zinc finger and btb domain-containing protein 24 (zinc finger protein 450)</t>
  </si>
  <si>
    <t>O43167</t>
  </si>
  <si>
    <t>ZC3H12A</t>
  </si>
  <si>
    <t>endoribonuclease zc3h12a (ec 3.1.-.-) (monocyte chemotactic protein-induced protein 1) (mcp-induced protein 1) (mcpip-1) (regnase-1) (reg1) (zinc finger ccch domain-containing protein 12a)</t>
  </si>
  <si>
    <t>Q5D1E8</t>
  </si>
  <si>
    <t>ZC3H12D</t>
  </si>
  <si>
    <t>probable ribonuclease zc3h12d (ec 3.1.-.-) (mcp-induced protein 4) (transformed follicular lymphoma) (zinc finger ccch domain-containing protein 12d) (p34)</t>
  </si>
  <si>
    <t>A2A288</t>
  </si>
  <si>
    <t>ZC3H14</t>
  </si>
  <si>
    <t>zinc finger ccch domain-containing protein 14 (mammalian suppressor of tau pathology-2) (msut-2) (renal carcinoma antigen ny-ren-37)</t>
  </si>
  <si>
    <t>Q6PJT7</t>
  </si>
  <si>
    <t>ZDHHC9</t>
  </si>
  <si>
    <t>palmitoyltransferase zdhhc9 (ec 2.3.1.225) (zinc finger dhhc domain-containing protein 9) (dhhc-9) (dhhc9) (zinc finger protein 379) (zinc finger protein 380)</t>
  </si>
  <si>
    <t>Q9Y397</t>
  </si>
  <si>
    <t>ZEB1</t>
  </si>
  <si>
    <t>zinc finger e-box-binding homeobox 1 (nil-2-a zinc finger protein) (negative regulator of il2) (transcription factor 8) (tcf-8)</t>
  </si>
  <si>
    <t>P37275</t>
  </si>
  <si>
    <t>ZEB2</t>
  </si>
  <si>
    <t>zinc finger e-box-binding homeobox 2 (smad-interacting protein 1) (smadip1) (zinc finger homeobox protein 1b)</t>
  </si>
  <si>
    <t>O60315</t>
  </si>
  <si>
    <t>ZFHX4</t>
  </si>
  <si>
    <t>zinc finger homeobox protein 4 (zinc finger homeodomain protein 4) (zfh-4)</t>
  </si>
  <si>
    <t>Q86UP3</t>
  </si>
  <si>
    <t>ZFP36L2</t>
  </si>
  <si>
    <t>mrna decay activator protein zfp36l2 (butyrate response factor 2) (egf-response factor 2) (erf-2) (tpa-induced sequence 11d) (zinc finger protein 36, c3h1 type-like 2) (zfp36-like 2)</t>
  </si>
  <si>
    <t>P47974</t>
  </si>
  <si>
    <t>ZFP57</t>
  </si>
  <si>
    <t>zinc finger protein 57 homolog (zfp-57) (zinc finger protein 698)</t>
  </si>
  <si>
    <t>Q9NU63</t>
  </si>
  <si>
    <t>ZFPM2</t>
  </si>
  <si>
    <t>zinc finger protein zfpm2 (friend of gata protein 2) (fog-2) (friend of gata 2) (hfog-2) (zinc finger protein 89b) (zinc finger protein multitype 2)</t>
  </si>
  <si>
    <t>Q8WW38</t>
  </si>
  <si>
    <t>ZFYVE19</t>
  </si>
  <si>
    <t>abscission/nocut checkpoint regulator (anchr) (mll partner containing fyve domain) (zinc finger fyve domain-containing protein 19)</t>
  </si>
  <si>
    <t>Q96K21</t>
  </si>
  <si>
    <t>ZFYVE26</t>
  </si>
  <si>
    <t>zinc finger fyve domain-containing protein 26 (fyve domain-containing centrosomal protein) (fyve-cent) (spastizin)</t>
  </si>
  <si>
    <t>Q68DK2</t>
  </si>
  <si>
    <t>ZFYVE27</t>
  </si>
  <si>
    <t>protrudin (spastic paraplegia 33 protein) (zinc finger fyve domain-containing protein 27)</t>
  </si>
  <si>
    <t>Q5T4F4</t>
  </si>
  <si>
    <t>ZIC1</t>
  </si>
  <si>
    <t>zinc finger protein zic 1 (zinc finger protein 201) (zinc finger protein of the cerebellum 1)</t>
  </si>
  <si>
    <t>Q15915</t>
  </si>
  <si>
    <t>ZIC2</t>
  </si>
  <si>
    <t>zinc finger protein zic 2 (zinc finger protein of the cerebellum 2)</t>
  </si>
  <si>
    <t>O95409</t>
  </si>
  <si>
    <t>ZIC3</t>
  </si>
  <si>
    <t>zinc finger protein zic 3 (zinc finger protein 203) (zinc finger protein of the cerebellum 3)</t>
  </si>
  <si>
    <t>O60481</t>
  </si>
  <si>
    <t>ZMIZ1</t>
  </si>
  <si>
    <t>zinc finger miz domain-containing protein 1 (pias-like protein zimp10) (retinoic acid-induced protein 17)</t>
  </si>
  <si>
    <t>Q9ULJ6</t>
  </si>
  <si>
    <t>ZMPSTE24</t>
  </si>
  <si>
    <t>caax prenyl protease 1 homolog (ec 3.4.24.84) (farnesylated proteins-converting enzyme 1) (face-1) (prenyl protein-specific endoprotease 1) (zinc metalloproteinase ste24 homolog)</t>
  </si>
  <si>
    <t>O75844</t>
  </si>
  <si>
    <t>ZMYM2</t>
  </si>
  <si>
    <t>zinc finger mym-type protein 2 (fused in myeloproliferative disorders protein) (rearranged in atypical myeloproliferative disorder protein) (zinc finger protein 198)</t>
  </si>
  <si>
    <t>Q9UBW7</t>
  </si>
  <si>
    <t>ZMYM3</t>
  </si>
  <si>
    <t>zinc finger mym-type protein 3 (zinc finger protein 261)</t>
  </si>
  <si>
    <t>Q14202</t>
  </si>
  <si>
    <t>ZMYND8</t>
  </si>
  <si>
    <t>mynd-type zinc finger-containing chromatin reader zmynd8 (cutaneous t-cell lymphoma-associated antigen se14-3) (ctcl-associated antigen se14-3) (protein kinase c-binding protein 1) (rack7) (transcription coregulator zmynd8) (zinc finger mynd domain-containing protein 8)</t>
  </si>
  <si>
    <t>Q9ULU4</t>
  </si>
  <si>
    <t>ZMYND11</t>
  </si>
  <si>
    <t>zinc finger mynd domain-containing protein 11 (adenovirus 5 e1a-binding protein) (bone morphogenetic protein receptor-associated molecule 1) (protein bs69)</t>
  </si>
  <si>
    <t>Q15326</t>
  </si>
  <si>
    <t>ZNF41</t>
  </si>
  <si>
    <t>zinc finger protein 41</t>
  </si>
  <si>
    <t>P51814</t>
  </si>
  <si>
    <t>ZNF81</t>
  </si>
  <si>
    <t>zinc finger protein 81 (hfz20)</t>
  </si>
  <si>
    <t>P51508</t>
  </si>
  <si>
    <t>ZNF142</t>
  </si>
  <si>
    <t>zinc finger protein 142</t>
  </si>
  <si>
    <t>P52746</t>
  </si>
  <si>
    <t>ZNF148</t>
  </si>
  <si>
    <t>zinc finger protein 148 (transcription factor zbp-89) (zinc finger dna-binding protein 89)</t>
  </si>
  <si>
    <t>Q9UQR1</t>
  </si>
  <si>
    <t>ZNF292</t>
  </si>
  <si>
    <t>zinc finger protein 292</t>
  </si>
  <si>
    <t>O60281</t>
  </si>
  <si>
    <t>ZNF335</t>
  </si>
  <si>
    <t>zinc finger protein 335 (nrc-interacting factor 1) (nif-1)</t>
  </si>
  <si>
    <t>Q9H4Z2</t>
  </si>
  <si>
    <t>ZNF341</t>
  </si>
  <si>
    <t>zinc finger protein 341</t>
  </si>
  <si>
    <t>Q9BYN7</t>
  </si>
  <si>
    <t>ZNF408</t>
  </si>
  <si>
    <t>zinc finger protein 408 (pr domain zinc finger protein 17)</t>
  </si>
  <si>
    <t>Q9H9D4</t>
  </si>
  <si>
    <t>ZNF423</t>
  </si>
  <si>
    <t>zinc finger protein 423 (olf1/ebf-associated zinc finger protein) (hoaz) (smad- and olf-interacting zinc finger protein)</t>
  </si>
  <si>
    <t>Q2M1K9</t>
  </si>
  <si>
    <t>ZNF462</t>
  </si>
  <si>
    <t>zinc finger protein 462 (zinc finger pbx1-interacting protein) (zfpip)</t>
  </si>
  <si>
    <t>Q96JM2</t>
  </si>
  <si>
    <t>ZNF469</t>
  </si>
  <si>
    <t>zinc finger protein 469</t>
  </si>
  <si>
    <t>Q96JG9</t>
  </si>
  <si>
    <t>ZNF513</t>
  </si>
  <si>
    <t>zinc finger protein 513</t>
  </si>
  <si>
    <t>Q8N8E2</t>
  </si>
  <si>
    <t>ZNF521</t>
  </si>
  <si>
    <t>zinc finger protein 521 (early hematopoietic zinc finger protein) (lyst-interacting protein 3)</t>
  </si>
  <si>
    <t>Q96K83</t>
  </si>
  <si>
    <t>ZNF644</t>
  </si>
  <si>
    <t>zinc finger protein 644 (zinc finger motif enhancer-binding protein 2) (zep-2)</t>
  </si>
  <si>
    <t>Q9H582</t>
  </si>
  <si>
    <t>ZNF687</t>
  </si>
  <si>
    <t>zinc finger protein 687</t>
  </si>
  <si>
    <t>Q8N1G0</t>
  </si>
  <si>
    <t>ZNF699</t>
  </si>
  <si>
    <t>zinc finger protein 699 (hangover homolog)</t>
  </si>
  <si>
    <t>Q32M78</t>
  </si>
  <si>
    <t>ZNF703</t>
  </si>
  <si>
    <t>zinc finger protein 703 (zinc finger elbow-related proline domain protein 1)</t>
  </si>
  <si>
    <t>Q9H7S9</t>
  </si>
  <si>
    <t>ZNF711</t>
  </si>
  <si>
    <t>zinc finger protein 711 (zinc finger protein 6)</t>
  </si>
  <si>
    <t>Q9Y462</t>
  </si>
  <si>
    <t>ZNF713</t>
  </si>
  <si>
    <t>zinc finger protein 713</t>
  </si>
  <si>
    <t>Q8N859</t>
  </si>
  <si>
    <t>ZNF750</t>
  </si>
  <si>
    <t>zinc finger protein 750</t>
  </si>
  <si>
    <t>Q32MQ0</t>
  </si>
  <si>
    <t>ZNFX1</t>
  </si>
  <si>
    <t>nfx1-type zinc finger-containing protein 1</t>
  </si>
  <si>
    <t>Q9P2E3</t>
  </si>
  <si>
    <t>ZNHIT3</t>
  </si>
  <si>
    <t>zinc finger hit domain-containing protein 3 (hnf-4a coactivator) (thyroid hormone receptor interactor 3) (thyroid receptor-interacting protein 3) (tr-interacting protein 3) (trip-3)</t>
  </si>
  <si>
    <t>Q15649</t>
  </si>
  <si>
    <t>ZP1</t>
  </si>
  <si>
    <t>zona pellucida sperm-binding protein 1 (zona pellucida glycoprotein 1) (zp-1) [cleaved into: processed zona pellucida sperm-binding protein 1]</t>
  </si>
  <si>
    <t>P60852</t>
  </si>
  <si>
    <t>ZP2</t>
  </si>
  <si>
    <t>zona pellucida sperm-binding protein 2 (zona pellucida glycoprotein 2) (zp-2) (zona pellucida protein a) [cleaved into: processed zona pellucida sperm-binding protein 2]</t>
  </si>
  <si>
    <t>Q05996</t>
  </si>
  <si>
    <t>ZP3</t>
  </si>
  <si>
    <t>zona pellucida sperm-binding protein 3 (sperm receptor) (zp3a/zp3b) (zona pellucida glycoprotein 3) (zp-3) (zona pellucida protein c) [cleaved into: processed zona pellucida sperm-binding protein 3]</t>
  </si>
  <si>
    <t>P21754</t>
  </si>
  <si>
    <t>ZPBP</t>
  </si>
  <si>
    <t>zona pellucida-binding protein 1 (inner acrosomal membrane iam38) (sp38)</t>
  </si>
  <si>
    <t>Q9BS86</t>
  </si>
  <si>
    <t>ZPR1</t>
  </si>
  <si>
    <t>zinc finger protein zpr1 (zinc finger protein 259)</t>
  </si>
  <si>
    <t>O75312</t>
  </si>
  <si>
    <t>ZSWIM6</t>
  </si>
  <si>
    <t>zinc finger swim domain-containing protein 6</t>
  </si>
  <si>
    <t>Q9HCJ5</t>
  </si>
  <si>
    <t>Protein_name</t>
  </si>
  <si>
    <t>intracluster_score</t>
  </si>
  <si>
    <t>intercluster_score</t>
  </si>
  <si>
    <t>Conectivity_score</t>
  </si>
  <si>
    <t>Source</t>
  </si>
  <si>
    <t>Cluster</t>
  </si>
  <si>
    <t>Connectivity</t>
  </si>
  <si>
    <t>Intercluster</t>
  </si>
  <si>
    <t>Intracluster</t>
  </si>
  <si>
    <t>Nombre proteína</t>
  </si>
  <si>
    <t>Cluster_label</t>
  </si>
  <si>
    <t>intracluster connect</t>
  </si>
  <si>
    <t>intercluster connect</t>
  </si>
  <si>
    <t>Termino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</si>
</sst>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indexed="8"/>
      <name val="Calibri"/>
      <family val="2"/>
      <scheme val="minor"/>
    </font>
    <font>
      <u/>
      <sz val="11"/>
      <color indexed="8"/>
      <name val="Calibri"/>
      <family val="2"/>
      <scheme val="minor"/>
    </font>
    <font>
      <b/>
      <sz val="11"/>
      <name val="Calibri"/>
      <family val="2"/>
    </font>
    <font>
      <sz val="11"/>
      <color theme="1" tint="4.9989318521683403E-2"/>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2">
    <xf numFmtId="0" fontId="0" fillId="0" borderId="0"/>
    <xf numFmtId="0" fontId="2" fillId="0" borderId="0"/>
  </cellStyleXfs>
  <cellXfs count="12">
    <xf numFmtId="0" fontId="0" fillId="0" borderId="0" xfId="0"/>
    <xf numFmtId="0" fontId="2" fillId="0" borderId="0" xfId="1"/>
    <xf numFmtId="0" fontId="3" fillId="0" borderId="0" xfId="1" applyFont="1"/>
    <xf numFmtId="0" fontId="1" fillId="0" borderId="3" xfId="0" applyFont="1" applyBorder="1" applyAlignment="1">
      <alignment horizontal="center" vertical="top"/>
    </xf>
    <xf numFmtId="0" fontId="0" fillId="2" borderId="1" xfId="0" applyFont="1" applyFill="1" applyBorder="1"/>
    <xf numFmtId="0" fontId="0" fillId="2" borderId="2" xfId="0" applyFont="1" applyFill="1" applyBorder="1"/>
    <xf numFmtId="0" fontId="0" fillId="3" borderId="1" xfId="0" applyFont="1" applyFill="1" applyBorder="1"/>
    <xf numFmtId="0" fontId="0" fillId="3" borderId="2" xfId="0" applyFont="1" applyFill="1" applyBorder="1"/>
    <xf numFmtId="0" fontId="0" fillId="3" borderId="4" xfId="0" applyFont="1" applyFill="1" applyBorder="1"/>
    <xf numFmtId="0" fontId="0" fillId="3" borderId="5" xfId="0" applyFont="1" applyFill="1" applyBorder="1"/>
    <xf numFmtId="0" fontId="5" fillId="0" borderId="0" xfId="0" applyFont="1"/>
    <xf numFmtId="0" fontId="4" fillId="0" borderId="3" xfId="0" applyFont="1" applyBorder="1" applyAlignment="1">
      <alignment horizontal="center" vertical="top"/>
    </xf>
  </cellXfs>
  <cellStyles count="2">
    <cellStyle name="Normal" xfId="0" builtinId="0"/>
    <cellStyle name="Normal 2" xfId="1" xr:uid="{8BC8CDD0-AAEA-4237-B427-D7B1D861D3A8}"/>
  </cellStyles>
  <dxfs count="21">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1" tint="4.9989318521683403E-2"/>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02284A-EC1D-456D-A079-7B81C3464270}" name="Tabla6" displayName="Tabla6" ref="A1:K181" totalsRowShown="0" headerRowDxfId="8">
  <autoFilter ref="A1:K181" xr:uid="{0602284A-EC1D-456D-A079-7B81C3464270}"/>
  <tableColumns count="11">
    <tableColumn id="1" xr3:uid="{D0A91B08-1D8E-49A6-9A04-C79CB72C640F}" name="Protein_name" dataDxfId="11"/>
    <tableColumn id="2" xr3:uid="{7D2C0148-9D4D-4B12-AE8E-C8DDB8A7BDE7}" name="Target_group" dataDxfId="7">
      <calculatedColumnFormula>VLOOKUP(Tabla6[[#This Row],[Protein_name]],raw!$A$2:$F$5391,6,FALSE)</calculatedColumnFormula>
    </tableColumn>
    <tableColumn id="3" xr3:uid="{D87E5FFA-01BE-4635-9F84-5F9CC058C808}" name="Uniprot_id" dataDxfId="6">
      <calculatedColumnFormula>VLOOKUP(Tabla6[[#This Row],[Protein_name]],raw!$A$2:$F$5391,4,FALSE)</calculatedColumnFormula>
    </tableColumn>
    <tableColumn id="4" xr3:uid="{ADDF57B4-E9D0-4846-AC37-32A5FD938070}" name="Target_name" dataDxfId="5">
      <calculatedColumnFormula>VLOOKUP(Tabla6[[#This Row],[Protein_name]],raw!$A$2:$F$5391,2,FALSE)</calculatedColumnFormula>
    </tableColumn>
    <tableColumn id="5" xr3:uid="{B2E549A2-F812-4286-AADC-C9D358A30E87}" name="Target_type" dataDxfId="4">
      <calculatedColumnFormula>VLOOKUP(Tabla6[[#This Row],[Protein_name]],raw!$A$2:$F$5391,5,FALSE)</calculatedColumnFormula>
    </tableColumn>
    <tableColumn id="6" xr3:uid="{30496FEC-C00D-474C-821B-D08A1FC43233}" name="Complex_participants" dataDxfId="3">
      <calculatedColumnFormula>VLOOKUP(Tabla6[[#This Row],[Protein_name]],raw!$A$2:$F$5391,3,FALSE)</calculatedColumnFormula>
    </tableColumn>
    <tableColumn id="7" xr3:uid="{8DF96FD5-3235-4D75-A4A6-3EAE69C0D8B4}" name="intracluster_score" dataDxfId="10">
      <calculatedColumnFormula>VLOOKUP(Tabla6[[#This Row],[Protein_name]],T4_metrics!$A$2:$G$693,4,FALSE)</calculatedColumnFormula>
    </tableColumn>
    <tableColumn id="8" xr3:uid="{1C3C7834-B061-499D-9363-66DF7DD56CDD}" name="intercluster_score">
      <calculatedColumnFormula>VLOOKUP(Tabla6[[#This Row],[Protein_name]],T4_metrics!$A$2:$G$693,5,FALSE)</calculatedColumnFormula>
    </tableColumn>
    <tableColumn id="9" xr3:uid="{64B08EDA-CC49-4DD1-BBDB-9DE8F2908F49}" name="Conectivity_score">
      <calculatedColumnFormula>VLOOKUP(Tabla6[[#This Row],[Protein_name]],T4_metrics!$A$2:$G$693,6,FALSE)</calculatedColumnFormula>
    </tableColumn>
    <tableColumn id="10" xr3:uid="{DCF9E61F-EBB7-4029-8E62-E9AD45BB9D58}" name="Source"/>
    <tableColumn id="11" xr3:uid="{9F5AC4BE-72DE-430B-AEC0-88BB180DAB5A}" name="Cluster" dataDxf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3CDC96-203D-48E6-B37B-48E199E94478}" name="Tabla3" displayName="Tabla3" ref="A1:D61" totalsRowShown="0" headerRowDxfId="18" headerRowBorderDxfId="19" tableBorderDxfId="20">
  <autoFilter ref="A1:D61" xr:uid="{2D3CDC96-203D-48E6-B37B-48E199E94478}"/>
  <sortState xmlns:xlrd2="http://schemas.microsoft.com/office/spreadsheetml/2017/richdata2" ref="A2:D61">
    <sortCondition ref="B1:B61"/>
  </sortState>
  <tableColumns count="4">
    <tableColumn id="1" xr3:uid="{E7E0BDCD-9F01-4EA3-A308-D47CC792E1F3}" name="protein_name"/>
    <tableColumn id="2" xr3:uid="{7340A333-6EE9-4A9C-BAA1-BE5B877503C5}" name="Clúster"/>
    <tableColumn id="3" xr3:uid="{C607015F-FD7A-4C3B-A9F7-9298B09C413D}" name="connectivity_score"/>
    <tableColumn id="4" xr3:uid="{C3D91C91-1255-4A83-A882-FBDEA8E1359F}" name="go_term"/>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6CE550-AAB5-46C2-B4A7-CF5DD2C7B826}" name="Tabla4" displayName="Tabla4" ref="A1:D61" totalsRowShown="0" headerRowDxfId="15" headerRowBorderDxfId="16" tableBorderDxfId="17">
  <autoFilter ref="A1:D61" xr:uid="{6C6CE550-AAB5-46C2-B4A7-CF5DD2C7B826}"/>
  <sortState xmlns:xlrd2="http://schemas.microsoft.com/office/spreadsheetml/2017/richdata2" ref="A2:D61">
    <sortCondition ref="B1:B61"/>
  </sortState>
  <tableColumns count="4">
    <tableColumn id="1" xr3:uid="{BEE31E3C-AA51-43FA-A771-DED94A4F32EF}" name="protein_name"/>
    <tableColumn id="2" xr3:uid="{BCDA56A5-B257-4A12-A7BB-716C262CA569}" name="Clúster"/>
    <tableColumn id="3" xr3:uid="{E6E9682D-7D02-4468-85C2-26F77DF552FC}" name="Intercluster_Connect_Score"/>
    <tableColumn id="4" xr3:uid="{9F1F9CCD-76DF-4203-A738-C99BC6A5A34E}" name="go_term"/>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2D0C0F-232D-469C-876E-D802B844032A}" name="Tabla5" displayName="Tabla5" ref="A1:D61" totalsRowShown="0" headerRowDxfId="12" headerRowBorderDxfId="13" tableBorderDxfId="14">
  <autoFilter ref="A1:D61" xr:uid="{B02D0C0F-232D-469C-876E-D802B844032A}"/>
  <sortState xmlns:xlrd2="http://schemas.microsoft.com/office/spreadsheetml/2017/richdata2" ref="A2:D61">
    <sortCondition ref="B1:B61"/>
  </sortState>
  <tableColumns count="4">
    <tableColumn id="1" xr3:uid="{BA87E610-DC68-4896-94BB-1EA2D818C9E2}" name="protein_name"/>
    <tableColumn id="2" xr3:uid="{92F5DCB5-579D-4773-ABA1-ACFF1016459B}" name="Clúster"/>
    <tableColumn id="3" xr3:uid="{2963E5AE-A917-43AB-A5D9-20611BC7AB32}" name="Intracluster_Connect_Score"/>
    <tableColumn id="4" xr3:uid="{2FE3EB01-2FF5-4D15-A904-483DEFBC4A03}" name="go_term"/>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24CBCB-A76A-4D07-A5B2-395BD6D34D89}" name="Tabla2" displayName="Tabla2" ref="A1:K5391" totalsRowShown="0" headerRowCellStyle="Normal 2" dataCellStyle="Normal 2">
  <autoFilter ref="A1:K5391" xr:uid="{7F705230-9DC9-4A7E-8983-04EED4019BE6}"/>
  <tableColumns count="11">
    <tableColumn id="13" xr3:uid="{BBB6401A-369E-454F-A04A-3DC994E2C2A5}" name="Node_id" dataCellStyle="Normal 2"/>
    <tableColumn id="12" xr3:uid="{DC903690-34DE-4C38-A6C1-9744B88A7D50}" name="Target_name" dataCellStyle="Normal 2"/>
    <tableColumn id="2" xr3:uid="{9875241A-1971-4F6A-8A77-ECE952A63920}" name="Complex_participants" dataCellStyle="Normal 2"/>
    <tableColumn id="4" xr3:uid="{31A62C7E-2BD0-49B0-9F57-7BEF8113E08D}" name="Uniprot_id" dataCellStyle="Normal 2"/>
    <tableColumn id="5" xr3:uid="{607BBBEE-11E9-4C0D-9550-DBFCFBD2EE91}" name="Target_type" dataCellStyle="Normal 2"/>
    <tableColumn id="6" xr3:uid="{7FA4C24A-7A68-4789-A221-15A65BD97545}" name="Target_group" dataCellStyle="Normal 2"/>
    <tableColumn id="7" xr3:uid="{8615D2F2-83B1-446E-8AD0-69498C068385}" name="Source_db" dataCellStyle="Normal 2"/>
    <tableColumn id="8" xr3:uid="{65CD310D-4432-4D3A-B143-87F1B6E3E6A2}" name="Target_group_score" dataCellStyle="Normal 2"/>
    <tableColumn id="9" xr3:uid="{C3D93917-F942-45C7-BA09-F96A1F059871}" name="Target_group_score_normalized" dataCellStyle="Normal 2"/>
    <tableColumn id="10" xr3:uid="{8F0A0BCE-55A6-466C-AB21-860FD3C4C524}" name="Conectivity_Score" dataCellStyle="Normal 2"/>
    <tableColumn id="11" xr3:uid="{E4DE461F-0157-49F5-8CE6-0BA168500762}" name="Disease" dataCellStyle="Normal 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A55C12-6527-4358-971B-4827BF072CCB}" name="Tabla1" displayName="Tabla1" ref="A1:G693" totalsRowShown="0" headerRowDxfId="2" headerRowBorderDxfId="0" tableBorderDxfId="1">
  <autoFilter ref="A1:G693" xr:uid="{B87228D7-016E-43D4-9D96-2C57C5AB0587}"/>
  <sortState xmlns:xlrd2="http://schemas.microsoft.com/office/spreadsheetml/2017/richdata2" ref="A2:G693">
    <sortCondition descending="1" ref="E1:E693"/>
  </sortState>
  <tableColumns count="7">
    <tableColumn id="1" xr3:uid="{DFFB7A54-7BE8-4199-8FE3-8D5579A35EC1}" name="Nombre proteína"/>
    <tableColumn id="2" xr3:uid="{3666A815-3502-41F8-8C5B-D21C3124D72F}" name="Target_group"/>
    <tableColumn id="3" xr3:uid="{28EF2AC3-8ED8-4902-9570-09B9A05823AF}" name="Cluster_label"/>
    <tableColumn id="4" xr3:uid="{CF14C05B-6C68-453D-9561-DB11845D4D64}" name="intracluster connect"/>
    <tableColumn id="5" xr3:uid="{B19CE346-D981-4508-B95A-43B54A4FA4E1}" name="intercluster connect"/>
    <tableColumn id="6" xr3:uid="{CD93E3F6-F655-48CA-8CD8-9042D9C7361F}" name="Conectivity_Score"/>
    <tableColumn id="7" xr3:uid="{7559C97E-DA55-4314-9A43-341B1886482E}" name="Termino G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AC6A8-74C7-49F3-9C39-CE257BEEABF7}">
  <dimension ref="A1:K181"/>
  <sheetViews>
    <sheetView tabSelected="1" workbookViewId="0">
      <pane ySplit="1" topLeftCell="A2" activePane="bottomLeft" state="frozen"/>
      <selection pane="bottomLeft" activeCell="A2" sqref="A2:K181"/>
    </sheetView>
  </sheetViews>
  <sheetFormatPr baseColWidth="10" defaultRowHeight="15" x14ac:dyDescent="0.25"/>
  <cols>
    <col min="1" max="1" width="15.7109375" customWidth="1"/>
    <col min="2" max="2" width="14.85546875" customWidth="1"/>
    <col min="3" max="3" width="12.7109375" customWidth="1"/>
    <col min="4" max="4" width="14.7109375" customWidth="1"/>
    <col min="5" max="5" width="17.7109375" bestFit="1" customWidth="1"/>
    <col min="6" max="6" width="30.28515625" customWidth="1"/>
    <col min="7" max="7" width="19" customWidth="1"/>
    <col min="8" max="8" width="19.140625" customWidth="1"/>
    <col min="9" max="9" width="18.85546875" customWidth="1"/>
    <col min="10" max="10" width="12.140625" bestFit="1" customWidth="1"/>
  </cols>
  <sheetData>
    <row r="1" spans="1:11" x14ac:dyDescent="0.25">
      <c r="A1" s="10" t="s">
        <v>16767</v>
      </c>
      <c r="B1" s="10" t="s">
        <v>168</v>
      </c>
      <c r="C1" s="10" t="s">
        <v>166</v>
      </c>
      <c r="D1" s="10" t="s">
        <v>164</v>
      </c>
      <c r="E1" s="10" t="s">
        <v>167</v>
      </c>
      <c r="F1" s="10" t="s">
        <v>165</v>
      </c>
      <c r="G1" s="10" t="s">
        <v>16768</v>
      </c>
      <c r="H1" s="10" t="s">
        <v>16769</v>
      </c>
      <c r="I1" s="10" t="s">
        <v>16770</v>
      </c>
      <c r="J1" s="10" t="s">
        <v>16771</v>
      </c>
      <c r="K1" s="10" t="s">
        <v>16772</v>
      </c>
    </row>
    <row r="2" spans="1:11" x14ac:dyDescent="0.25">
      <c r="A2" s="4" t="s">
        <v>70</v>
      </c>
      <c r="B2" t="str">
        <f>VLOOKUP(Tabla6[[#This Row],[Protein_name]],raw!$A$2:$F$5391,6,FALSE)</f>
        <v>T4</v>
      </c>
      <c r="C2" t="str">
        <f>VLOOKUP(Tabla6[[#This Row],[Protein_name]],raw!$A$2:$F$5391,4,FALSE)</f>
        <v>P04066</v>
      </c>
      <c r="D2" t="str">
        <f>VLOOKUP(Tabla6[[#This Row],[Protein_name]],raw!$A$2:$F$5391,2,FALSE)</f>
        <v>tissue alpha-l-fucosidase (ec 3.2.1.51) (alpha-l-fucosidase i) (alpha-l-fucoside fucohydrolase 1) (alpha-l-fucosidase 1)</v>
      </c>
      <c r="E2" t="str">
        <f>VLOOKUP(Tabla6[[#This Row],[Protein_name]],raw!$A$2:$F$5391,5,FALSE)</f>
        <v>SINGLE PROTEIN</v>
      </c>
      <c r="F2">
        <f>VLOOKUP(Tabla6[[#This Row],[Protein_name]],raw!$A$2:$F$5391,3,FALSE)</f>
        <v>0</v>
      </c>
      <c r="G2">
        <f>VLOOKUP(Tabla6[[#This Row],[Protein_name]],T4_metrics!$A$2:$G$693,4,FALSE)</f>
        <v>6.7789999999999999</v>
      </c>
      <c r="H2">
        <f>VLOOKUP(Tabla6[[#This Row],[Protein_name]],T4_metrics!$A$2:$G$693,5,FALSE)</f>
        <v>1.5980000000000001</v>
      </c>
      <c r="I2" s="5">
        <f>VLOOKUP(Tabla6[[#This Row],[Protein_name]],T4_metrics!$A$2:$G$693,6,FALSE)</f>
        <v>0.74878414882734801</v>
      </c>
      <c r="J2" t="s">
        <v>16773</v>
      </c>
      <c r="K2" s="5">
        <v>0</v>
      </c>
    </row>
    <row r="3" spans="1:11" x14ac:dyDescent="0.25">
      <c r="A3" s="6" t="s">
        <v>72</v>
      </c>
      <c r="B3" t="str">
        <f>VLOOKUP(Tabla6[[#This Row],[Protein_name]],raw!$A$2:$F$5391,6,FALSE)</f>
        <v>T4</v>
      </c>
      <c r="C3" t="str">
        <f>VLOOKUP(Tabla6[[#This Row],[Protein_name]],raw!$A$2:$F$5391,4,FALSE)</f>
        <v>P35475</v>
      </c>
      <c r="D3" t="str">
        <f>VLOOKUP(Tabla6[[#This Row],[Protein_name]],raw!$A$2:$F$5391,2,FALSE)</f>
        <v>alpha-l-iduronidase (ec 3.2.1.76)</v>
      </c>
      <c r="E3" t="str">
        <f>VLOOKUP(Tabla6[[#This Row],[Protein_name]],raw!$A$2:$F$5391,5,FALSE)</f>
        <v>SINGLE PROTEIN</v>
      </c>
      <c r="F3">
        <f>VLOOKUP(Tabla6[[#This Row],[Protein_name]],raw!$A$2:$F$5391,3,FALSE)</f>
        <v>0</v>
      </c>
      <c r="G3">
        <f>VLOOKUP(Tabla6[[#This Row],[Protein_name]],T4_metrics!$A$2:$G$693,4,FALSE)</f>
        <v>8.2680000000000007</v>
      </c>
      <c r="H3">
        <f>VLOOKUP(Tabla6[[#This Row],[Protein_name]],T4_metrics!$A$2:$G$693,5,FALSE)</f>
        <v>0.44800000000000001</v>
      </c>
      <c r="I3" s="5">
        <f>VLOOKUP(Tabla6[[#This Row],[Protein_name]],T4_metrics!$A$2:$G$693,6,FALSE)</f>
        <v>0.72258046303535584</v>
      </c>
      <c r="J3" t="s">
        <v>16773</v>
      </c>
      <c r="K3" s="7">
        <v>0</v>
      </c>
    </row>
    <row r="4" spans="1:11" x14ac:dyDescent="0.25">
      <c r="A4" s="4" t="s">
        <v>73</v>
      </c>
      <c r="B4" t="str">
        <f>VLOOKUP(Tabla6[[#This Row],[Protein_name]],raw!$A$2:$F$5391,6,FALSE)</f>
        <v>T4</v>
      </c>
      <c r="C4" t="str">
        <f>VLOOKUP(Tabla6[[#This Row],[Protein_name]],raw!$A$2:$F$5391,4,FALSE)</f>
        <v>Q99519</v>
      </c>
      <c r="D4" t="str">
        <f>VLOOKUP(Tabla6[[#This Row],[Protein_name]],raw!$A$2:$F$5391,2,FALSE)</f>
        <v>sialidase-1 (ec 3.2.1.18) (acetylneuraminyl hydrolase) (g9 sialidase) (lysosomal sialidase) (n-acetyl-alpha-neuraminidase 1)</v>
      </c>
      <c r="E4" t="str">
        <f>VLOOKUP(Tabla6[[#This Row],[Protein_name]],raw!$A$2:$F$5391,5,FALSE)</f>
        <v>SINGLE PROTEIN</v>
      </c>
      <c r="F4">
        <f>VLOOKUP(Tabla6[[#This Row],[Protein_name]],raw!$A$2:$F$5391,3,FALSE)</f>
        <v>0</v>
      </c>
      <c r="G4">
        <f>VLOOKUP(Tabla6[[#This Row],[Protein_name]],T4_metrics!$A$2:$G$693,4,FALSE)</f>
        <v>4.5650000000000013</v>
      </c>
      <c r="H4">
        <f>VLOOKUP(Tabla6[[#This Row],[Protein_name]],T4_metrics!$A$2:$G$693,5,FALSE)</f>
        <v>0</v>
      </c>
      <c r="I4" s="5">
        <f>VLOOKUP(Tabla6[[#This Row],[Protein_name]],T4_metrics!$A$2:$G$693,6,FALSE)</f>
        <v>0.70894845932647121</v>
      </c>
      <c r="J4" t="s">
        <v>16773</v>
      </c>
      <c r="K4" s="5">
        <v>0</v>
      </c>
    </row>
    <row r="5" spans="1:11" x14ac:dyDescent="0.25">
      <c r="A5" s="6" t="s">
        <v>74</v>
      </c>
      <c r="B5" t="str">
        <f>VLOOKUP(Tabla6[[#This Row],[Protein_name]],raw!$A$2:$F$5391,6,FALSE)</f>
        <v>T4</v>
      </c>
      <c r="C5" t="str">
        <f>VLOOKUP(Tabla6[[#This Row],[Protein_name]],raw!$A$2:$F$5391,4,FALSE)</f>
        <v>O00754</v>
      </c>
      <c r="D5" t="str">
        <f>VLOOKUP(Tabla6[[#This Row],[Protein_name]],raw!$A$2:$F$5391,2,FALSE)</f>
        <v>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v>
      </c>
      <c r="E5" t="str">
        <f>VLOOKUP(Tabla6[[#This Row],[Protein_name]],raw!$A$2:$F$5391,5,FALSE)</f>
        <v>SINGLE PROTEIN</v>
      </c>
      <c r="F5">
        <f>VLOOKUP(Tabla6[[#This Row],[Protein_name]],raw!$A$2:$F$5391,3,FALSE)</f>
        <v>0</v>
      </c>
      <c r="G5">
        <f>VLOOKUP(Tabla6[[#This Row],[Protein_name]],T4_metrics!$A$2:$G$693,4,FALSE)</f>
        <v>6.8090000000000011</v>
      </c>
      <c r="H5">
        <f>VLOOKUP(Tabla6[[#This Row],[Protein_name]],T4_metrics!$A$2:$G$693,5,FALSE)</f>
        <v>0</v>
      </c>
      <c r="I5" s="5">
        <f>VLOOKUP(Tabla6[[#This Row],[Protein_name]],T4_metrics!$A$2:$G$693,6,FALSE)</f>
        <v>0.70880052010698535</v>
      </c>
      <c r="J5" t="s">
        <v>16773</v>
      </c>
      <c r="K5" s="7">
        <v>0</v>
      </c>
    </row>
    <row r="6" spans="1:11" x14ac:dyDescent="0.25">
      <c r="A6" s="4" t="s">
        <v>75</v>
      </c>
      <c r="B6" t="str">
        <f>VLOOKUP(Tabla6[[#This Row],[Protein_name]],raw!$A$2:$F$5391,6,FALSE)</f>
        <v>T4</v>
      </c>
      <c r="C6" t="str">
        <f>VLOOKUP(Tabla6[[#This Row],[Protein_name]],raw!$A$2:$F$5391,4,FALSE)</f>
        <v>P54802</v>
      </c>
      <c r="D6" t="str">
        <f>VLOOKUP(Tabla6[[#This Row],[Protein_name]],raw!$A$2:$F$5391,2,FALSE)</f>
        <v>alpha-n-acetylglucosaminidase (ec 3.2.1.50) (n-acetyl-alpha-glucosaminidase) (nag) [cleaved into: alpha-n-acetylglucosaminidase 82 kda form; alpha-n-acetylglucosaminidase 77 kda form]</v>
      </c>
      <c r="E6" t="str">
        <f>VLOOKUP(Tabla6[[#This Row],[Protein_name]],raw!$A$2:$F$5391,5,FALSE)</f>
        <v>SINGLE PROTEIN</v>
      </c>
      <c r="F6">
        <f>VLOOKUP(Tabla6[[#This Row],[Protein_name]],raw!$A$2:$F$5391,3,FALSE)</f>
        <v>0</v>
      </c>
      <c r="G6">
        <f>VLOOKUP(Tabla6[[#This Row],[Protein_name]],T4_metrics!$A$2:$G$693,4,FALSE)</f>
        <v>10.574</v>
      </c>
      <c r="H6">
        <f>VLOOKUP(Tabla6[[#This Row],[Protein_name]],T4_metrics!$A$2:$G$693,5,FALSE)</f>
        <v>0</v>
      </c>
      <c r="I6" s="5">
        <f>VLOOKUP(Tabla6[[#This Row],[Protein_name]],T4_metrics!$A$2:$G$693,6,FALSE)</f>
        <v>0.67904409702558732</v>
      </c>
      <c r="J6" t="s">
        <v>16773</v>
      </c>
      <c r="K6" s="5">
        <v>0</v>
      </c>
    </row>
    <row r="7" spans="1:11" x14ac:dyDescent="0.25">
      <c r="A7" s="6" t="s">
        <v>46</v>
      </c>
      <c r="B7" t="str">
        <f>VLOOKUP(Tabla6[[#This Row],[Protein_name]],raw!$A$2:$F$5391,6,FALSE)</f>
        <v>T4</v>
      </c>
      <c r="C7" t="str">
        <f>VLOOKUP(Tabla6[[#This Row],[Protein_name]],raw!$A$2:$F$5391,4,FALSE)</f>
        <v>P06681, P0C0L4, P0C0L4, P0C0L4</v>
      </c>
      <c r="D7" t="str">
        <f>VLOOKUP(Tabla6[[#This Row],[Protein_name]],raw!$A$2:$F$5391,2,FALSE)</f>
        <v>complement c2 (ec 3.4.21.43) (c3/c5 convertase) [cleaved into: complement c2b fragment; complement c2a fragment]</v>
      </c>
      <c r="E7" t="str">
        <f>VLOOKUP(Tabla6[[#This Row],[Protein_name]],raw!$A$2:$F$5391,5,FALSE)</f>
        <v>PROTEIN COMPLEX</v>
      </c>
      <c r="F7" t="str">
        <f>VLOOKUP(Tabla6[[#This Row],[Protein_name]],raw!$A$2:$F$5391,3,FALSE)</f>
        <v>P06681-PRO_0000027612,P0C0L4-PRO_0000005970,P0C0L4-PRO_0000005966,P0C0L4-PRO_0000005972</v>
      </c>
      <c r="G7">
        <f>VLOOKUP(Tabla6[[#This Row],[Protein_name]],T4_metrics!$A$2:$G$693,4,FALSE)</f>
        <v>23.405000000000001</v>
      </c>
      <c r="H7">
        <f>VLOOKUP(Tabla6[[#This Row],[Protein_name]],T4_metrics!$A$2:$G$693,5,FALSE)</f>
        <v>0.86499999999999999</v>
      </c>
      <c r="I7" s="5">
        <f>VLOOKUP(Tabla6[[#This Row],[Protein_name]],T4_metrics!$A$2:$G$693,6,FALSE)</f>
        <v>1.547513575461847</v>
      </c>
      <c r="J7" t="s">
        <v>16773</v>
      </c>
      <c r="K7" s="7">
        <v>1</v>
      </c>
    </row>
    <row r="8" spans="1:11" x14ac:dyDescent="0.25">
      <c r="A8" s="4" t="s">
        <v>48</v>
      </c>
      <c r="B8" t="str">
        <f>VLOOKUP(Tabla6[[#This Row],[Protein_name]],raw!$A$2:$F$5391,6,FALSE)</f>
        <v>T4</v>
      </c>
      <c r="C8" t="str">
        <f>VLOOKUP(Tabla6[[#This Row],[Protein_name]],raw!$A$2:$F$5391,4,FALSE)</f>
        <v>P00742, P00742</v>
      </c>
      <c r="D8" t="str">
        <f>VLOOKUP(Tabla6[[#This Row],[Protein_name]],raw!$A$2:$F$5391,2,FALSE)</f>
        <v>coagulation factor x (ec 3.4.21.6) (stuart factor) (stuart-prower factor) [cleaved into: factor x light chain; factor x heavy chain; activated factor xa heavy chain]</v>
      </c>
      <c r="E8" t="str">
        <f>VLOOKUP(Tabla6[[#This Row],[Protein_name]],raw!$A$2:$F$5391,5,FALSE)</f>
        <v>PROTEIN COMPLEX</v>
      </c>
      <c r="F8" t="str">
        <f>VLOOKUP(Tabla6[[#This Row],[Protein_name]],raw!$A$2:$F$5391,3,FALSE)</f>
        <v>P00742-PRO_0000027789,P00742-PRO_0000027788</v>
      </c>
      <c r="G8">
        <f>VLOOKUP(Tabla6[[#This Row],[Protein_name]],T4_metrics!$A$2:$G$693,4,FALSE)</f>
        <v>19.108000000000001</v>
      </c>
      <c r="H8">
        <f>VLOOKUP(Tabla6[[#This Row],[Protein_name]],T4_metrics!$A$2:$G$693,5,FALSE)</f>
        <v>0.94100000000000006</v>
      </c>
      <c r="I8" s="5">
        <f>VLOOKUP(Tabla6[[#This Row],[Protein_name]],T4_metrics!$A$2:$G$693,6,FALSE)</f>
        <v>1.4572378698571229</v>
      </c>
      <c r="J8" t="s">
        <v>16773</v>
      </c>
      <c r="K8" s="5">
        <v>1</v>
      </c>
    </row>
    <row r="9" spans="1:11" x14ac:dyDescent="0.25">
      <c r="A9" s="6" t="s">
        <v>49</v>
      </c>
      <c r="B9" t="str">
        <f>VLOOKUP(Tabla6[[#This Row],[Protein_name]],raw!$A$2:$F$5391,6,FALSE)</f>
        <v>T4</v>
      </c>
      <c r="C9" t="str">
        <f>VLOOKUP(Tabla6[[#This Row],[Protein_name]],raw!$A$2:$F$5391,4,FALSE)</f>
        <v>P03952, P03952</v>
      </c>
      <c r="D9" t="str">
        <f>VLOOKUP(Tabla6[[#This Row],[Protein_name]],raw!$A$2:$F$5391,2,FALSE)</f>
        <v>plasma kallikrein (ec 3.4.21.34) (fletcher factor) (kininogenin) (plasma prekallikrein) (pkk) [cleaved into: plasma kallikrein heavy chain; plasma kallikrein light chain]</v>
      </c>
      <c r="E9" t="str">
        <f>VLOOKUP(Tabla6[[#This Row],[Protein_name]],raw!$A$2:$F$5391,5,FALSE)</f>
        <v>PROTEIN COMPLEX</v>
      </c>
      <c r="F9" t="str">
        <f>VLOOKUP(Tabla6[[#This Row],[Protein_name]],raw!$A$2:$F$5391,3,FALSE)</f>
        <v>P03952-PRO_0000028022,P03952-PRO_0000028021</v>
      </c>
      <c r="G9">
        <f>VLOOKUP(Tabla6[[#This Row],[Protein_name]],T4_metrics!$A$2:$G$693,4,FALSE)</f>
        <v>17.858000000000001</v>
      </c>
      <c r="H9">
        <f>VLOOKUP(Tabla6[[#This Row],[Protein_name]],T4_metrics!$A$2:$G$693,5,FALSE)</f>
        <v>1.081</v>
      </c>
      <c r="I9" s="5">
        <f>VLOOKUP(Tabla6[[#This Row],[Protein_name]],T4_metrics!$A$2:$G$693,6,FALSE)</f>
        <v>1.455847655803046</v>
      </c>
      <c r="J9" t="s">
        <v>16773</v>
      </c>
      <c r="K9" s="7">
        <v>1</v>
      </c>
    </row>
    <row r="10" spans="1:11" x14ac:dyDescent="0.25">
      <c r="A10" s="4" t="s">
        <v>50</v>
      </c>
      <c r="B10" t="str">
        <f>VLOOKUP(Tabla6[[#This Row],[Protein_name]],raw!$A$2:$F$5391,6,FALSE)</f>
        <v>T4</v>
      </c>
      <c r="C10" t="str">
        <f>VLOOKUP(Tabla6[[#This Row],[Protein_name]],raw!$A$2:$F$5391,4,FALSE)</f>
        <v>P00740, P00740</v>
      </c>
      <c r="D10" t="str">
        <f>VLOOKUP(Tabla6[[#This Row],[Protein_name]],raw!$A$2:$F$5391,2,FALSE)</f>
        <v>coagulation factor ix (ec 3.4.21.22) (christmas factor) (plasma thromboplastin component) (ptc) [cleaved into: coagulation factor ixa light chain; coagulation factor ixa heavy chain]</v>
      </c>
      <c r="E10" t="str">
        <f>VLOOKUP(Tabla6[[#This Row],[Protein_name]],raw!$A$2:$F$5391,5,FALSE)</f>
        <v>PROTEIN COMPLEX</v>
      </c>
      <c r="F10" t="str">
        <f>VLOOKUP(Tabla6[[#This Row],[Protein_name]],raw!$A$2:$F$5391,3,FALSE)</f>
        <v>P00740-PRO_0000027757,P00740-PRO_0000027759</v>
      </c>
      <c r="G10">
        <f>VLOOKUP(Tabla6[[#This Row],[Protein_name]],T4_metrics!$A$2:$G$693,4,FALSE)</f>
        <v>19.111000000000001</v>
      </c>
      <c r="H10">
        <f>VLOOKUP(Tabla6[[#This Row],[Protein_name]],T4_metrics!$A$2:$G$693,5,FALSE)</f>
        <v>4.1260000000000003</v>
      </c>
      <c r="I10" s="5">
        <f>VLOOKUP(Tabla6[[#This Row],[Protein_name]],T4_metrics!$A$2:$G$693,6,FALSE)</f>
        <v>1.3763837713861911</v>
      </c>
      <c r="J10" t="s">
        <v>16773</v>
      </c>
      <c r="K10" s="5">
        <v>1</v>
      </c>
    </row>
    <row r="11" spans="1:11" x14ac:dyDescent="0.25">
      <c r="A11" s="6" t="s">
        <v>51</v>
      </c>
      <c r="B11" t="str">
        <f>VLOOKUP(Tabla6[[#This Row],[Protein_name]],raw!$A$2:$F$5391,6,FALSE)</f>
        <v>T4</v>
      </c>
      <c r="C11" t="str">
        <f>VLOOKUP(Tabla6[[#This Row],[Protein_name]],raw!$A$2:$F$5391,4,FALSE)</f>
        <v>P04070, P04070</v>
      </c>
      <c r="D11" t="str">
        <f>VLOOKUP(Tabla6[[#This Row],[Protein_name]],raw!$A$2:$F$5391,2,FALSE)</f>
        <v>vitamin k-dependent protein c (ec 3.4.21.69) (anticoagulant protein c) (autoprothrombin iia) (blood coagulation factor xiv) [cleaved into: vitamin k-dependent protein c light chain; vitamin k-dependent protein c heavy chain; activation peptide]</v>
      </c>
      <c r="E11" t="str">
        <f>VLOOKUP(Tabla6[[#This Row],[Protein_name]],raw!$A$2:$F$5391,5,FALSE)</f>
        <v>PROTEIN COMPLEX</v>
      </c>
      <c r="F11" t="str">
        <f>VLOOKUP(Tabla6[[#This Row],[Protein_name]],raw!$A$2:$F$5391,3,FALSE)</f>
        <v>P04070-PRO_0000028110,P04070-PRO_0000028109</v>
      </c>
      <c r="G11">
        <f>VLOOKUP(Tabla6[[#This Row],[Protein_name]],T4_metrics!$A$2:$G$693,4,FALSE)</f>
        <v>16.428000000000001</v>
      </c>
      <c r="H11">
        <f>VLOOKUP(Tabla6[[#This Row],[Protein_name]],T4_metrics!$A$2:$G$693,5,FALSE)</f>
        <v>0</v>
      </c>
      <c r="I11" s="5">
        <f>VLOOKUP(Tabla6[[#This Row],[Protein_name]],T4_metrics!$A$2:$G$693,6,FALSE)</f>
        <v>1.3505542065429459</v>
      </c>
      <c r="J11" t="s">
        <v>16773</v>
      </c>
      <c r="K11" s="7">
        <v>1</v>
      </c>
    </row>
    <row r="12" spans="1:11" x14ac:dyDescent="0.25">
      <c r="A12" s="4" t="s">
        <v>34</v>
      </c>
      <c r="B12" t="str">
        <f>VLOOKUP(Tabla6[[#This Row],[Protein_name]],raw!$A$2:$F$5391,6,FALSE)</f>
        <v>T4</v>
      </c>
      <c r="C12" t="str">
        <f>VLOOKUP(Tabla6[[#This Row],[Protein_name]],raw!$A$2:$F$5391,4,FALSE)</f>
        <v>P54845</v>
      </c>
      <c r="D12" t="str">
        <f>VLOOKUP(Tabla6[[#This Row],[Protein_name]],raw!$A$2:$F$5391,2,FALSE)</f>
        <v>neural retina-specific leucine zipper protein (nrl)</v>
      </c>
      <c r="E12" t="str">
        <f>VLOOKUP(Tabla6[[#This Row],[Protein_name]],raw!$A$2:$F$5391,5,FALSE)</f>
        <v>SINGLE PROTEIN</v>
      </c>
      <c r="F12">
        <f>VLOOKUP(Tabla6[[#This Row],[Protein_name]],raw!$A$2:$F$5391,3,FALSE)</f>
        <v>0</v>
      </c>
      <c r="G12">
        <f>VLOOKUP(Tabla6[[#This Row],[Protein_name]],T4_metrics!$A$2:$G$693,4,FALSE)</f>
        <v>28.493000000000009</v>
      </c>
      <c r="H12">
        <f>VLOOKUP(Tabla6[[#This Row],[Protein_name]],T4_metrics!$A$2:$G$693,5,FALSE)</f>
        <v>0.55300000000000005</v>
      </c>
      <c r="I12" s="5">
        <f>VLOOKUP(Tabla6[[#This Row],[Protein_name]],T4_metrics!$A$2:$G$693,6,FALSE)</f>
        <v>0.77451373873931195</v>
      </c>
      <c r="J12" t="s">
        <v>16773</v>
      </c>
      <c r="K12" s="5">
        <v>2</v>
      </c>
    </row>
    <row r="13" spans="1:11" x14ac:dyDescent="0.25">
      <c r="A13" s="6" t="s">
        <v>36</v>
      </c>
      <c r="B13" t="str">
        <f>VLOOKUP(Tabla6[[#This Row],[Protein_name]],raw!$A$2:$F$5391,6,FALSE)</f>
        <v>T4</v>
      </c>
      <c r="C13" t="str">
        <f>VLOOKUP(Tabla6[[#This Row],[Protein_name]],raw!$A$2:$F$5391,4,FALSE)</f>
        <v>Q02846</v>
      </c>
      <c r="D13" t="str">
        <f>VLOOKUP(Tabla6[[#This Row],[Protein_name]],raw!$A$2:$F$5391,2,FALSE)</f>
        <v>retinal guanylyl cyclase 1 (retgc-1) (ec 4.6.1.2) (cg-e) (guanylate cyclase 2d, retinal) (rod outer segment membrane guanylate cyclase) (ros-gc)</v>
      </c>
      <c r="E13" t="str">
        <f>VLOOKUP(Tabla6[[#This Row],[Protein_name]],raw!$A$2:$F$5391,5,FALSE)</f>
        <v>SINGLE PROTEIN</v>
      </c>
      <c r="F13">
        <f>VLOOKUP(Tabla6[[#This Row],[Protein_name]],raw!$A$2:$F$5391,3,FALSE)</f>
        <v>0</v>
      </c>
      <c r="G13">
        <f>VLOOKUP(Tabla6[[#This Row],[Protein_name]],T4_metrics!$A$2:$G$693,4,FALSE)</f>
        <v>33.85799999999999</v>
      </c>
      <c r="H13">
        <f>VLOOKUP(Tabla6[[#This Row],[Protein_name]],T4_metrics!$A$2:$G$693,5,FALSE)</f>
        <v>2.511000000000001</v>
      </c>
      <c r="I13" s="5">
        <f>VLOOKUP(Tabla6[[#This Row],[Protein_name]],T4_metrics!$A$2:$G$693,6,FALSE)</f>
        <v>0.73510788840895225</v>
      </c>
      <c r="J13" t="s">
        <v>16773</v>
      </c>
      <c r="K13" s="7">
        <v>2</v>
      </c>
    </row>
    <row r="14" spans="1:11" x14ac:dyDescent="0.25">
      <c r="A14" s="4" t="s">
        <v>37</v>
      </c>
      <c r="B14" t="str">
        <f>VLOOKUP(Tabla6[[#This Row],[Protein_name]],raw!$A$2:$F$5391,6,FALSE)</f>
        <v>T4</v>
      </c>
      <c r="C14" t="str">
        <f>VLOOKUP(Tabla6[[#This Row],[Protein_name]],raw!$A$2:$F$5391,4,FALSE)</f>
        <v>Q03395</v>
      </c>
      <c r="D14" t="str">
        <f>VLOOKUP(Tabla6[[#This Row],[Protein_name]],raw!$A$2:$F$5391,2,FALSE)</f>
        <v>rod outer segment membrane protein 1 (rosp1) (tetraspanin-23) (tspan-23)</v>
      </c>
      <c r="E14" t="str">
        <f>VLOOKUP(Tabla6[[#This Row],[Protein_name]],raw!$A$2:$F$5391,5,FALSE)</f>
        <v>SINGLE PROTEIN</v>
      </c>
      <c r="F14">
        <f>VLOOKUP(Tabla6[[#This Row],[Protein_name]],raw!$A$2:$F$5391,3,FALSE)</f>
        <v>0</v>
      </c>
      <c r="G14">
        <f>VLOOKUP(Tabla6[[#This Row],[Protein_name]],T4_metrics!$A$2:$G$693,4,FALSE)</f>
        <v>28.73800000000001</v>
      </c>
      <c r="H14">
        <f>VLOOKUP(Tabla6[[#This Row],[Protein_name]],T4_metrics!$A$2:$G$693,5,FALSE)</f>
        <v>1.2030000000000001</v>
      </c>
      <c r="I14" s="5">
        <f>VLOOKUP(Tabla6[[#This Row],[Protein_name]],T4_metrics!$A$2:$G$693,6,FALSE)</f>
        <v>0.71756784113047223</v>
      </c>
      <c r="J14" t="s">
        <v>16773</v>
      </c>
      <c r="K14" s="5">
        <v>2</v>
      </c>
    </row>
    <row r="15" spans="1:11" x14ac:dyDescent="0.25">
      <c r="A15" s="6" t="s">
        <v>38</v>
      </c>
      <c r="B15" t="str">
        <f>VLOOKUP(Tabla6[[#This Row],[Protein_name]],raw!$A$2:$F$5391,6,FALSE)</f>
        <v>T4</v>
      </c>
      <c r="C15" t="str">
        <f>VLOOKUP(Tabla6[[#This Row],[Protein_name]],raw!$A$2:$F$5391,4,FALSE)</f>
        <v>Q7Z3Z2</v>
      </c>
      <c r="D15" t="str">
        <f>VLOOKUP(Tabla6[[#This Row],[Protein_name]],raw!$A$2:$F$5391,2,FALSE)</f>
        <v>protein rd3 (retinal degeneration protein 3)</v>
      </c>
      <c r="E15" t="str">
        <f>VLOOKUP(Tabla6[[#This Row],[Protein_name]],raw!$A$2:$F$5391,5,FALSE)</f>
        <v>SINGLE PROTEIN</v>
      </c>
      <c r="F15">
        <f>VLOOKUP(Tabla6[[#This Row],[Protein_name]],raw!$A$2:$F$5391,3,FALSE)</f>
        <v>0</v>
      </c>
      <c r="G15">
        <f>VLOOKUP(Tabla6[[#This Row],[Protein_name]],T4_metrics!$A$2:$G$693,4,FALSE)</f>
        <v>17.491</v>
      </c>
      <c r="H15">
        <f>VLOOKUP(Tabla6[[#This Row],[Protein_name]],T4_metrics!$A$2:$G$693,5,FALSE)</f>
        <v>2.6230000000000002</v>
      </c>
      <c r="I15" s="5">
        <f>VLOOKUP(Tabla6[[#This Row],[Protein_name]],T4_metrics!$A$2:$G$693,6,FALSE)</f>
        <v>0.70814587418032182</v>
      </c>
      <c r="J15" t="s">
        <v>16773</v>
      </c>
      <c r="K15" s="7">
        <v>2</v>
      </c>
    </row>
    <row r="16" spans="1:11" x14ac:dyDescent="0.25">
      <c r="A16" s="4" t="s">
        <v>39</v>
      </c>
      <c r="B16" t="str">
        <f>VLOOKUP(Tabla6[[#This Row],[Protein_name]],raw!$A$2:$F$5391,6,FALSE)</f>
        <v>T4</v>
      </c>
      <c r="C16" t="str">
        <f>VLOOKUP(Tabla6[[#This Row],[Protein_name]],raw!$A$2:$F$5391,4,FALSE)</f>
        <v>Q92781</v>
      </c>
      <c r="D16" t="str">
        <f>VLOOKUP(Tabla6[[#This Row],[Protein_name]],raw!$A$2:$F$5391,2,FALSE)</f>
        <v>retinol dehydrogenase 5 (ec 1.1.1.209) (ec 1.1.1.315) (ec 1.1.1.53) (11-cis retinol dehydrogenase) (11-cis rdh) (11-cis rodh) (9-cis retinol dehydrogenase) (9crdh) (short chain dehydrogenase/reductase family 9c member 5)</v>
      </c>
      <c r="E16" t="str">
        <f>VLOOKUP(Tabla6[[#This Row],[Protein_name]],raw!$A$2:$F$5391,5,FALSE)</f>
        <v>SINGLE PROTEIN</v>
      </c>
      <c r="F16">
        <f>VLOOKUP(Tabla6[[#This Row],[Protein_name]],raw!$A$2:$F$5391,3,FALSE)</f>
        <v>0</v>
      </c>
      <c r="G16">
        <f>VLOOKUP(Tabla6[[#This Row],[Protein_name]],T4_metrics!$A$2:$G$693,4,FALSE)</f>
        <v>11.867000000000001</v>
      </c>
      <c r="H16">
        <f>VLOOKUP(Tabla6[[#This Row],[Protein_name]],T4_metrics!$A$2:$G$693,5,FALSE)</f>
        <v>0.434</v>
      </c>
      <c r="I16" s="5">
        <f>VLOOKUP(Tabla6[[#This Row],[Protein_name]],T4_metrics!$A$2:$G$693,6,FALSE)</f>
        <v>0.70477392063035937</v>
      </c>
      <c r="J16" t="s">
        <v>16773</v>
      </c>
      <c r="K16" s="5">
        <v>2</v>
      </c>
    </row>
    <row r="17" spans="1:11" x14ac:dyDescent="0.25">
      <c r="A17" s="6" t="s">
        <v>64</v>
      </c>
      <c r="B17" t="str">
        <f>VLOOKUP(Tabla6[[#This Row],[Protein_name]],raw!$A$2:$F$5391,6,FALSE)</f>
        <v>T4</v>
      </c>
      <c r="C17" t="str">
        <f>VLOOKUP(Tabla6[[#This Row],[Protein_name]],raw!$A$2:$F$5391,4,FALSE)</f>
        <v>Q9NPB3</v>
      </c>
      <c r="D17" t="str">
        <f>VLOOKUP(Tabla6[[#This Row],[Protein_name]],raw!$A$2:$F$5391,2,FALSE)</f>
        <v>calcium-binding protein 2 (cabp2)</v>
      </c>
      <c r="E17" t="str">
        <f>VLOOKUP(Tabla6[[#This Row],[Protein_name]],raw!$A$2:$F$5391,5,FALSE)</f>
        <v>SINGLE PROTEIN</v>
      </c>
      <c r="F17">
        <f>VLOOKUP(Tabla6[[#This Row],[Protein_name]],raw!$A$2:$F$5391,3,FALSE)</f>
        <v>0</v>
      </c>
      <c r="G17">
        <f>VLOOKUP(Tabla6[[#This Row],[Protein_name]],T4_metrics!$A$2:$G$693,4,FALSE)</f>
        <v>4.45</v>
      </c>
      <c r="H17">
        <f>VLOOKUP(Tabla6[[#This Row],[Protein_name]],T4_metrics!$A$2:$G$693,5,FALSE)</f>
        <v>1.2250000000000001</v>
      </c>
      <c r="I17" s="5">
        <f>VLOOKUP(Tabla6[[#This Row],[Protein_name]],T4_metrics!$A$2:$G$693,6,FALSE)</f>
        <v>0.68463592741490398</v>
      </c>
      <c r="J17" t="s">
        <v>16773</v>
      </c>
      <c r="K17" s="7">
        <v>3</v>
      </c>
    </row>
    <row r="18" spans="1:11" x14ac:dyDescent="0.25">
      <c r="A18" s="4" t="s">
        <v>66</v>
      </c>
      <c r="B18" t="str">
        <f>VLOOKUP(Tabla6[[#This Row],[Protein_name]],raw!$A$2:$F$5391,6,FALSE)</f>
        <v>T4</v>
      </c>
      <c r="C18" t="str">
        <f>VLOOKUP(Tabla6[[#This Row],[Protein_name]],raw!$A$2:$F$5391,4,FALSE)</f>
        <v>Q0ZLH3</v>
      </c>
      <c r="D18" t="str">
        <f>VLOOKUP(Tabla6[[#This Row],[Protein_name]],raw!$A$2:$F$5391,2,FALSE)</f>
        <v>pejvakin (autosomal recessive deafness type 59 protein)</v>
      </c>
      <c r="E18" t="str">
        <f>VLOOKUP(Tabla6[[#This Row],[Protein_name]],raw!$A$2:$F$5391,5,FALSE)</f>
        <v>SINGLE PROTEIN</v>
      </c>
      <c r="F18">
        <f>VLOOKUP(Tabla6[[#This Row],[Protein_name]],raw!$A$2:$F$5391,3,FALSE)</f>
        <v>0</v>
      </c>
      <c r="G18">
        <f>VLOOKUP(Tabla6[[#This Row],[Protein_name]],T4_metrics!$A$2:$G$693,4,FALSE)</f>
        <v>15.292999999999999</v>
      </c>
      <c r="H18">
        <f>VLOOKUP(Tabla6[[#This Row],[Protein_name]],T4_metrics!$A$2:$G$693,5,FALSE)</f>
        <v>2.1019999999999999</v>
      </c>
      <c r="I18" s="5">
        <f>VLOOKUP(Tabla6[[#This Row],[Protein_name]],T4_metrics!$A$2:$G$693,6,FALSE)</f>
        <v>0.63661044130040878</v>
      </c>
      <c r="J18" t="s">
        <v>16773</v>
      </c>
      <c r="K18" s="5">
        <v>3</v>
      </c>
    </row>
    <row r="19" spans="1:11" x14ac:dyDescent="0.25">
      <c r="A19" s="6" t="s">
        <v>67</v>
      </c>
      <c r="B19" t="str">
        <f>VLOOKUP(Tabla6[[#This Row],[Protein_name]],raw!$A$2:$F$5391,6,FALSE)</f>
        <v>T4</v>
      </c>
      <c r="C19" t="str">
        <f>VLOOKUP(Tabla6[[#This Row],[Protein_name]],raw!$A$2:$F$5391,4,FALSE)</f>
        <v>P58743</v>
      </c>
      <c r="D19" t="str">
        <f>VLOOKUP(Tabla6[[#This Row],[Protein_name]],raw!$A$2:$F$5391,2,FALSE)</f>
        <v>prestin (solute carrier family 26 member 5)</v>
      </c>
      <c r="E19" t="str">
        <f>VLOOKUP(Tabla6[[#This Row],[Protein_name]],raw!$A$2:$F$5391,5,FALSE)</f>
        <v>SINGLE PROTEIN</v>
      </c>
      <c r="F19">
        <f>VLOOKUP(Tabla6[[#This Row],[Protein_name]],raw!$A$2:$F$5391,3,FALSE)</f>
        <v>0</v>
      </c>
      <c r="G19">
        <f>VLOOKUP(Tabla6[[#This Row],[Protein_name]],T4_metrics!$A$2:$G$693,4,FALSE)</f>
        <v>12.351000000000001</v>
      </c>
      <c r="H19">
        <f>VLOOKUP(Tabla6[[#This Row],[Protein_name]],T4_metrics!$A$2:$G$693,5,FALSE)</f>
        <v>0.84899999999999998</v>
      </c>
      <c r="I19" s="5">
        <f>VLOOKUP(Tabla6[[#This Row],[Protein_name]],T4_metrics!$A$2:$G$693,6,FALSE)</f>
        <v>0.60134285901391371</v>
      </c>
      <c r="J19" t="s">
        <v>16773</v>
      </c>
      <c r="K19" s="7">
        <v>3</v>
      </c>
    </row>
    <row r="20" spans="1:11" x14ac:dyDescent="0.25">
      <c r="A20" s="4" t="s">
        <v>68</v>
      </c>
      <c r="B20" t="str">
        <f>VLOOKUP(Tabla6[[#This Row],[Protein_name]],raw!$A$2:$F$5391,6,FALSE)</f>
        <v>T4</v>
      </c>
      <c r="C20" t="str">
        <f>VLOOKUP(Tabla6[[#This Row],[Protein_name]],raw!$A$2:$F$5391,4,FALSE)</f>
        <v>A8MXD5</v>
      </c>
      <c r="D20" t="str">
        <f>VLOOKUP(Tabla6[[#This Row],[Protein_name]],raw!$A$2:$F$5391,2,FALSE)</f>
        <v>glutaredoxin domain-containing cysteine-rich protein 1</v>
      </c>
      <c r="E20" t="str">
        <f>VLOOKUP(Tabla6[[#This Row],[Protein_name]],raw!$A$2:$F$5391,5,FALSE)</f>
        <v>SINGLE PROTEIN</v>
      </c>
      <c r="F20">
        <f>VLOOKUP(Tabla6[[#This Row],[Protein_name]],raw!$A$2:$F$5391,3,FALSE)</f>
        <v>0</v>
      </c>
      <c r="G20">
        <f>VLOOKUP(Tabla6[[#This Row],[Protein_name]],T4_metrics!$A$2:$G$693,4,FALSE)</f>
        <v>17.416</v>
      </c>
      <c r="H20">
        <f>VLOOKUP(Tabla6[[#This Row],[Protein_name]],T4_metrics!$A$2:$G$693,5,FALSE)</f>
        <v>2.2650000000000001</v>
      </c>
      <c r="I20" s="5">
        <f>VLOOKUP(Tabla6[[#This Row],[Protein_name]],T4_metrics!$A$2:$G$693,6,FALSE)</f>
        <v>0.57143786172617261</v>
      </c>
      <c r="J20" t="s">
        <v>16773</v>
      </c>
      <c r="K20" s="5">
        <v>3</v>
      </c>
    </row>
    <row r="21" spans="1:11" x14ac:dyDescent="0.25">
      <c r="A21" s="6" t="s">
        <v>69</v>
      </c>
      <c r="B21" t="str">
        <f>VLOOKUP(Tabla6[[#This Row],[Protein_name]],raw!$A$2:$F$5391,6,FALSE)</f>
        <v>T4</v>
      </c>
      <c r="C21" t="str">
        <f>VLOOKUP(Tabla6[[#This Row],[Protein_name]],raw!$A$2:$F$5391,4,FALSE)</f>
        <v>Q9H2D6</v>
      </c>
      <c r="D21" t="str">
        <f>VLOOKUP(Tabla6[[#This Row],[Protein_name]],raw!$A$2:$F$5391,2,FALSE)</f>
        <v>trio and f-actin-binding protein (protein tara) (trf1-associated protein of 68 kda) (trio-associated repeat on actin)</v>
      </c>
      <c r="E21" t="str">
        <f>VLOOKUP(Tabla6[[#This Row],[Protein_name]],raw!$A$2:$F$5391,5,FALSE)</f>
        <v>SINGLE PROTEIN</v>
      </c>
      <c r="F21">
        <f>VLOOKUP(Tabla6[[#This Row],[Protein_name]],raw!$A$2:$F$5391,3,FALSE)</f>
        <v>0</v>
      </c>
      <c r="G21">
        <f>VLOOKUP(Tabla6[[#This Row],[Protein_name]],T4_metrics!$A$2:$G$693,4,FALSE)</f>
        <v>15.698</v>
      </c>
      <c r="H21">
        <f>VLOOKUP(Tabla6[[#This Row],[Protein_name]],T4_metrics!$A$2:$G$693,5,FALSE)</f>
        <v>2.4140000000000001</v>
      </c>
      <c r="I21" s="5">
        <f>VLOOKUP(Tabla6[[#This Row],[Protein_name]],T4_metrics!$A$2:$G$693,6,FALSE)</f>
        <v>0.57058331257138784</v>
      </c>
      <c r="J21" t="s">
        <v>16773</v>
      </c>
      <c r="K21" s="7">
        <v>3</v>
      </c>
    </row>
    <row r="22" spans="1:11" x14ac:dyDescent="0.25">
      <c r="A22" s="4" t="s">
        <v>58</v>
      </c>
      <c r="B22" t="str">
        <f>VLOOKUP(Tabla6[[#This Row],[Protein_name]],raw!$A$2:$F$5391,6,FALSE)</f>
        <v>T4</v>
      </c>
      <c r="C22" t="str">
        <f>VLOOKUP(Tabla6[[#This Row],[Protein_name]],raw!$A$2:$F$5391,4,FALSE)</f>
        <v>Q6V0L0</v>
      </c>
      <c r="D22" t="str">
        <f>VLOOKUP(Tabla6[[#This Row],[Protein_name]],raw!$A$2:$F$5391,2,FALSE)</f>
        <v>cytochrome p450 26c1 (cyp26c1) (ec 1.14.14.1)</v>
      </c>
      <c r="E22" t="str">
        <f>VLOOKUP(Tabla6[[#This Row],[Protein_name]],raw!$A$2:$F$5391,5,FALSE)</f>
        <v>SINGLE PROTEIN</v>
      </c>
      <c r="F22">
        <f>VLOOKUP(Tabla6[[#This Row],[Protein_name]],raw!$A$2:$F$5391,3,FALSE)</f>
        <v>0</v>
      </c>
      <c r="G22">
        <f>VLOOKUP(Tabla6[[#This Row],[Protein_name]],T4_metrics!$A$2:$G$693,4,FALSE)</f>
        <v>19.079999999999998</v>
      </c>
      <c r="H22">
        <f>VLOOKUP(Tabla6[[#This Row],[Protein_name]],T4_metrics!$A$2:$G$693,5,FALSE)</f>
        <v>0.879</v>
      </c>
      <c r="I22" s="5">
        <f>VLOOKUP(Tabla6[[#This Row],[Protein_name]],T4_metrics!$A$2:$G$693,6,FALSE)</f>
        <v>0.99655038348063152</v>
      </c>
      <c r="J22" t="s">
        <v>16773</v>
      </c>
      <c r="K22" s="5">
        <v>4</v>
      </c>
    </row>
    <row r="23" spans="1:11" x14ac:dyDescent="0.25">
      <c r="A23" s="6" t="s">
        <v>60</v>
      </c>
      <c r="B23" t="str">
        <f>VLOOKUP(Tabla6[[#This Row],[Protein_name]],raw!$A$2:$F$5391,6,FALSE)</f>
        <v>T4</v>
      </c>
      <c r="C23" t="str">
        <f>VLOOKUP(Tabla6[[#This Row],[Protein_name]],raw!$A$2:$F$5391,4,FALSE)</f>
        <v>P78381</v>
      </c>
      <c r="D23" t="str">
        <f>VLOOKUP(Tabla6[[#This Row],[Protein_name]],raw!$A$2:$F$5391,2,FALSE)</f>
        <v>udp-galactose translocator (solute carrier family 35 member a2) (udp-galactose transporter) (udp-gal-tr) (ugt)</v>
      </c>
      <c r="E23" t="str">
        <f>VLOOKUP(Tabla6[[#This Row],[Protein_name]],raw!$A$2:$F$5391,5,FALSE)</f>
        <v>SINGLE PROTEIN</v>
      </c>
      <c r="F23">
        <f>VLOOKUP(Tabla6[[#This Row],[Protein_name]],raw!$A$2:$F$5391,3,FALSE)</f>
        <v>0</v>
      </c>
      <c r="G23">
        <f>VLOOKUP(Tabla6[[#This Row],[Protein_name]],T4_metrics!$A$2:$G$693,4,FALSE)</f>
        <v>32.701000000000001</v>
      </c>
      <c r="H23">
        <f>VLOOKUP(Tabla6[[#This Row],[Protein_name]],T4_metrics!$A$2:$G$693,5,FALSE)</f>
        <v>0</v>
      </c>
      <c r="I23" s="5">
        <f>VLOOKUP(Tabla6[[#This Row],[Protein_name]],T4_metrics!$A$2:$G$693,6,FALSE)</f>
        <v>0.98423563930899083</v>
      </c>
      <c r="J23" t="s">
        <v>16773</v>
      </c>
      <c r="K23" s="7">
        <v>4</v>
      </c>
    </row>
    <row r="24" spans="1:11" x14ac:dyDescent="0.25">
      <c r="A24" s="4" t="s">
        <v>61</v>
      </c>
      <c r="B24" t="str">
        <f>VLOOKUP(Tabla6[[#This Row],[Protein_name]],raw!$A$2:$F$5391,6,FALSE)</f>
        <v>T4</v>
      </c>
      <c r="C24" t="str">
        <f>VLOOKUP(Tabla6[[#This Row],[Protein_name]],raw!$A$2:$F$5391,4,FALSE)</f>
        <v>P51857</v>
      </c>
      <c r="D24" t="str">
        <f>VLOOKUP(Tabla6[[#This Row],[Protein_name]],raw!$A$2:$F$5391,2,FALSE)</f>
        <v>aldo-keto reductase family 1 member d1 (ec 1.3.1.3) (3-oxo-5-beta-steroid 4-dehydrogenase) (delta(4)-3-ketosteroid 5-beta-reductase) (delta(4)-3-oxosteroid 5-beta-reductase)</v>
      </c>
      <c r="E24" t="str">
        <f>VLOOKUP(Tabla6[[#This Row],[Protein_name]],raw!$A$2:$F$5391,5,FALSE)</f>
        <v>SINGLE PROTEIN</v>
      </c>
      <c r="F24">
        <f>VLOOKUP(Tabla6[[#This Row],[Protein_name]],raw!$A$2:$F$5391,3,FALSE)</f>
        <v>0</v>
      </c>
      <c r="G24">
        <f>VLOOKUP(Tabla6[[#This Row],[Protein_name]],T4_metrics!$A$2:$G$693,4,FALSE)</f>
        <v>22.561</v>
      </c>
      <c r="H24">
        <f>VLOOKUP(Tabla6[[#This Row],[Protein_name]],T4_metrics!$A$2:$G$693,5,FALSE)</f>
        <v>2.258</v>
      </c>
      <c r="I24" s="5">
        <f>VLOOKUP(Tabla6[[#This Row],[Protein_name]],T4_metrics!$A$2:$G$693,6,FALSE)</f>
        <v>0.97474883067091311</v>
      </c>
      <c r="J24" t="s">
        <v>16773</v>
      </c>
      <c r="K24" s="5">
        <v>4</v>
      </c>
    </row>
    <row r="25" spans="1:11" x14ac:dyDescent="0.25">
      <c r="A25" s="6" t="s">
        <v>62</v>
      </c>
      <c r="B25" t="str">
        <f>VLOOKUP(Tabla6[[#This Row],[Protein_name]],raw!$A$2:$F$5391,6,FALSE)</f>
        <v>T4</v>
      </c>
      <c r="C25" t="str">
        <f>VLOOKUP(Tabla6[[#This Row],[Protein_name]],raw!$A$2:$F$5391,4,FALSE)</f>
        <v>P53004</v>
      </c>
      <c r="D25" t="str">
        <f>VLOOKUP(Tabla6[[#This Row],[Protein_name]],raw!$A$2:$F$5391,2,FALSE)</f>
        <v>biliverdin reductase a (bvr a) (ec 1.3.1.24) (biliverdin-ix alpha-reductase)</v>
      </c>
      <c r="E25" t="str">
        <f>VLOOKUP(Tabla6[[#This Row],[Protein_name]],raw!$A$2:$F$5391,5,FALSE)</f>
        <v>SINGLE PROTEIN</v>
      </c>
      <c r="F25">
        <f>VLOOKUP(Tabla6[[#This Row],[Protein_name]],raw!$A$2:$F$5391,3,FALSE)</f>
        <v>0</v>
      </c>
      <c r="G25">
        <f>VLOOKUP(Tabla6[[#This Row],[Protein_name]],T4_metrics!$A$2:$G$693,4,FALSE)</f>
        <v>18.128</v>
      </c>
      <c r="H25">
        <f>VLOOKUP(Tabla6[[#This Row],[Protein_name]],T4_metrics!$A$2:$G$693,5,FALSE)</f>
        <v>1.978</v>
      </c>
      <c r="I25" s="5">
        <f>VLOOKUP(Tabla6[[#This Row],[Protein_name]],T4_metrics!$A$2:$G$693,6,FALSE)</f>
        <v>0.9602640257558287</v>
      </c>
      <c r="J25" t="s">
        <v>16773</v>
      </c>
      <c r="K25" s="7">
        <v>4</v>
      </c>
    </row>
    <row r="26" spans="1:11" x14ac:dyDescent="0.25">
      <c r="A26" s="4" t="s">
        <v>63</v>
      </c>
      <c r="B26" t="str">
        <f>VLOOKUP(Tabla6[[#This Row],[Protein_name]],raw!$A$2:$F$5391,6,FALSE)</f>
        <v>T4</v>
      </c>
      <c r="C26" t="str">
        <f>VLOOKUP(Tabla6[[#This Row],[Protein_name]],raw!$A$2:$F$5391,4,FALSE)</f>
        <v>P21439</v>
      </c>
      <c r="D26" t="str">
        <f>VLOOKUP(Tabla6[[#This Row],[Protein_name]],raw!$A$2:$F$5391,2,FALSE)</f>
        <v>phosphatidylcholine translocator abcb4 (ec 7.6.2.1) (atp-binding cassette sub-family b member 4) (multidrug resistance protein 3) (p-glycoprotein 3)</v>
      </c>
      <c r="E26" t="str">
        <f>VLOOKUP(Tabla6[[#This Row],[Protein_name]],raw!$A$2:$F$5391,5,FALSE)</f>
        <v>SINGLE PROTEIN</v>
      </c>
      <c r="F26">
        <f>VLOOKUP(Tabla6[[#This Row],[Protein_name]],raw!$A$2:$F$5391,3,FALSE)</f>
        <v>0</v>
      </c>
      <c r="G26">
        <f>VLOOKUP(Tabla6[[#This Row],[Protein_name]],T4_metrics!$A$2:$G$693,4,FALSE)</f>
        <v>11.788</v>
      </c>
      <c r="H26">
        <f>VLOOKUP(Tabla6[[#This Row],[Protein_name]],T4_metrics!$A$2:$G$693,5,FALSE)</f>
        <v>0.93100000000000005</v>
      </c>
      <c r="I26" s="5">
        <f>VLOOKUP(Tabla6[[#This Row],[Protein_name]],T4_metrics!$A$2:$G$693,6,FALSE)</f>
        <v>0.93697902662478594</v>
      </c>
      <c r="J26" t="s">
        <v>16773</v>
      </c>
      <c r="K26" s="5">
        <v>4</v>
      </c>
    </row>
    <row r="27" spans="1:11" x14ac:dyDescent="0.25">
      <c r="A27" s="6" t="s">
        <v>16</v>
      </c>
      <c r="B27" t="str">
        <f>VLOOKUP(Tabla6[[#This Row],[Protein_name]],raw!$A$2:$F$5391,6,FALSE)</f>
        <v>T4</v>
      </c>
      <c r="C27" t="str">
        <f>VLOOKUP(Tabla6[[#This Row],[Protein_name]],raw!$A$2:$F$5391,4,FALSE)</f>
        <v>B1AL88, Q8N2C7, Q8IZF0, Q9P2D8, P62158</v>
      </c>
      <c r="D27" t="str">
        <f>VLOOKUP(Tabla6[[#This Row],[Protein_name]],raw!$A$2:$F$5391,2,FALSE)</f>
        <v>calmodulin-3</v>
      </c>
      <c r="E27" t="str">
        <f>VLOOKUP(Tabla6[[#This Row],[Protein_name]],raw!$A$2:$F$5391,5,FALSE)</f>
        <v>PROTEIN COMPLEX</v>
      </c>
      <c r="F27" t="str">
        <f>VLOOKUP(Tabla6[[#This Row],[Protein_name]],raw!$A$2:$F$5391,3,FALSE)</f>
        <v>NALF1,UNC80,NALCN,UNC79,calm_human</v>
      </c>
      <c r="G27">
        <f>VLOOKUP(Tabla6[[#This Row],[Protein_name]],T4_metrics!$A$2:$G$693,4,FALSE)</f>
        <v>128.55499999999989</v>
      </c>
      <c r="H27">
        <f>VLOOKUP(Tabla6[[#This Row],[Protein_name]],T4_metrics!$A$2:$G$693,5,FALSE)</f>
        <v>47.522000000000041</v>
      </c>
      <c r="I27" s="5">
        <f>VLOOKUP(Tabla6[[#This Row],[Protein_name]],T4_metrics!$A$2:$G$693,6,FALSE)</f>
        <v>2.4132162425187982</v>
      </c>
      <c r="J27" t="s">
        <v>16773</v>
      </c>
      <c r="K27" s="7">
        <v>5</v>
      </c>
    </row>
    <row r="28" spans="1:11" x14ac:dyDescent="0.25">
      <c r="A28" s="4" t="s">
        <v>18</v>
      </c>
      <c r="B28" t="str">
        <f>VLOOKUP(Tabla6[[#This Row],[Protein_name]],raw!$A$2:$F$5391,6,FALSE)</f>
        <v>T4</v>
      </c>
      <c r="C28" t="str">
        <f>VLOOKUP(Tabla6[[#This Row],[Protein_name]],raw!$A$2:$F$5391,4,FALSE)</f>
        <v>P62158, P16298, P63098, P24588</v>
      </c>
      <c r="D28" t="str">
        <f>VLOOKUP(Tabla6[[#This Row],[Protein_name]],raw!$A$2:$F$5391,2,FALSE)</f>
        <v>calmodulin-3</v>
      </c>
      <c r="E28" t="str">
        <f>VLOOKUP(Tabla6[[#This Row],[Protein_name]],raw!$A$2:$F$5391,5,FALSE)</f>
        <v>PROTEIN COMPLEX</v>
      </c>
      <c r="F28" t="str">
        <f>VLOOKUP(Tabla6[[#This Row],[Protein_name]],raw!$A$2:$F$5391,3,FALSE)</f>
        <v>calm_human,PPP3CB,PPP3R1,AKAP5</v>
      </c>
      <c r="G28">
        <f>VLOOKUP(Tabla6[[#This Row],[Protein_name]],T4_metrics!$A$2:$G$693,4,FALSE)</f>
        <v>123.9</v>
      </c>
      <c r="H28">
        <f>VLOOKUP(Tabla6[[#This Row],[Protein_name]],T4_metrics!$A$2:$G$693,5,FALSE)</f>
        <v>47.522000000000041</v>
      </c>
      <c r="I28" s="5">
        <f>VLOOKUP(Tabla6[[#This Row],[Protein_name]],T4_metrics!$A$2:$G$693,6,FALSE)</f>
        <v>2.404533852601165</v>
      </c>
      <c r="J28" t="s">
        <v>16773</v>
      </c>
      <c r="K28" s="5">
        <v>5</v>
      </c>
    </row>
    <row r="29" spans="1:11" x14ac:dyDescent="0.25">
      <c r="A29" s="6" t="s">
        <v>19</v>
      </c>
      <c r="B29" t="str">
        <f>VLOOKUP(Tabla6[[#This Row],[Protein_name]],raw!$A$2:$F$5391,6,FALSE)</f>
        <v>T4</v>
      </c>
      <c r="C29" t="str">
        <f>VLOOKUP(Tabla6[[#This Row],[Protein_name]],raw!$A$2:$F$5391,4,FALSE)</f>
        <v>P62158, P48454, P63098, P24588</v>
      </c>
      <c r="D29" t="str">
        <f>VLOOKUP(Tabla6[[#This Row],[Protein_name]],raw!$A$2:$F$5391,2,FALSE)</f>
        <v>calmodulin-3</v>
      </c>
      <c r="E29" t="str">
        <f>VLOOKUP(Tabla6[[#This Row],[Protein_name]],raw!$A$2:$F$5391,5,FALSE)</f>
        <v>PROTEIN COMPLEX</v>
      </c>
      <c r="F29" t="str">
        <f>VLOOKUP(Tabla6[[#This Row],[Protein_name]],raw!$A$2:$F$5391,3,FALSE)</f>
        <v>calm_human,PPP3CC,PPP3R1,AKAP5</v>
      </c>
      <c r="G29">
        <f>VLOOKUP(Tabla6[[#This Row],[Protein_name]],T4_metrics!$A$2:$G$693,4,FALSE)</f>
        <v>123.9</v>
      </c>
      <c r="H29">
        <f>VLOOKUP(Tabla6[[#This Row],[Protein_name]],T4_metrics!$A$2:$G$693,5,FALSE)</f>
        <v>47.522000000000041</v>
      </c>
      <c r="I29" s="5">
        <f>VLOOKUP(Tabla6[[#This Row],[Protein_name]],T4_metrics!$A$2:$G$693,6,FALSE)</f>
        <v>2.404533852601165</v>
      </c>
      <c r="J29" t="s">
        <v>16773</v>
      </c>
      <c r="K29" s="7">
        <v>5</v>
      </c>
    </row>
    <row r="30" spans="1:11" x14ac:dyDescent="0.25">
      <c r="A30" s="4" t="s">
        <v>20</v>
      </c>
      <c r="B30" t="str">
        <f>VLOOKUP(Tabla6[[#This Row],[Protein_name]],raw!$A$2:$F$5391,6,FALSE)</f>
        <v>T4</v>
      </c>
      <c r="C30" t="str">
        <f>VLOOKUP(Tabla6[[#This Row],[Protein_name]],raw!$A$2:$F$5391,4,FALSE)</f>
        <v>P16298, P63098, P62158</v>
      </c>
      <c r="D30" t="str">
        <f>VLOOKUP(Tabla6[[#This Row],[Protein_name]],raw!$A$2:$F$5391,2,FALSE)</f>
        <v>calmodulin-3</v>
      </c>
      <c r="E30" t="str">
        <f>VLOOKUP(Tabla6[[#This Row],[Protein_name]],raw!$A$2:$F$5391,5,FALSE)</f>
        <v>PROTEIN COMPLEX</v>
      </c>
      <c r="F30" t="str">
        <f>VLOOKUP(Tabla6[[#This Row],[Protein_name]],raw!$A$2:$F$5391,3,FALSE)</f>
        <v>PPP3CB,PPP3R1,calm_human</v>
      </c>
      <c r="G30">
        <f>VLOOKUP(Tabla6[[#This Row],[Protein_name]],T4_metrics!$A$2:$G$693,4,FALSE)</f>
        <v>123.9</v>
      </c>
      <c r="H30">
        <f>VLOOKUP(Tabla6[[#This Row],[Protein_name]],T4_metrics!$A$2:$G$693,5,FALSE)</f>
        <v>47.522000000000041</v>
      </c>
      <c r="I30" s="5">
        <f>VLOOKUP(Tabla6[[#This Row],[Protein_name]],T4_metrics!$A$2:$G$693,6,FALSE)</f>
        <v>1.1804867896026141</v>
      </c>
      <c r="J30" t="s">
        <v>16773</v>
      </c>
      <c r="K30" s="5">
        <v>5</v>
      </c>
    </row>
    <row r="31" spans="1:11" x14ac:dyDescent="0.25">
      <c r="A31" s="6" t="s">
        <v>21</v>
      </c>
      <c r="B31" t="str">
        <f>VLOOKUP(Tabla6[[#This Row],[Protein_name]],raw!$A$2:$F$5391,6,FALSE)</f>
        <v>T4</v>
      </c>
      <c r="C31" t="str">
        <f>VLOOKUP(Tabla6[[#This Row],[Protein_name]],raw!$A$2:$F$5391,4,FALSE)</f>
        <v>Q9H2X9</v>
      </c>
      <c r="D31" t="str">
        <f>VLOOKUP(Tabla6[[#This Row],[Protein_name]],raw!$A$2:$F$5391,2,FALSE)</f>
        <v>solute carrier family 12 member 5 (electroneutral potassium-chloride cotransporter 2) (k-cl cotransporter 2) (hkcc2) (neuronal k-cl cotransporter)</v>
      </c>
      <c r="E31" t="str">
        <f>VLOOKUP(Tabla6[[#This Row],[Protein_name]],raw!$A$2:$F$5391,5,FALSE)</f>
        <v>SINGLE PROTEIN</v>
      </c>
      <c r="F31">
        <f>VLOOKUP(Tabla6[[#This Row],[Protein_name]],raw!$A$2:$F$5391,3,FALSE)</f>
        <v>0</v>
      </c>
      <c r="G31">
        <f>VLOOKUP(Tabla6[[#This Row],[Protein_name]],T4_metrics!$A$2:$G$693,4,FALSE)</f>
        <v>37.433000000000021</v>
      </c>
      <c r="H31">
        <f>VLOOKUP(Tabla6[[#This Row],[Protein_name]],T4_metrics!$A$2:$G$693,5,FALSE)</f>
        <v>0</v>
      </c>
      <c r="I31" s="5">
        <f>VLOOKUP(Tabla6[[#This Row],[Protein_name]],T4_metrics!$A$2:$G$693,6,FALSE)</f>
        <v>0.9623076990254058</v>
      </c>
      <c r="J31" t="s">
        <v>16773</v>
      </c>
      <c r="K31" s="7">
        <v>5</v>
      </c>
    </row>
    <row r="32" spans="1:11" x14ac:dyDescent="0.25">
      <c r="A32" s="4" t="s">
        <v>52</v>
      </c>
      <c r="B32" t="str">
        <f>VLOOKUP(Tabla6[[#This Row],[Protein_name]],raw!$A$2:$F$5391,6,FALSE)</f>
        <v>T4</v>
      </c>
      <c r="C32" t="str">
        <f>VLOOKUP(Tabla6[[#This Row],[Protein_name]],raw!$A$2:$F$5391,4,FALSE)</f>
        <v>P49591</v>
      </c>
      <c r="D32" t="str">
        <f>VLOOKUP(Tabla6[[#This Row],[Protein_name]],raw!$A$2:$F$5391,2,FALSE)</f>
        <v>serine--trna ligase, cytoplasmic (ec 6.1.1.11) (seryl-trna synthetase) (serrs) (seryl-trna(ser/sec) synthetase)</v>
      </c>
      <c r="E32" t="str">
        <f>VLOOKUP(Tabla6[[#This Row],[Protein_name]],raw!$A$2:$F$5391,5,FALSE)</f>
        <v>SINGLE PROTEIN</v>
      </c>
      <c r="F32">
        <f>VLOOKUP(Tabla6[[#This Row],[Protein_name]],raw!$A$2:$F$5391,3,FALSE)</f>
        <v>0</v>
      </c>
      <c r="G32">
        <f>VLOOKUP(Tabla6[[#This Row],[Protein_name]],T4_metrics!$A$2:$G$693,4,FALSE)</f>
        <v>16.971</v>
      </c>
      <c r="H32">
        <f>VLOOKUP(Tabla6[[#This Row],[Protein_name]],T4_metrics!$A$2:$G$693,5,FALSE)</f>
        <v>1.7350000000000001</v>
      </c>
      <c r="I32" s="5">
        <f>VLOOKUP(Tabla6[[#This Row],[Protein_name]],T4_metrics!$A$2:$G$693,6,FALSE)</f>
        <v>0.7011680891119948</v>
      </c>
      <c r="J32" t="s">
        <v>16773</v>
      </c>
      <c r="K32" s="5">
        <v>6</v>
      </c>
    </row>
    <row r="33" spans="1:11" x14ac:dyDescent="0.25">
      <c r="A33" s="6" t="s">
        <v>54</v>
      </c>
      <c r="B33" t="str">
        <f>VLOOKUP(Tabla6[[#This Row],[Protein_name]],raw!$A$2:$F$5391,6,FALSE)</f>
        <v>T4</v>
      </c>
      <c r="C33" t="str">
        <f>VLOOKUP(Tabla6[[#This Row],[Protein_name]],raw!$A$2:$F$5391,4,FALSE)</f>
        <v>O43776</v>
      </c>
      <c r="D33" t="str">
        <f>VLOOKUP(Tabla6[[#This Row],[Protein_name]],raw!$A$2:$F$5391,2,FALSE)</f>
        <v>asparagine--trna ligase, cytoplasmic (ec 6.1.1.22) (asparaginyl-trna synthetase) (asnrs) (asparaginyl-trna synthetase 1)</v>
      </c>
      <c r="E33" t="str">
        <f>VLOOKUP(Tabla6[[#This Row],[Protein_name]],raw!$A$2:$F$5391,5,FALSE)</f>
        <v>SINGLE PROTEIN</v>
      </c>
      <c r="F33">
        <f>VLOOKUP(Tabla6[[#This Row],[Protein_name]],raw!$A$2:$F$5391,3,FALSE)</f>
        <v>0</v>
      </c>
      <c r="G33">
        <f>VLOOKUP(Tabla6[[#This Row],[Protein_name]],T4_metrics!$A$2:$G$693,4,FALSE)</f>
        <v>18.134</v>
      </c>
      <c r="H33">
        <f>VLOOKUP(Tabla6[[#This Row],[Protein_name]],T4_metrics!$A$2:$G$693,5,FALSE)</f>
        <v>0</v>
      </c>
      <c r="I33" s="5">
        <f>VLOOKUP(Tabla6[[#This Row],[Protein_name]],T4_metrics!$A$2:$G$693,6,FALSE)</f>
        <v>0.67959307550342618</v>
      </c>
      <c r="J33" t="s">
        <v>16773</v>
      </c>
      <c r="K33" s="7">
        <v>6</v>
      </c>
    </row>
    <row r="34" spans="1:11" x14ac:dyDescent="0.25">
      <c r="A34" s="4" t="s">
        <v>55</v>
      </c>
      <c r="B34" t="str">
        <f>VLOOKUP(Tabla6[[#This Row],[Protein_name]],raw!$A$2:$F$5391,6,FALSE)</f>
        <v>T4</v>
      </c>
      <c r="C34" t="str">
        <f>VLOOKUP(Tabla6[[#This Row],[Protein_name]],raw!$A$2:$F$5391,4,FALSE)</f>
        <v>Q96I59</v>
      </c>
      <c r="D34" t="str">
        <f>VLOOKUP(Tabla6[[#This Row],[Protein_name]],raw!$A$2:$F$5391,2,FALSE)</f>
        <v>asparaginyl-trna synthetase (asnrs) (nars2) (ec 6.1.1.22) (asparagine--trna ligase, mitochondrial)</v>
      </c>
      <c r="E34" t="str">
        <f>VLOOKUP(Tabla6[[#This Row],[Protein_name]],raw!$A$2:$F$5391,5,FALSE)</f>
        <v>SINGLE PROTEIN</v>
      </c>
      <c r="F34">
        <f>VLOOKUP(Tabla6[[#This Row],[Protein_name]],raw!$A$2:$F$5391,3,FALSE)</f>
        <v>0</v>
      </c>
      <c r="G34">
        <f>VLOOKUP(Tabla6[[#This Row],[Protein_name]],T4_metrics!$A$2:$G$693,4,FALSE)</f>
        <v>19.309000000000001</v>
      </c>
      <c r="H34">
        <f>VLOOKUP(Tabla6[[#This Row],[Protein_name]],T4_metrics!$A$2:$G$693,5,FALSE)</f>
        <v>0.40100000000000002</v>
      </c>
      <c r="I34" s="5">
        <f>VLOOKUP(Tabla6[[#This Row],[Protein_name]],T4_metrics!$A$2:$G$693,6,FALSE)</f>
        <v>0.67380262055185358</v>
      </c>
      <c r="J34" t="s">
        <v>16773</v>
      </c>
      <c r="K34" s="5">
        <v>6</v>
      </c>
    </row>
    <row r="35" spans="1:11" x14ac:dyDescent="0.25">
      <c r="A35" s="6" t="s">
        <v>56</v>
      </c>
      <c r="B35" t="str">
        <f>VLOOKUP(Tabla6[[#This Row],[Protein_name]],raw!$A$2:$F$5391,6,FALSE)</f>
        <v>T4</v>
      </c>
      <c r="C35" t="str">
        <f>VLOOKUP(Tabla6[[#This Row],[Protein_name]],raw!$A$2:$F$5391,4,FALSE)</f>
        <v>P26639</v>
      </c>
      <c r="D35" t="str">
        <f>VLOOKUP(Tabla6[[#This Row],[Protein_name]],raw!$A$2:$F$5391,2,FALSE)</f>
        <v>threonine--trna ligase 1, cytoplasmic (ec 6.1.1.3) (threonyl-trna synthetase) (thrrs) (threonyl-trna synthetase 1)</v>
      </c>
      <c r="E35" t="str">
        <f>VLOOKUP(Tabla6[[#This Row],[Protein_name]],raw!$A$2:$F$5391,5,FALSE)</f>
        <v>SINGLE PROTEIN</v>
      </c>
      <c r="F35">
        <f>VLOOKUP(Tabla6[[#This Row],[Protein_name]],raw!$A$2:$F$5391,3,FALSE)</f>
        <v>0</v>
      </c>
      <c r="G35">
        <f>VLOOKUP(Tabla6[[#This Row],[Protein_name]],T4_metrics!$A$2:$G$693,4,FALSE)</f>
        <v>18.954999999999998</v>
      </c>
      <c r="H35">
        <f>VLOOKUP(Tabla6[[#This Row],[Protein_name]],T4_metrics!$A$2:$G$693,5,FALSE)</f>
        <v>0.45400000000000001</v>
      </c>
      <c r="I35" s="5">
        <f>VLOOKUP(Tabla6[[#This Row],[Protein_name]],T4_metrics!$A$2:$G$693,6,FALSE)</f>
        <v>0.66902376820237908</v>
      </c>
      <c r="J35" t="s">
        <v>16773</v>
      </c>
      <c r="K35" s="7">
        <v>6</v>
      </c>
    </row>
    <row r="36" spans="1:11" x14ac:dyDescent="0.25">
      <c r="A36" s="4" t="s">
        <v>57</v>
      </c>
      <c r="B36" t="str">
        <f>VLOOKUP(Tabla6[[#This Row],[Protein_name]],raw!$A$2:$F$5391,6,FALSE)</f>
        <v>T4</v>
      </c>
      <c r="C36" t="str">
        <f>VLOOKUP(Tabla6[[#This Row],[Protein_name]],raw!$A$2:$F$5391,4,FALSE)</f>
        <v>Q6PI48</v>
      </c>
      <c r="D36" t="str">
        <f>VLOOKUP(Tabla6[[#This Row],[Protein_name]],raw!$A$2:$F$5391,2,FALSE)</f>
        <v>aspartate--trna ligase, mitochondrial (ec 6.1.1.12) (aspartyl-trna synthetase) (asprs)</v>
      </c>
      <c r="E36" t="str">
        <f>VLOOKUP(Tabla6[[#This Row],[Protein_name]],raw!$A$2:$F$5391,5,FALSE)</f>
        <v>SINGLE PROTEIN</v>
      </c>
      <c r="F36">
        <f>VLOOKUP(Tabla6[[#This Row],[Protein_name]],raw!$A$2:$F$5391,3,FALSE)</f>
        <v>0</v>
      </c>
      <c r="G36">
        <f>VLOOKUP(Tabla6[[#This Row],[Protein_name]],T4_metrics!$A$2:$G$693,4,FALSE)</f>
        <v>19.652000000000001</v>
      </c>
      <c r="H36">
        <f>VLOOKUP(Tabla6[[#This Row],[Protein_name]],T4_metrics!$A$2:$G$693,5,FALSE)</f>
        <v>2.339</v>
      </c>
      <c r="I36" s="5">
        <f>VLOOKUP(Tabla6[[#This Row],[Protein_name]],T4_metrics!$A$2:$G$693,6,FALSE)</f>
        <v>0.66774889774678181</v>
      </c>
      <c r="J36" t="s">
        <v>16773</v>
      </c>
      <c r="K36" s="5">
        <v>6</v>
      </c>
    </row>
    <row r="37" spans="1:11" x14ac:dyDescent="0.25">
      <c r="A37" s="6" t="s">
        <v>40</v>
      </c>
      <c r="B37" t="str">
        <f>VLOOKUP(Tabla6[[#This Row],[Protein_name]],raw!$A$2:$F$5391,6,FALSE)</f>
        <v>T4</v>
      </c>
      <c r="C37" t="str">
        <f>VLOOKUP(Tabla6[[#This Row],[Protein_name]],raw!$A$2:$F$5391,4,FALSE)</f>
        <v>P40925, P48163, P11498</v>
      </c>
      <c r="D37" t="str">
        <f>VLOOKUP(Tabla6[[#This Row],[Protein_name]],raw!$A$2:$F$5391,2,FALSE)</f>
        <v>pyruvate carboxylase, mitochondrial (ec 6.4.1.1) (pyruvic carboxylase) (pcb)</v>
      </c>
      <c r="E37" t="str">
        <f>VLOOKUP(Tabla6[[#This Row],[Protein_name]],raw!$A$2:$F$5391,5,FALSE)</f>
        <v>PROTEIN COMPLEX</v>
      </c>
      <c r="F37" t="str">
        <f>VLOOKUP(Tabla6[[#This Row],[Protein_name]],raw!$A$2:$F$5391,3,FALSE)</f>
        <v>MDH1,ME1,PC</v>
      </c>
      <c r="G37">
        <f>VLOOKUP(Tabla6[[#This Row],[Protein_name]],T4_metrics!$A$2:$G$693,4,FALSE)</f>
        <v>22.279</v>
      </c>
      <c r="H37">
        <f>VLOOKUP(Tabla6[[#This Row],[Protein_name]],T4_metrics!$A$2:$G$693,5,FALSE)</f>
        <v>0</v>
      </c>
      <c r="I37" s="5">
        <f>VLOOKUP(Tabla6[[#This Row],[Protein_name]],T4_metrics!$A$2:$G$693,6,FALSE)</f>
        <v>1.5434419425088099</v>
      </c>
      <c r="J37" t="s">
        <v>16773</v>
      </c>
      <c r="K37" s="7">
        <v>7</v>
      </c>
    </row>
    <row r="38" spans="1:11" x14ac:dyDescent="0.25">
      <c r="A38" s="4" t="s">
        <v>42</v>
      </c>
      <c r="B38" t="str">
        <f>VLOOKUP(Tabla6[[#This Row],[Protein_name]],raw!$A$2:$F$5391,6,FALSE)</f>
        <v>T4</v>
      </c>
      <c r="C38" t="str">
        <f>VLOOKUP(Tabla6[[#This Row],[Protein_name]],raw!$A$2:$F$5391,4,FALSE)</f>
        <v>O00330, P08559, P10515, P11177, P09622</v>
      </c>
      <c r="D38" t="str">
        <f>VLOOKUP(Tabla6[[#This Row],[Protein_name]],raw!$A$2:$F$5391,2,FALSE)</f>
        <v>dihydrolipoyl dehydrogenase, mitochondrial (ec 1.8.1.4) (dihydrolipoamide dehydrogenase) (glycine cleavage system l protein)</v>
      </c>
      <c r="E38" t="str">
        <f>VLOOKUP(Tabla6[[#This Row],[Protein_name]],raw!$A$2:$F$5391,5,FALSE)</f>
        <v>PROTEIN COMPLEX</v>
      </c>
      <c r="F38" t="str">
        <f>VLOOKUP(Tabla6[[#This Row],[Protein_name]],raw!$A$2:$F$5391,3,FALSE)</f>
        <v>PDHX,PDHA1,DLAT,PDHB,DLD</v>
      </c>
      <c r="G38">
        <f>VLOOKUP(Tabla6[[#This Row],[Protein_name]],T4_metrics!$A$2:$G$693,4,FALSE)</f>
        <v>34.512999999999998</v>
      </c>
      <c r="H38">
        <f>VLOOKUP(Tabla6[[#This Row],[Protein_name]],T4_metrics!$A$2:$G$693,5,FALSE)</f>
        <v>5.5759999999999987</v>
      </c>
      <c r="I38" s="5">
        <f>VLOOKUP(Tabla6[[#This Row],[Protein_name]],T4_metrics!$A$2:$G$693,6,FALSE)</f>
        <v>0.82447679374696181</v>
      </c>
      <c r="J38" t="s">
        <v>16773</v>
      </c>
      <c r="K38" s="5">
        <v>7</v>
      </c>
    </row>
    <row r="39" spans="1:11" x14ac:dyDescent="0.25">
      <c r="A39" s="6" t="s">
        <v>43</v>
      </c>
      <c r="B39" t="str">
        <f>VLOOKUP(Tabla6[[#This Row],[Protein_name]],raw!$A$2:$F$5391,6,FALSE)</f>
        <v>T4</v>
      </c>
      <c r="C39" t="str">
        <f>VLOOKUP(Tabla6[[#This Row],[Protein_name]],raw!$A$2:$F$5391,4,FALSE)</f>
        <v>P00491</v>
      </c>
      <c r="D39" t="str">
        <f>VLOOKUP(Tabla6[[#This Row],[Protein_name]],raw!$A$2:$F$5391,2,FALSE)</f>
        <v>purine nucleoside phosphorylase (pnp) (ec 2.4.2.1) (inosine phosphorylase) (inosine-guanosine phosphorylase)</v>
      </c>
      <c r="E39" t="str">
        <f>VLOOKUP(Tabla6[[#This Row],[Protein_name]],raw!$A$2:$F$5391,5,FALSE)</f>
        <v>SINGLE PROTEIN</v>
      </c>
      <c r="F39">
        <f>VLOOKUP(Tabla6[[#This Row],[Protein_name]],raw!$A$2:$F$5391,3,FALSE)</f>
        <v>0</v>
      </c>
      <c r="G39">
        <f>VLOOKUP(Tabla6[[#This Row],[Protein_name]],T4_metrics!$A$2:$G$693,4,FALSE)</f>
        <v>1.9650000000000001</v>
      </c>
      <c r="H39">
        <f>VLOOKUP(Tabla6[[#This Row],[Protein_name]],T4_metrics!$A$2:$G$693,5,FALSE)</f>
        <v>0</v>
      </c>
      <c r="I39" s="5">
        <f>VLOOKUP(Tabla6[[#This Row],[Protein_name]],T4_metrics!$A$2:$G$693,6,FALSE)</f>
        <v>0.78117911868158152</v>
      </c>
      <c r="J39" t="s">
        <v>16773</v>
      </c>
      <c r="K39" s="7">
        <v>7</v>
      </c>
    </row>
    <row r="40" spans="1:11" x14ac:dyDescent="0.25">
      <c r="A40" s="4" t="s">
        <v>44</v>
      </c>
      <c r="B40" t="str">
        <f>VLOOKUP(Tabla6[[#This Row],[Protein_name]],raw!$A$2:$F$5391,6,FALSE)</f>
        <v>T4</v>
      </c>
      <c r="C40" t="str">
        <f>VLOOKUP(Tabla6[[#This Row],[Protein_name]],raw!$A$2:$F$5391,4,FALSE)</f>
        <v>O95822</v>
      </c>
      <c r="D40" t="str">
        <f>VLOOKUP(Tabla6[[#This Row],[Protein_name]],raw!$A$2:$F$5391,2,FALSE)</f>
        <v>malonyl-coa decarboxylase, mitochondrial (mcd) (ec 4.1.1.9)</v>
      </c>
      <c r="E40" t="str">
        <f>VLOOKUP(Tabla6[[#This Row],[Protein_name]],raw!$A$2:$F$5391,5,FALSE)</f>
        <v>SINGLE PROTEIN</v>
      </c>
      <c r="F40">
        <f>VLOOKUP(Tabla6[[#This Row],[Protein_name]],raw!$A$2:$F$5391,3,FALSE)</f>
        <v>0</v>
      </c>
      <c r="G40">
        <f>VLOOKUP(Tabla6[[#This Row],[Protein_name]],T4_metrics!$A$2:$G$693,4,FALSE)</f>
        <v>8.8010000000000019</v>
      </c>
      <c r="H40">
        <f>VLOOKUP(Tabla6[[#This Row],[Protein_name]],T4_metrics!$A$2:$G$693,5,FALSE)</f>
        <v>0</v>
      </c>
      <c r="I40" s="5">
        <f>VLOOKUP(Tabla6[[#This Row],[Protein_name]],T4_metrics!$A$2:$G$693,6,FALSE)</f>
        <v>0.73696135121391282</v>
      </c>
      <c r="J40" t="s">
        <v>16773</v>
      </c>
      <c r="K40" s="5">
        <v>7</v>
      </c>
    </row>
    <row r="41" spans="1:11" x14ac:dyDescent="0.25">
      <c r="A41" s="6" t="s">
        <v>45</v>
      </c>
      <c r="B41" t="str">
        <f>VLOOKUP(Tabla6[[#This Row],[Protein_name]],raw!$A$2:$F$5391,6,FALSE)</f>
        <v>T4</v>
      </c>
      <c r="C41" t="str">
        <f>VLOOKUP(Tabla6[[#This Row],[Protein_name]],raw!$A$2:$F$5391,4,FALSE)</f>
        <v>P51659</v>
      </c>
      <c r="D41" t="str">
        <f>VLOOKUP(Tabla6[[#This Row],[Protein_name]],raw!$A$2:$F$5391,2,FALSE)</f>
        <v>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v>
      </c>
      <c r="E41" t="str">
        <f>VLOOKUP(Tabla6[[#This Row],[Protein_name]],raw!$A$2:$F$5391,5,FALSE)</f>
        <v>SINGLE PROTEIN</v>
      </c>
      <c r="F41">
        <f>VLOOKUP(Tabla6[[#This Row],[Protein_name]],raw!$A$2:$F$5391,3,FALSE)</f>
        <v>0</v>
      </c>
      <c r="G41">
        <f>VLOOKUP(Tabla6[[#This Row],[Protein_name]],T4_metrics!$A$2:$G$693,4,FALSE)</f>
        <v>22.425000000000001</v>
      </c>
      <c r="H41">
        <f>VLOOKUP(Tabla6[[#This Row],[Protein_name]],T4_metrics!$A$2:$G$693,5,FALSE)</f>
        <v>1.9690000000000001</v>
      </c>
      <c r="I41" s="5">
        <f>VLOOKUP(Tabla6[[#This Row],[Protein_name]],T4_metrics!$A$2:$G$693,6,FALSE)</f>
        <v>0.73538322505446152</v>
      </c>
      <c r="J41" t="s">
        <v>16773</v>
      </c>
      <c r="K41" s="7">
        <v>7</v>
      </c>
    </row>
    <row r="42" spans="1:11" x14ac:dyDescent="0.25">
      <c r="A42" s="4" t="s">
        <v>22</v>
      </c>
      <c r="B42" t="str">
        <f>VLOOKUP(Tabla6[[#This Row],[Protein_name]],raw!$A$2:$F$5391,6,FALSE)</f>
        <v>T4</v>
      </c>
      <c r="C42" t="str">
        <f>VLOOKUP(Tabla6[[#This Row],[Protein_name]],raw!$A$2:$F$5391,4,FALSE)</f>
        <v>Q9BXS0-1</v>
      </c>
      <c r="D42" t="str">
        <f>VLOOKUP(Tabla6[[#This Row],[Protein_name]],raw!$A$2:$F$5391,2,FALSE)</f>
        <v>collagen alpha-1(xxv) chain (alzheimer disease amyloid-associated protein) (amy) (clac-p) [cleaved into: collagen-like alzheimer amyloid plaque component (clac)]</v>
      </c>
      <c r="E42" t="str">
        <f>VLOOKUP(Tabla6[[#This Row],[Protein_name]],raw!$A$2:$F$5391,5,FALSE)</f>
        <v>PROTEIN COMPLEX</v>
      </c>
      <c r="F42" t="str">
        <f>VLOOKUP(Tabla6[[#This Row],[Protein_name]],raw!$A$2:$F$5391,3,FALSE)</f>
        <v>COL25A1</v>
      </c>
      <c r="G42">
        <f>VLOOKUP(Tabla6[[#This Row],[Protein_name]],T4_metrics!$A$2:$G$693,4,FALSE)</f>
        <v>9.5429999999999993</v>
      </c>
      <c r="H42">
        <f>VLOOKUP(Tabla6[[#This Row],[Protein_name]],T4_metrics!$A$2:$G$693,5,FALSE)</f>
        <v>1.143</v>
      </c>
      <c r="I42" s="5">
        <f>VLOOKUP(Tabla6[[#This Row],[Protein_name]],T4_metrics!$A$2:$G$693,6,FALSE)</f>
        <v>0.79154129518351635</v>
      </c>
      <c r="J42" t="s">
        <v>16773</v>
      </c>
      <c r="K42" s="5">
        <v>8</v>
      </c>
    </row>
    <row r="43" spans="1:11" x14ac:dyDescent="0.25">
      <c r="A43" s="6" t="s">
        <v>24</v>
      </c>
      <c r="B43" t="str">
        <f>VLOOKUP(Tabla6[[#This Row],[Protein_name]],raw!$A$2:$F$5391,6,FALSE)</f>
        <v>T4</v>
      </c>
      <c r="C43" t="str">
        <f>VLOOKUP(Tabla6[[#This Row],[Protein_name]],raw!$A$2:$F$5391,4,FALSE)</f>
        <v>Q9BXS0-2</v>
      </c>
      <c r="D43" t="str">
        <f>VLOOKUP(Tabla6[[#This Row],[Protein_name]],raw!$A$2:$F$5391,2,FALSE)</f>
        <v>collagen alpha-1(xxv) chain (alzheimer disease amyloid-associated protein) (amy) (clac-p) [cleaved into: collagen-like alzheimer amyloid plaque component (clac)]</v>
      </c>
      <c r="E43" t="str">
        <f>VLOOKUP(Tabla6[[#This Row],[Protein_name]],raw!$A$2:$F$5391,5,FALSE)</f>
        <v>PROTEIN COMPLEX</v>
      </c>
      <c r="F43" t="str">
        <f>VLOOKUP(Tabla6[[#This Row],[Protein_name]],raw!$A$2:$F$5391,3,FALSE)</f>
        <v>COL25A1</v>
      </c>
      <c r="G43">
        <f>VLOOKUP(Tabla6[[#This Row],[Protein_name]],T4_metrics!$A$2:$G$693,4,FALSE)</f>
        <v>9.5429999999999993</v>
      </c>
      <c r="H43">
        <f>VLOOKUP(Tabla6[[#This Row],[Protein_name]],T4_metrics!$A$2:$G$693,5,FALSE)</f>
        <v>1.143</v>
      </c>
      <c r="I43" s="5">
        <f>VLOOKUP(Tabla6[[#This Row],[Protein_name]],T4_metrics!$A$2:$G$693,6,FALSE)</f>
        <v>0.79154129518351635</v>
      </c>
      <c r="J43" t="s">
        <v>16773</v>
      </c>
      <c r="K43" s="7">
        <v>8</v>
      </c>
    </row>
    <row r="44" spans="1:11" x14ac:dyDescent="0.25">
      <c r="A44" s="4" t="s">
        <v>25</v>
      </c>
      <c r="B44" t="str">
        <f>VLOOKUP(Tabla6[[#This Row],[Protein_name]],raw!$A$2:$F$5391,6,FALSE)</f>
        <v>T4</v>
      </c>
      <c r="C44" t="str">
        <f>VLOOKUP(Tabla6[[#This Row],[Protein_name]],raw!$A$2:$F$5391,4,FALSE)</f>
        <v>P23229, P16144</v>
      </c>
      <c r="D44" t="str">
        <f>VLOOKUP(Tabla6[[#This Row],[Protein_name]],raw!$A$2:$F$5391,2,FALSE)</f>
        <v>integrin alpha-6 (cd49 antigen-like family member f) (vla-6) (cd antigen cd49f) [cleaved into: integrin alpha-6 heavy chain; integrin alpha-6 light chain; processed integrin alpha-6 (alpha6p)]</v>
      </c>
      <c r="E44" t="str">
        <f>VLOOKUP(Tabla6[[#This Row],[Protein_name]],raw!$A$2:$F$5391,5,FALSE)</f>
        <v>PROTEIN COMPLEX</v>
      </c>
      <c r="F44" t="str">
        <f>VLOOKUP(Tabla6[[#This Row],[Protein_name]],raw!$A$2:$F$5391,3,FALSE)</f>
        <v>ITGA6,ITGB4</v>
      </c>
      <c r="G44">
        <f>VLOOKUP(Tabla6[[#This Row],[Protein_name]],T4_metrics!$A$2:$G$693,4,FALSE)</f>
        <v>19.344000000000001</v>
      </c>
      <c r="H44">
        <f>VLOOKUP(Tabla6[[#This Row],[Protein_name]],T4_metrics!$A$2:$G$693,5,FALSE)</f>
        <v>39.789000000000001</v>
      </c>
      <c r="I44" s="5">
        <f>VLOOKUP(Tabla6[[#This Row],[Protein_name]],T4_metrics!$A$2:$G$693,6,FALSE)</f>
        <v>0.78305022213565167</v>
      </c>
      <c r="J44" t="s">
        <v>16773</v>
      </c>
      <c r="K44" s="5">
        <v>8</v>
      </c>
    </row>
    <row r="45" spans="1:11" x14ac:dyDescent="0.25">
      <c r="A45" s="6" t="s">
        <v>26</v>
      </c>
      <c r="B45" t="str">
        <f>VLOOKUP(Tabla6[[#This Row],[Protein_name]],raw!$A$2:$F$5391,6,FALSE)</f>
        <v>T4</v>
      </c>
      <c r="C45" t="str">
        <f>VLOOKUP(Tabla6[[#This Row],[Protein_name]],raw!$A$2:$F$5391,4,FALSE)</f>
        <v>P39060</v>
      </c>
      <c r="D45" t="str">
        <f>VLOOKUP(Tabla6[[#This Row],[Protein_name]],raw!$A$2:$F$5391,2,FALSE)</f>
        <v>collagen alpha-1(xviii) chain [cleaved into: endostatin; non-collagenous domain 1 (nc1)]</v>
      </c>
      <c r="E45" t="str">
        <f>VLOOKUP(Tabla6[[#This Row],[Protein_name]],raw!$A$2:$F$5391,5,FALSE)</f>
        <v>PROTEIN COMPLEX</v>
      </c>
      <c r="F45" t="str">
        <f>VLOOKUP(Tabla6[[#This Row],[Protein_name]],raw!$A$2:$F$5391,3,FALSE)</f>
        <v>COL18A1</v>
      </c>
      <c r="G45">
        <f>VLOOKUP(Tabla6[[#This Row],[Protein_name]],T4_metrics!$A$2:$G$693,4,FALSE)</f>
        <v>19.417999999999989</v>
      </c>
      <c r="H45">
        <f>VLOOKUP(Tabla6[[#This Row],[Protein_name]],T4_metrics!$A$2:$G$693,5,FALSE)</f>
        <v>4.0469999999999997</v>
      </c>
      <c r="I45" s="5">
        <f>VLOOKUP(Tabla6[[#This Row],[Protein_name]],T4_metrics!$A$2:$G$693,6,FALSE)</f>
        <v>0.77912057183343864</v>
      </c>
      <c r="J45" t="s">
        <v>16773</v>
      </c>
      <c r="K45" s="7">
        <v>8</v>
      </c>
    </row>
    <row r="46" spans="1:11" x14ac:dyDescent="0.25">
      <c r="A46" s="4" t="s">
        <v>27</v>
      </c>
      <c r="B46" t="str">
        <f>VLOOKUP(Tabla6[[#This Row],[Protein_name]],raw!$A$2:$F$5391,6,FALSE)</f>
        <v>T4</v>
      </c>
      <c r="C46" t="str">
        <f>VLOOKUP(Tabla6[[#This Row],[Protein_name]],raw!$A$2:$F$5391,4,FALSE)</f>
        <v>O15072</v>
      </c>
      <c r="D46" t="str">
        <f>VLOOKUP(Tabla6[[#This Row],[Protein_name]],raw!$A$2:$F$5391,2,FALSE)</f>
        <v>a disintegrin and metalloproteinase with thrombospondin motifs 3 (adam-ts 3) (adam-ts3) (adamts-3) (ec 3.4.24.-) (procollagen ii n-proteinase) (pc ii-np) (procollagen ii amino propeptide-processing enzyme)</v>
      </c>
      <c r="E46" t="str">
        <f>VLOOKUP(Tabla6[[#This Row],[Protein_name]],raw!$A$2:$F$5391,5,FALSE)</f>
        <v>SINGLE PROTEIN</v>
      </c>
      <c r="F46">
        <f>VLOOKUP(Tabla6[[#This Row],[Protein_name]],raw!$A$2:$F$5391,3,FALSE)</f>
        <v>0</v>
      </c>
      <c r="G46">
        <f>VLOOKUP(Tabla6[[#This Row],[Protein_name]],T4_metrics!$A$2:$G$693,4,FALSE)</f>
        <v>3.826000000000001</v>
      </c>
      <c r="H46">
        <f>VLOOKUP(Tabla6[[#This Row],[Protein_name]],T4_metrics!$A$2:$G$693,5,FALSE)</f>
        <v>0</v>
      </c>
      <c r="I46" s="5">
        <f>VLOOKUP(Tabla6[[#This Row],[Protein_name]],T4_metrics!$A$2:$G$693,6,FALSE)</f>
        <v>0.76441693546479428</v>
      </c>
      <c r="J46" t="s">
        <v>16773</v>
      </c>
      <c r="K46" s="5">
        <v>8</v>
      </c>
    </row>
    <row r="47" spans="1:11" x14ac:dyDescent="0.25">
      <c r="A47" s="6" t="s">
        <v>28</v>
      </c>
      <c r="B47" t="str">
        <f>VLOOKUP(Tabla6[[#This Row],[Protein_name]],raw!$A$2:$F$5391,6,FALSE)</f>
        <v>T4</v>
      </c>
      <c r="C47" t="str">
        <f>VLOOKUP(Tabla6[[#This Row],[Protein_name]],raw!$A$2:$F$5391,4,FALSE)</f>
        <v>Q9HBE4, Q9HBE5, P31785, P23458, P52333</v>
      </c>
      <c r="D47" t="str">
        <f>VLOOKUP(Tabla6[[#This Row],[Protein_name]],raw!$A$2:$F$5391,2,FALSE)</f>
        <v>cytokine receptor common subunit gamma (interleukin-2 receptor subunit gamma) (il-2 receptor subunit gamma) (il-2r subunit gamma) (il-2rg) (gammac) (p64) (cd antigen cd132)</v>
      </c>
      <c r="E47" t="str">
        <f>VLOOKUP(Tabla6[[#This Row],[Protein_name]],raw!$A$2:$F$5391,5,FALSE)</f>
        <v>PROTEIN COMPLEX</v>
      </c>
      <c r="F47" t="str">
        <f>VLOOKUP(Tabla6[[#This Row],[Protein_name]],raw!$A$2:$F$5391,3,FALSE)</f>
        <v>IL21,IL21R,IL2RG,JAK1,JAK3</v>
      </c>
      <c r="G47">
        <f>VLOOKUP(Tabla6[[#This Row],[Protein_name]],T4_metrics!$A$2:$G$693,4,FALSE)</f>
        <v>25.03400000000001</v>
      </c>
      <c r="H47">
        <f>VLOOKUP(Tabla6[[#This Row],[Protein_name]],T4_metrics!$A$2:$G$693,5,FALSE)</f>
        <v>3.870000000000001</v>
      </c>
      <c r="I47" s="5">
        <f>VLOOKUP(Tabla6[[#This Row],[Protein_name]],T4_metrics!$A$2:$G$693,6,FALSE)</f>
        <v>0.94596168804308189</v>
      </c>
      <c r="J47" t="s">
        <v>16773</v>
      </c>
      <c r="K47" s="7">
        <v>9</v>
      </c>
    </row>
    <row r="48" spans="1:11" x14ac:dyDescent="0.25">
      <c r="A48" s="4" t="s">
        <v>30</v>
      </c>
      <c r="B48" t="str">
        <f>VLOOKUP(Tabla6[[#This Row],[Protein_name]],raw!$A$2:$F$5391,6,FALSE)</f>
        <v>T4</v>
      </c>
      <c r="C48" t="str">
        <f>VLOOKUP(Tabla6[[#This Row],[Protein_name]],raw!$A$2:$F$5391,4,FALSE)</f>
        <v>P10914</v>
      </c>
      <c r="D48" t="str">
        <f>VLOOKUP(Tabla6[[#This Row],[Protein_name]],raw!$A$2:$F$5391,2,FALSE)</f>
        <v>interferon regulatory factor 1 (irf-1)</v>
      </c>
      <c r="E48" t="str">
        <f>VLOOKUP(Tabla6[[#This Row],[Protein_name]],raw!$A$2:$F$5391,5,FALSE)</f>
        <v>SINGLE PROTEIN</v>
      </c>
      <c r="F48">
        <f>VLOOKUP(Tabla6[[#This Row],[Protein_name]],raw!$A$2:$F$5391,3,FALSE)</f>
        <v>0</v>
      </c>
      <c r="G48">
        <f>VLOOKUP(Tabla6[[#This Row],[Protein_name]],T4_metrics!$A$2:$G$693,4,FALSE)</f>
        <v>19.708999999999989</v>
      </c>
      <c r="H48">
        <f>VLOOKUP(Tabla6[[#This Row],[Protein_name]],T4_metrics!$A$2:$G$693,5,FALSE)</f>
        <v>25.24799999999999</v>
      </c>
      <c r="I48" s="5">
        <f>VLOOKUP(Tabla6[[#This Row],[Protein_name]],T4_metrics!$A$2:$G$693,6,FALSE)</f>
        <v>0.90396973781283085</v>
      </c>
      <c r="J48" t="s">
        <v>16773</v>
      </c>
      <c r="K48" s="5">
        <v>9</v>
      </c>
    </row>
    <row r="49" spans="1:11" x14ac:dyDescent="0.25">
      <c r="A49" s="6" t="s">
        <v>31</v>
      </c>
      <c r="B49" t="str">
        <f>VLOOKUP(Tabla6[[#This Row],[Protein_name]],raw!$A$2:$F$5391,6,FALSE)</f>
        <v>T4</v>
      </c>
      <c r="C49" t="str">
        <f>VLOOKUP(Tabla6[[#This Row],[Protein_name]],raw!$A$2:$F$5391,4,FALSE)</f>
        <v>O15455</v>
      </c>
      <c r="D49" t="str">
        <f>VLOOKUP(Tabla6[[#This Row],[Protein_name]],raw!$A$2:$F$5391,2,FALSE)</f>
        <v>toll-like receptor 3 (cd antigen cd283)</v>
      </c>
      <c r="E49" t="str">
        <f>VLOOKUP(Tabla6[[#This Row],[Protein_name]],raw!$A$2:$F$5391,5,FALSE)</f>
        <v>SINGLE PROTEIN</v>
      </c>
      <c r="F49">
        <f>VLOOKUP(Tabla6[[#This Row],[Protein_name]],raw!$A$2:$F$5391,3,FALSE)</f>
        <v>0</v>
      </c>
      <c r="G49">
        <f>VLOOKUP(Tabla6[[#This Row],[Protein_name]],T4_metrics!$A$2:$G$693,4,FALSE)</f>
        <v>19.76700000000001</v>
      </c>
      <c r="H49">
        <f>VLOOKUP(Tabla6[[#This Row],[Protein_name]],T4_metrics!$A$2:$G$693,5,FALSE)</f>
        <v>24.484999999999999</v>
      </c>
      <c r="I49" s="5">
        <f>VLOOKUP(Tabla6[[#This Row],[Protein_name]],T4_metrics!$A$2:$G$693,6,FALSE)</f>
        <v>0.86550843616247264</v>
      </c>
      <c r="J49" t="s">
        <v>16773</v>
      </c>
      <c r="K49" s="7">
        <v>9</v>
      </c>
    </row>
    <row r="50" spans="1:11" x14ac:dyDescent="0.25">
      <c r="A50" s="4" t="s">
        <v>32</v>
      </c>
      <c r="B50" t="str">
        <f>VLOOKUP(Tabla6[[#This Row],[Protein_name]],raw!$A$2:$F$5391,6,FALSE)</f>
        <v>T4</v>
      </c>
      <c r="C50" t="str">
        <f>VLOOKUP(Tabla6[[#This Row],[Protein_name]],raw!$A$2:$F$5391,4,FALSE)</f>
        <v>Q8IU57, Q08334, Q8IZJ0, P29597, P23458</v>
      </c>
      <c r="D50" t="str">
        <f>VLOOKUP(Tabla6[[#This Row],[Protein_name]],raw!$A$2:$F$5391,2,FALSE)</f>
        <v>interleukin-10 receptor subunit beta (il-10 receptor subunit beta) (il-10r subunit beta) (il-10rb) (cytokine receptor class-ii member 4) (cytokine receptor family 2 member 4) (crf2-4) (interleukin-10 receptor subunit 2) (il-10r subunit 2) (il-10r2) (cd antigen cdw210b)</v>
      </c>
      <c r="E50" t="str">
        <f>VLOOKUP(Tabla6[[#This Row],[Protein_name]],raw!$A$2:$F$5391,5,FALSE)</f>
        <v>PROTEIN COMPLEX</v>
      </c>
      <c r="F50" t="str">
        <f>VLOOKUP(Tabla6[[#This Row],[Protein_name]],raw!$A$2:$F$5391,3,FALSE)</f>
        <v>IFNLR1,IL10RB,IFNL2,TYK2,JAK1</v>
      </c>
      <c r="G50">
        <f>VLOOKUP(Tabla6[[#This Row],[Protein_name]],T4_metrics!$A$2:$G$693,4,FALSE)</f>
        <v>22.66899999999999</v>
      </c>
      <c r="H50">
        <f>VLOOKUP(Tabla6[[#This Row],[Protein_name]],T4_metrics!$A$2:$G$693,5,FALSE)</f>
        <v>0</v>
      </c>
      <c r="I50" s="5">
        <f>VLOOKUP(Tabla6[[#This Row],[Protein_name]],T4_metrics!$A$2:$G$693,6,FALSE)</f>
        <v>0.86501267961775841</v>
      </c>
      <c r="J50" t="s">
        <v>16773</v>
      </c>
      <c r="K50" s="5">
        <v>9</v>
      </c>
    </row>
    <row r="51" spans="1:11" x14ac:dyDescent="0.25">
      <c r="A51" s="6" t="s">
        <v>33</v>
      </c>
      <c r="B51" t="str">
        <f>VLOOKUP(Tabla6[[#This Row],[Protein_name]],raw!$A$2:$F$5391,6,FALSE)</f>
        <v>T4</v>
      </c>
      <c r="C51" t="str">
        <f>VLOOKUP(Tabla6[[#This Row],[Protein_name]],raw!$A$2:$F$5391,4,FALSE)</f>
        <v>Q8IU57, Q08334, Q8IZI9, P29597, P23458</v>
      </c>
      <c r="D51" t="str">
        <f>VLOOKUP(Tabla6[[#This Row],[Protein_name]],raw!$A$2:$F$5391,2,FALSE)</f>
        <v>interleukin-10 receptor subunit beta (il-10 receptor subunit beta) (il-10r subunit beta) (il-10rb) (cytokine receptor class-ii member 4) (cytokine receptor family 2 member 4) (crf2-4) (interleukin-10 receptor subunit 2) (il-10r subunit 2) (il-10r2) (cd antigen cdw210b)</v>
      </c>
      <c r="E51" t="str">
        <f>VLOOKUP(Tabla6[[#This Row],[Protein_name]],raw!$A$2:$F$5391,5,FALSE)</f>
        <v>PROTEIN COMPLEX</v>
      </c>
      <c r="F51" t="str">
        <f>VLOOKUP(Tabla6[[#This Row],[Protein_name]],raw!$A$2:$F$5391,3,FALSE)</f>
        <v>IFNLR1,IL10RB,IFNL3,TYK2,JAK1</v>
      </c>
      <c r="G51">
        <f>VLOOKUP(Tabla6[[#This Row],[Protein_name]],T4_metrics!$A$2:$G$693,4,FALSE)</f>
        <v>22.66899999999999</v>
      </c>
      <c r="H51">
        <f>VLOOKUP(Tabla6[[#This Row],[Protein_name]],T4_metrics!$A$2:$G$693,5,FALSE)</f>
        <v>0</v>
      </c>
      <c r="I51" s="5">
        <f>VLOOKUP(Tabla6[[#This Row],[Protein_name]],T4_metrics!$A$2:$G$693,6,FALSE)</f>
        <v>0.86501267961775841</v>
      </c>
      <c r="J51" t="s">
        <v>16773</v>
      </c>
      <c r="K51" s="7">
        <v>9</v>
      </c>
    </row>
    <row r="52" spans="1:11" x14ac:dyDescent="0.25">
      <c r="A52" s="4" t="s">
        <v>4</v>
      </c>
      <c r="B52" t="str">
        <f>VLOOKUP(Tabla6[[#This Row],[Protein_name]],raw!$A$2:$F$5391,6,FALSE)</f>
        <v>T4</v>
      </c>
      <c r="C52" t="str">
        <f>VLOOKUP(Tabla6[[#This Row],[Protein_name]],raw!$A$2:$F$5391,4,FALSE)</f>
        <v>Q92784, O94805, P60709, Q8NFD5, P51532, Q12824, Q92922, Q8TAQ2, Q96GM5, Q92782, Q6STE5, Q969G3</v>
      </c>
      <c r="D52" t="str">
        <f>VLOOKUP(Tabla6[[#This Row],[Protein_name]],raw!$A$2:$F$5391,2,FALSE)</f>
        <v>actin, cytoplasmic 1 (ec 3.6.4.-) (beta-actin) [cleaved into: actin, cytoplasmic 1, n-terminally processed]</v>
      </c>
      <c r="E52" t="str">
        <f>VLOOKUP(Tabla6[[#This Row],[Protein_name]],raw!$A$2:$F$5391,5,FALSE)</f>
        <v>PROTEIN COMPLEX</v>
      </c>
      <c r="F52" t="str">
        <f>VLOOKUP(Tabla6[[#This Row],[Protein_name]],raw!$A$2:$F$5391,3,FALSE)</f>
        <v>DPF3,ACTL6B,ACTB,ARID1B,SMARCA4,SMARCB1,SMARCC1,SMARCC2,SMARCD1,DPF1,SMARCD3,SMARCE1</v>
      </c>
      <c r="G52">
        <f>VLOOKUP(Tabla6[[#This Row],[Protein_name]],T4_metrics!$A$2:$G$693,4,FALSE)</f>
        <v>39.326000000000001</v>
      </c>
      <c r="H52">
        <f>VLOOKUP(Tabla6[[#This Row],[Protein_name]],T4_metrics!$A$2:$G$693,5,FALSE)</f>
        <v>168.1930000000003</v>
      </c>
      <c r="I52" s="5">
        <f>VLOOKUP(Tabla6[[#This Row],[Protein_name]],T4_metrics!$A$2:$G$693,6,FALSE)</f>
        <v>1.433302218020021</v>
      </c>
      <c r="J52" t="s">
        <v>16773</v>
      </c>
      <c r="K52" s="5">
        <v>10</v>
      </c>
    </row>
    <row r="53" spans="1:11" x14ac:dyDescent="0.25">
      <c r="A53" s="6" t="s">
        <v>6</v>
      </c>
      <c r="B53" t="str">
        <f>VLOOKUP(Tabla6[[#This Row],[Protein_name]],raw!$A$2:$F$5391,6,FALSE)</f>
        <v>T4</v>
      </c>
      <c r="C53" t="str">
        <f>VLOOKUP(Tabla6[[#This Row],[Protein_name]],raw!$A$2:$F$5391,4,FALSE)</f>
        <v>Q8WUZ0, Q15532, Q9NZM4, O94805, P60709, Q9H8M2, P51531, Q92922, Q96GM5, Q4VC05, Q9BQE9</v>
      </c>
      <c r="D53" t="str">
        <f>VLOOKUP(Tabla6[[#This Row],[Protein_name]],raw!$A$2:$F$5391,2,FALSE)</f>
        <v>actin, cytoplasmic 1 (ec 3.6.4.-) (beta-actin) [cleaved into: actin, cytoplasmic 1, n-terminally processed]</v>
      </c>
      <c r="E53" t="str">
        <f>VLOOKUP(Tabla6[[#This Row],[Protein_name]],raw!$A$2:$F$5391,5,FALSE)</f>
        <v>PROTEIN COMPLEX</v>
      </c>
      <c r="F53" t="str">
        <f>VLOOKUP(Tabla6[[#This Row],[Protein_name]],raw!$A$2:$F$5391,3,FALSE)</f>
        <v>BCL7C,SS18,BICRA,ACTL6B,ACTB,BRD9,SMARCA2,SMARCC1,SMARCD1,BCL7A,BCL7B</v>
      </c>
      <c r="G53">
        <f>VLOOKUP(Tabla6[[#This Row],[Protein_name]],T4_metrics!$A$2:$G$693,4,FALSE)</f>
        <v>38.554999999999993</v>
      </c>
      <c r="H53">
        <f>VLOOKUP(Tabla6[[#This Row],[Protein_name]],T4_metrics!$A$2:$G$693,5,FALSE)</f>
        <v>137.10499999999999</v>
      </c>
      <c r="I53" s="5">
        <f>VLOOKUP(Tabla6[[#This Row],[Protein_name]],T4_metrics!$A$2:$G$693,6,FALSE)</f>
        <v>1.4332762975683939</v>
      </c>
      <c r="J53" t="s">
        <v>16773</v>
      </c>
      <c r="K53" s="7">
        <v>10</v>
      </c>
    </row>
    <row r="54" spans="1:11" x14ac:dyDescent="0.25">
      <c r="A54" s="4" t="s">
        <v>7</v>
      </c>
      <c r="B54" t="str">
        <f>VLOOKUP(Tabla6[[#This Row],[Protein_name]],raw!$A$2:$F$5391,6,FALSE)</f>
        <v>T4</v>
      </c>
      <c r="C54" t="str">
        <f>VLOOKUP(Tabla6[[#This Row],[Protein_name]],raw!$A$2:$F$5391,4,FALSE)</f>
        <v>Q92784, O94805, P60709, O14497, P51532, Q12824, Q92922, Q8TAQ2, Q96GM5, Q92782, Q6STE5, Q969G3</v>
      </c>
      <c r="D54" t="str">
        <f>VLOOKUP(Tabla6[[#This Row],[Protein_name]],raw!$A$2:$F$5391,2,FALSE)</f>
        <v>actin, cytoplasmic 1 (ec 3.6.4.-) (beta-actin) [cleaved into: actin, cytoplasmic 1, n-terminally processed]</v>
      </c>
      <c r="E54" t="str">
        <f>VLOOKUP(Tabla6[[#This Row],[Protein_name]],raw!$A$2:$F$5391,5,FALSE)</f>
        <v>PROTEIN COMPLEX</v>
      </c>
      <c r="F54" t="str">
        <f>VLOOKUP(Tabla6[[#This Row],[Protein_name]],raw!$A$2:$F$5391,3,FALSE)</f>
        <v>DPF3,ACTL6B,ACTB,ARID1A,SMARCA4,SMARCB1,SMARCC1,SMARCC2,SMARCD1,DPF1,SMARCD3,SMARCE1</v>
      </c>
      <c r="G54">
        <f>VLOOKUP(Tabla6[[#This Row],[Protein_name]],T4_metrics!$A$2:$G$693,4,FALSE)</f>
        <v>39.226000000000013</v>
      </c>
      <c r="H54">
        <f>VLOOKUP(Tabla6[[#This Row],[Protein_name]],T4_metrics!$A$2:$G$693,5,FALSE)</f>
        <v>169.22300000000041</v>
      </c>
      <c r="I54" s="5">
        <f>VLOOKUP(Tabla6[[#This Row],[Protein_name]],T4_metrics!$A$2:$G$693,6,FALSE)</f>
        <v>1.432837571208645</v>
      </c>
      <c r="J54" t="s">
        <v>16773</v>
      </c>
      <c r="K54" s="5">
        <v>10</v>
      </c>
    </row>
    <row r="55" spans="1:11" x14ac:dyDescent="0.25">
      <c r="A55" s="6" t="s">
        <v>8</v>
      </c>
      <c r="B55" t="str">
        <f>VLOOKUP(Tabla6[[#This Row],[Protein_name]],raw!$A$2:$F$5391,6,FALSE)</f>
        <v>T4</v>
      </c>
      <c r="C55" t="str">
        <f>VLOOKUP(Tabla6[[#This Row],[Protein_name]],raw!$A$2:$F$5391,4,FALSE)</f>
        <v>Q92784, O94805, P60709, Q8NFD5, P51531, Q12824, Q92922, Q8TAQ2, Q96GM5, Q92782, Q6STE5, Q969G3</v>
      </c>
      <c r="D55" t="str">
        <f>VLOOKUP(Tabla6[[#This Row],[Protein_name]],raw!$A$2:$F$5391,2,FALSE)</f>
        <v>actin, cytoplasmic 1 (ec 3.6.4.-) (beta-actin) [cleaved into: actin, cytoplasmic 1, n-terminally processed]</v>
      </c>
      <c r="E55" t="str">
        <f>VLOOKUP(Tabla6[[#This Row],[Protein_name]],raw!$A$2:$F$5391,5,FALSE)</f>
        <v>PROTEIN COMPLEX</v>
      </c>
      <c r="F55" t="str">
        <f>VLOOKUP(Tabla6[[#This Row],[Protein_name]],raw!$A$2:$F$5391,3,FALSE)</f>
        <v>DPF3,ACTL6B,ACTB,ARID1B,SMARCA2,SMARCB1,SMARCC1,SMARCC2,SMARCD1,DPF1,SMARCD3,SMARCE1</v>
      </c>
      <c r="G55">
        <f>VLOOKUP(Tabla6[[#This Row],[Protein_name]],T4_metrics!$A$2:$G$693,4,FALSE)</f>
        <v>38.554999999999993</v>
      </c>
      <c r="H55">
        <f>VLOOKUP(Tabla6[[#This Row],[Protein_name]],T4_metrics!$A$2:$G$693,5,FALSE)</f>
        <v>168.06499999999991</v>
      </c>
      <c r="I55" s="5">
        <f>VLOOKUP(Tabla6[[#This Row],[Protein_name]],T4_metrics!$A$2:$G$693,6,FALSE)</f>
        <v>1.418466983956167</v>
      </c>
      <c r="J55" t="s">
        <v>16773</v>
      </c>
      <c r="K55" s="7">
        <v>10</v>
      </c>
    </row>
    <row r="56" spans="1:11" x14ac:dyDescent="0.25">
      <c r="A56" s="4" t="s">
        <v>9</v>
      </c>
      <c r="B56" t="str">
        <f>VLOOKUP(Tabla6[[#This Row],[Protein_name]],raw!$A$2:$F$5391,6,FALSE)</f>
        <v>T4</v>
      </c>
      <c r="C56" t="str">
        <f>VLOOKUP(Tabla6[[#This Row],[Protein_name]],raw!$A$2:$F$5391,4,FALSE)</f>
        <v>Q92784, O94805, P60709, O14497, P51531, Q12824, Q92922, Q8TAQ2, Q96GM5, Q92782, Q6STE5, Q969G3</v>
      </c>
      <c r="D56" t="str">
        <f>VLOOKUP(Tabla6[[#This Row],[Protein_name]],raw!$A$2:$F$5391,2,FALSE)</f>
        <v>actin, cytoplasmic 1 (ec 3.6.4.-) (beta-actin) [cleaved into: actin, cytoplasmic 1, n-terminally processed]</v>
      </c>
      <c r="E56" t="str">
        <f>VLOOKUP(Tabla6[[#This Row],[Protein_name]],raw!$A$2:$F$5391,5,FALSE)</f>
        <v>PROTEIN COMPLEX</v>
      </c>
      <c r="F56" t="str">
        <f>VLOOKUP(Tabla6[[#This Row],[Protein_name]],raw!$A$2:$F$5391,3,FALSE)</f>
        <v>DPF3,ACTL6B,ACTB,ARID1A,SMARCA2,SMARCB1,SMARCC1,SMARCC2,SMARCD1,DPF1,SMARCD3,SMARCE1</v>
      </c>
      <c r="G56">
        <f>VLOOKUP(Tabla6[[#This Row],[Protein_name]],T4_metrics!$A$2:$G$693,4,FALSE)</f>
        <v>39.644000000000013</v>
      </c>
      <c r="H56">
        <f>VLOOKUP(Tabla6[[#This Row],[Protein_name]],T4_metrics!$A$2:$G$693,5,FALSE)</f>
        <v>169.11399999999989</v>
      </c>
      <c r="I56" s="5">
        <f>VLOOKUP(Tabla6[[#This Row],[Protein_name]],T4_metrics!$A$2:$G$693,6,FALSE)</f>
        <v>1.417851338290637</v>
      </c>
      <c r="J56" t="s">
        <v>16773</v>
      </c>
      <c r="K56" s="5">
        <v>10</v>
      </c>
    </row>
    <row r="57" spans="1:11" x14ac:dyDescent="0.25">
      <c r="A57" s="6" t="s">
        <v>10</v>
      </c>
      <c r="B57" t="str">
        <f>VLOOKUP(Tabla6[[#This Row],[Protein_name]],raw!$A$2:$F$5391,6,FALSE)</f>
        <v>T4</v>
      </c>
      <c r="C57" t="str">
        <f>VLOOKUP(Tabla6[[#This Row],[Protein_name]],raw!$A$2:$F$5391,4,FALSE)</f>
        <v>Q14582, P61244</v>
      </c>
      <c r="D57" t="str">
        <f>VLOOKUP(Tabla6[[#This Row],[Protein_name]],raw!$A$2:$F$5391,2,FALSE)</f>
        <v>protein max (class d basic helix-loop-helix protein 4) (bhlhd4) (myc-associated factor x)</v>
      </c>
      <c r="E57" t="str">
        <f>VLOOKUP(Tabla6[[#This Row],[Protein_name]],raw!$A$2:$F$5391,5,FALSE)</f>
        <v>PROTEIN COMPLEX</v>
      </c>
      <c r="F57" t="str">
        <f>VLOOKUP(Tabla6[[#This Row],[Protein_name]],raw!$A$2:$F$5391,3,FALSE)</f>
        <v>MXD4,MAX</v>
      </c>
      <c r="G57">
        <f>VLOOKUP(Tabla6[[#This Row],[Protein_name]],T4_metrics!$A$2:$G$693,4,FALSE)</f>
        <v>50.903000000000063</v>
      </c>
      <c r="H57">
        <f>VLOOKUP(Tabla6[[#This Row],[Protein_name]],T4_metrics!$A$2:$G$693,5,FALSE)</f>
        <v>1.3620000000000001</v>
      </c>
      <c r="I57" s="5">
        <f>VLOOKUP(Tabla6[[#This Row],[Protein_name]],T4_metrics!$A$2:$G$693,6,FALSE)</f>
        <v>1.1329941480372441</v>
      </c>
      <c r="J57" t="s">
        <v>16773</v>
      </c>
      <c r="K57" s="7">
        <v>11</v>
      </c>
    </row>
    <row r="58" spans="1:11" x14ac:dyDescent="0.25">
      <c r="A58" s="4" t="s">
        <v>12</v>
      </c>
      <c r="B58" t="str">
        <f>VLOOKUP(Tabla6[[#This Row],[Protein_name]],raw!$A$2:$F$5391,6,FALSE)</f>
        <v>T4</v>
      </c>
      <c r="C58" t="str">
        <f>VLOOKUP(Tabla6[[#This Row],[Protein_name]],raw!$A$2:$F$5391,4,FALSE)</f>
        <v>Q9BW11, P61244</v>
      </c>
      <c r="D58" t="str">
        <f>VLOOKUP(Tabla6[[#This Row],[Protein_name]],raw!$A$2:$F$5391,2,FALSE)</f>
        <v>protein max (class d basic helix-loop-helix protein 4) (bhlhd4) (myc-associated factor x)</v>
      </c>
      <c r="E58" t="str">
        <f>VLOOKUP(Tabla6[[#This Row],[Protein_name]],raw!$A$2:$F$5391,5,FALSE)</f>
        <v>PROTEIN COMPLEX</v>
      </c>
      <c r="F58" t="str">
        <f>VLOOKUP(Tabla6[[#This Row],[Protein_name]],raw!$A$2:$F$5391,3,FALSE)</f>
        <v>MXD3,MAX</v>
      </c>
      <c r="G58">
        <f>VLOOKUP(Tabla6[[#This Row],[Protein_name]],T4_metrics!$A$2:$G$693,4,FALSE)</f>
        <v>50.903000000000063</v>
      </c>
      <c r="H58">
        <f>VLOOKUP(Tabla6[[#This Row],[Protein_name]],T4_metrics!$A$2:$G$693,5,FALSE)</f>
        <v>1.3620000000000001</v>
      </c>
      <c r="I58" s="5">
        <f>VLOOKUP(Tabla6[[#This Row],[Protein_name]],T4_metrics!$A$2:$G$693,6,FALSE)</f>
        <v>1.131875236158072</v>
      </c>
      <c r="J58" t="s">
        <v>16773</v>
      </c>
      <c r="K58" s="5">
        <v>11</v>
      </c>
    </row>
    <row r="59" spans="1:11" x14ac:dyDescent="0.25">
      <c r="A59" s="6" t="s">
        <v>13</v>
      </c>
      <c r="B59" t="str">
        <f>VLOOKUP(Tabla6[[#This Row],[Protein_name]],raw!$A$2:$F$5391,6,FALSE)</f>
        <v>T4</v>
      </c>
      <c r="C59" t="str">
        <f>VLOOKUP(Tabla6[[#This Row],[Protein_name]],raw!$A$2:$F$5391,4,FALSE)</f>
        <v>O43189, O75530, Q92800, Q09028, A6NHQ4, Q15022</v>
      </c>
      <c r="D59" t="str">
        <f>VLOOKUP(Tabla6[[#This Row],[Protein_name]],raw!$A$2:$F$5391,2,FALSE)</f>
        <v>phd finger protein 1 (protein phf1) (hphf1) (polycomb-like protein 1) (hpcl1)</v>
      </c>
      <c r="E59" t="str">
        <f>VLOOKUP(Tabla6[[#This Row],[Protein_name]],raw!$A$2:$F$5391,5,FALSE)</f>
        <v>PROTEIN COMPLEX</v>
      </c>
      <c r="F59" t="str">
        <f>VLOOKUP(Tabla6[[#This Row],[Protein_name]],raw!$A$2:$F$5391,3,FALSE)</f>
        <v>PHF1,EED,EZH1,RBBP4,EPOP,SUZ12</v>
      </c>
      <c r="G59">
        <f>VLOOKUP(Tabla6[[#This Row],[Protein_name]],T4_metrics!$A$2:$G$693,4,FALSE)</f>
        <v>99.30100000000003</v>
      </c>
      <c r="H59">
        <f>VLOOKUP(Tabla6[[#This Row],[Protein_name]],T4_metrics!$A$2:$G$693,5,FALSE)</f>
        <v>33.346999999999987</v>
      </c>
      <c r="I59" s="5">
        <f>VLOOKUP(Tabla6[[#This Row],[Protein_name]],T4_metrics!$A$2:$G$693,6,FALSE)</f>
        <v>1.0383803715931099</v>
      </c>
      <c r="J59" t="s">
        <v>16773</v>
      </c>
      <c r="K59" s="7">
        <v>11</v>
      </c>
    </row>
    <row r="60" spans="1:11" x14ac:dyDescent="0.25">
      <c r="A60" s="4" t="s">
        <v>14</v>
      </c>
      <c r="B60" t="str">
        <f>VLOOKUP(Tabla6[[#This Row],[Protein_name]],raw!$A$2:$F$5391,6,FALSE)</f>
        <v>T4</v>
      </c>
      <c r="C60" t="str">
        <f>VLOOKUP(Tabla6[[#This Row],[Protein_name]],raw!$A$2:$F$5391,4,FALSE)</f>
        <v>Q05195, P61244</v>
      </c>
      <c r="D60" t="str">
        <f>VLOOKUP(Tabla6[[#This Row],[Protein_name]],raw!$A$2:$F$5391,2,FALSE)</f>
        <v>protein max (class d basic helix-loop-helix protein 4) (bhlhd4) (myc-associated factor x)</v>
      </c>
      <c r="E60" t="str">
        <f>VLOOKUP(Tabla6[[#This Row],[Protein_name]],raw!$A$2:$F$5391,5,FALSE)</f>
        <v>PROTEIN COMPLEX</v>
      </c>
      <c r="F60" t="str">
        <f>VLOOKUP(Tabla6[[#This Row],[Protein_name]],raw!$A$2:$F$5391,3,FALSE)</f>
        <v>MXD1,MAX</v>
      </c>
      <c r="G60">
        <f>VLOOKUP(Tabla6[[#This Row],[Protein_name]],T4_metrics!$A$2:$G$693,4,FALSE)</f>
        <v>50.903000000000063</v>
      </c>
      <c r="H60">
        <f>VLOOKUP(Tabla6[[#This Row],[Protein_name]],T4_metrics!$A$2:$G$693,5,FALSE)</f>
        <v>1.3620000000000001</v>
      </c>
      <c r="I60" s="5">
        <f>VLOOKUP(Tabla6[[#This Row],[Protein_name]],T4_metrics!$A$2:$G$693,6,FALSE)</f>
        <v>1.032756201482022</v>
      </c>
      <c r="J60" t="s">
        <v>16773</v>
      </c>
      <c r="K60" s="5">
        <v>11</v>
      </c>
    </row>
    <row r="61" spans="1:11" x14ac:dyDescent="0.25">
      <c r="A61" s="8" t="s">
        <v>15</v>
      </c>
      <c r="B61" t="str">
        <f>VLOOKUP(Tabla6[[#This Row],[Protein_name]],raw!$A$2:$F$5391,6,FALSE)</f>
        <v>T4</v>
      </c>
      <c r="C61" t="str">
        <f>VLOOKUP(Tabla6[[#This Row],[Protein_name]],raw!$A$2:$F$5391,4,FALSE)</f>
        <v>Q8WXX7, P67870, P19784, Q3KNV8, Q8IY57, Q99496</v>
      </c>
      <c r="D61" t="str">
        <f>VLOOKUP(Tabla6[[#This Row],[Protein_name]],raw!$A$2:$F$5391,2,FALSE)</f>
        <v>autism susceptibility gene 2 protein</v>
      </c>
      <c r="E61" t="str">
        <f>VLOOKUP(Tabla6[[#This Row],[Protein_name]],raw!$A$2:$F$5391,5,FALSE)</f>
        <v>PROTEIN COMPLEX</v>
      </c>
      <c r="F61" t="str">
        <f>VLOOKUP(Tabla6[[#This Row],[Protein_name]],raw!$A$2:$F$5391,3,FALSE)</f>
        <v>AUTS2,CSNK2B,CSNK2A2,,PCGF3,YAF2</v>
      </c>
      <c r="G61">
        <f>VLOOKUP(Tabla6[[#This Row],[Protein_name]],T4_metrics!$A$2:$G$693,4,FALSE)</f>
        <v>106.1870000000001</v>
      </c>
      <c r="H61">
        <f>VLOOKUP(Tabla6[[#This Row],[Protein_name]],T4_metrics!$A$2:$G$693,5,FALSE)</f>
        <v>52.12800000000005</v>
      </c>
      <c r="I61" s="5">
        <f>VLOOKUP(Tabla6[[#This Row],[Protein_name]],T4_metrics!$A$2:$G$693,6,FALSE)</f>
        <v>1.0316846578304071</v>
      </c>
      <c r="J61" t="s">
        <v>16773</v>
      </c>
      <c r="K61" s="9">
        <v>11</v>
      </c>
    </row>
    <row r="62" spans="1:11" x14ac:dyDescent="0.25">
      <c r="A62" s="4" t="s">
        <v>70</v>
      </c>
      <c r="B62" t="str">
        <f>VLOOKUP(Tabla6[[#This Row],[Protein_name]],raw!$A$2:$F$5391,6,FALSE)</f>
        <v>T4</v>
      </c>
      <c r="C62" t="str">
        <f>VLOOKUP(Tabla6[[#This Row],[Protein_name]],raw!$A$2:$F$5391,4,FALSE)</f>
        <v>P04066</v>
      </c>
      <c r="D62" t="str">
        <f>VLOOKUP(Tabla6[[#This Row],[Protein_name]],raw!$A$2:$F$5391,2,FALSE)</f>
        <v>tissue alpha-l-fucosidase (ec 3.2.1.51) (alpha-l-fucosidase i) (alpha-l-fucoside fucohydrolase 1) (alpha-l-fucosidase 1)</v>
      </c>
      <c r="E62" t="str">
        <f>VLOOKUP(Tabla6[[#This Row],[Protein_name]],raw!$A$2:$F$5391,5,FALSE)</f>
        <v>SINGLE PROTEIN</v>
      </c>
      <c r="F62">
        <f>VLOOKUP(Tabla6[[#This Row],[Protein_name]],raw!$A$2:$F$5391,3,FALSE)</f>
        <v>0</v>
      </c>
      <c r="G62">
        <f>VLOOKUP(Tabla6[[#This Row],[Protein_name]],T4_metrics!$A$2:$G$693,4,FALSE)</f>
        <v>6.7789999999999999</v>
      </c>
      <c r="H62">
        <f>VLOOKUP(Tabla6[[#This Row],[Protein_name]],T4_metrics!$A$2:$G$693,5,FALSE)</f>
        <v>1.5980000000000001</v>
      </c>
      <c r="I62" s="5">
        <f>VLOOKUP(Tabla6[[#This Row],[Protein_name]],T4_metrics!$A$2:$G$693,6,FALSE)</f>
        <v>0.74878414882734801</v>
      </c>
      <c r="J62" t="s">
        <v>16774</v>
      </c>
      <c r="K62" s="5">
        <v>0</v>
      </c>
    </row>
    <row r="63" spans="1:11" x14ac:dyDescent="0.25">
      <c r="A63" s="6" t="s">
        <v>116</v>
      </c>
      <c r="B63" t="str">
        <f>VLOOKUP(Tabla6[[#This Row],[Protein_name]],raw!$A$2:$F$5391,6,FALSE)</f>
        <v>T4</v>
      </c>
      <c r="C63" t="str">
        <f>VLOOKUP(Tabla6[[#This Row],[Protein_name]],raw!$A$2:$F$5391,4,FALSE)</f>
        <v>P22304</v>
      </c>
      <c r="D63" t="str">
        <f>VLOOKUP(Tabla6[[#This Row],[Protein_name]],raw!$A$2:$F$5391,2,FALSE)</f>
        <v>iduronate 2-sulfatase (ec 3.1.6.13) (alpha-l-iduronate sulfate sulfatase) (idursulfase) [cleaved into: iduronate 2-sulfatase 42 kda chain; iduronate 2-sulfatase 14 kda chain]</v>
      </c>
      <c r="E63" t="str">
        <f>VLOOKUP(Tabla6[[#This Row],[Protein_name]],raw!$A$2:$F$5391,5,FALSE)</f>
        <v>SINGLE PROTEIN</v>
      </c>
      <c r="F63">
        <f>VLOOKUP(Tabla6[[#This Row],[Protein_name]],raw!$A$2:$F$5391,3,FALSE)</f>
        <v>0</v>
      </c>
      <c r="G63">
        <f>VLOOKUP(Tabla6[[#This Row],[Protein_name]],T4_metrics!$A$2:$G$693,4,FALSE)</f>
        <v>5.455000000000001</v>
      </c>
      <c r="H63">
        <f>VLOOKUP(Tabla6[[#This Row],[Protein_name]],T4_metrics!$A$2:$G$693,5,FALSE)</f>
        <v>1.1579999999999999</v>
      </c>
      <c r="I63" s="5">
        <f>VLOOKUP(Tabla6[[#This Row],[Protein_name]],T4_metrics!$A$2:$G$693,6,FALSE)</f>
        <v>0.61762782627733037</v>
      </c>
      <c r="J63" t="s">
        <v>16774</v>
      </c>
      <c r="K63" s="7">
        <v>0</v>
      </c>
    </row>
    <row r="64" spans="1:11" x14ac:dyDescent="0.25">
      <c r="A64" s="4" t="s">
        <v>117</v>
      </c>
      <c r="B64" t="str">
        <f>VLOOKUP(Tabla6[[#This Row],[Protein_name]],raw!$A$2:$F$5391,6,FALSE)</f>
        <v>T4</v>
      </c>
      <c r="C64" t="str">
        <f>VLOOKUP(Tabla6[[#This Row],[Protein_name]],raw!$A$2:$F$5391,4,FALSE)</f>
        <v>P15848</v>
      </c>
      <c r="D64" t="str">
        <f>VLOOKUP(Tabla6[[#This Row],[Protein_name]],raw!$A$2:$F$5391,2,FALSE)</f>
        <v>arylsulfatase b (asb) (ec 3.1.6.12) (n-acetylgalactosamine-4-sulfatase) (g4s)</v>
      </c>
      <c r="E64" t="str">
        <f>VLOOKUP(Tabla6[[#This Row],[Protein_name]],raw!$A$2:$F$5391,5,FALSE)</f>
        <v>SINGLE PROTEIN</v>
      </c>
      <c r="F64">
        <f>VLOOKUP(Tabla6[[#This Row],[Protein_name]],raw!$A$2:$F$5391,3,FALSE)</f>
        <v>0</v>
      </c>
      <c r="G64">
        <f>VLOOKUP(Tabla6[[#This Row],[Protein_name]],T4_metrics!$A$2:$G$693,4,FALSE)</f>
        <v>6.4720000000000004</v>
      </c>
      <c r="H64">
        <f>VLOOKUP(Tabla6[[#This Row],[Protein_name]],T4_metrics!$A$2:$G$693,5,FALSE)</f>
        <v>1.0309999999999999</v>
      </c>
      <c r="I64" s="5">
        <f>VLOOKUP(Tabla6[[#This Row],[Protein_name]],T4_metrics!$A$2:$G$693,6,FALSE)</f>
        <v>0.66570233150567237</v>
      </c>
      <c r="J64" t="s">
        <v>16774</v>
      </c>
      <c r="K64" s="5">
        <v>0</v>
      </c>
    </row>
    <row r="65" spans="1:11" x14ac:dyDescent="0.25">
      <c r="A65" s="6" t="s">
        <v>118</v>
      </c>
      <c r="B65" t="str">
        <f>VLOOKUP(Tabla6[[#This Row],[Protein_name]],raw!$A$2:$F$5391,6,FALSE)</f>
        <v>T4</v>
      </c>
      <c r="C65" t="str">
        <f>VLOOKUP(Tabla6[[#This Row],[Protein_name]],raw!$A$2:$F$5391,4,FALSE)</f>
        <v>Q00973</v>
      </c>
      <c r="D65" t="str">
        <f>VLOOKUP(Tabla6[[#This Row],[Protein_name]],raw!$A$2:$F$5391,2,FALSE)</f>
        <v>beta-1,4 n-acetylgalactosaminyltransferase 1 (ec 2.4.1.92) ((n-acetylneuraminyl)-galactosylglucosylceramide) (gm2/gd2 synthase) (galnac-t)</v>
      </c>
      <c r="E65" t="str">
        <f>VLOOKUP(Tabla6[[#This Row],[Protein_name]],raw!$A$2:$F$5391,5,FALSE)</f>
        <v>SINGLE PROTEIN</v>
      </c>
      <c r="F65">
        <f>VLOOKUP(Tabla6[[#This Row],[Protein_name]],raw!$A$2:$F$5391,3,FALSE)</f>
        <v>0</v>
      </c>
      <c r="G65">
        <f>VLOOKUP(Tabla6[[#This Row],[Protein_name]],T4_metrics!$A$2:$G$693,4,FALSE)</f>
        <v>4.6579999999999986</v>
      </c>
      <c r="H65">
        <f>VLOOKUP(Tabla6[[#This Row],[Protein_name]],T4_metrics!$A$2:$G$693,5,FALSE)</f>
        <v>0.871</v>
      </c>
      <c r="I65" s="5">
        <f>VLOOKUP(Tabla6[[#This Row],[Protein_name]],T4_metrics!$A$2:$G$693,6,FALSE)</f>
        <v>0.58803009675050055</v>
      </c>
      <c r="J65" t="s">
        <v>16774</v>
      </c>
      <c r="K65" s="7">
        <v>0</v>
      </c>
    </row>
    <row r="66" spans="1:11" x14ac:dyDescent="0.25">
      <c r="A66" s="4" t="s">
        <v>119</v>
      </c>
      <c r="B66" t="str">
        <f>VLOOKUP(Tabla6[[#This Row],[Protein_name]],raw!$A$2:$F$5391,6,FALSE)</f>
        <v>T4</v>
      </c>
      <c r="C66" t="str">
        <f>VLOOKUP(Tabla6[[#This Row],[Protein_name]],raw!$A$2:$F$5391,4,FALSE)</f>
        <v>P51688</v>
      </c>
      <c r="D66" t="str">
        <f>VLOOKUP(Tabla6[[#This Row],[Protein_name]],raw!$A$2:$F$5391,2,FALSE)</f>
        <v>n-sulphoglucosamine sulphohydrolase (ec 3.10.1.1) (sulfoglucosamine sulfamidase) (sulphamidase)</v>
      </c>
      <c r="E66" t="str">
        <f>VLOOKUP(Tabla6[[#This Row],[Protein_name]],raw!$A$2:$F$5391,5,FALSE)</f>
        <v>SINGLE PROTEIN</v>
      </c>
      <c r="F66">
        <f>VLOOKUP(Tabla6[[#This Row],[Protein_name]],raw!$A$2:$F$5391,3,FALSE)</f>
        <v>0</v>
      </c>
      <c r="G66">
        <f>VLOOKUP(Tabla6[[#This Row],[Protein_name]],T4_metrics!$A$2:$G$693,4,FALSE)</f>
        <v>8.0580000000000016</v>
      </c>
      <c r="H66">
        <f>VLOOKUP(Tabla6[[#This Row],[Protein_name]],T4_metrics!$A$2:$G$693,5,FALSE)</f>
        <v>0.46300000000000002</v>
      </c>
      <c r="I66" s="5">
        <f>VLOOKUP(Tabla6[[#This Row],[Protein_name]],T4_metrics!$A$2:$G$693,6,FALSE)</f>
        <v>0.62550477578495001</v>
      </c>
      <c r="J66" t="s">
        <v>16774</v>
      </c>
      <c r="K66" s="5">
        <v>0</v>
      </c>
    </row>
    <row r="67" spans="1:11" x14ac:dyDescent="0.25">
      <c r="A67" s="6" t="s">
        <v>50</v>
      </c>
      <c r="B67" t="str">
        <f>VLOOKUP(Tabla6[[#This Row],[Protein_name]],raw!$A$2:$F$5391,6,FALSE)</f>
        <v>T4</v>
      </c>
      <c r="C67" t="str">
        <f>VLOOKUP(Tabla6[[#This Row],[Protein_name]],raw!$A$2:$F$5391,4,FALSE)</f>
        <v>P00740, P00740</v>
      </c>
      <c r="D67" t="str">
        <f>VLOOKUP(Tabla6[[#This Row],[Protein_name]],raw!$A$2:$F$5391,2,FALSE)</f>
        <v>coagulation factor ix (ec 3.4.21.22) (christmas factor) (plasma thromboplastin component) (ptc) [cleaved into: coagulation factor ixa light chain; coagulation factor ixa heavy chain]</v>
      </c>
      <c r="E67" t="str">
        <f>VLOOKUP(Tabla6[[#This Row],[Protein_name]],raw!$A$2:$F$5391,5,FALSE)</f>
        <v>PROTEIN COMPLEX</v>
      </c>
      <c r="F67" t="str">
        <f>VLOOKUP(Tabla6[[#This Row],[Protein_name]],raw!$A$2:$F$5391,3,FALSE)</f>
        <v>P00740-PRO_0000027757,P00740-PRO_0000027759</v>
      </c>
      <c r="G67">
        <f>VLOOKUP(Tabla6[[#This Row],[Protein_name]],T4_metrics!$A$2:$G$693,4,FALSE)</f>
        <v>19.111000000000001</v>
      </c>
      <c r="H67">
        <f>VLOOKUP(Tabla6[[#This Row],[Protein_name]],T4_metrics!$A$2:$G$693,5,FALSE)</f>
        <v>4.1260000000000003</v>
      </c>
      <c r="I67" s="5">
        <f>VLOOKUP(Tabla6[[#This Row],[Protein_name]],T4_metrics!$A$2:$G$693,6,FALSE)</f>
        <v>1.3763837713861911</v>
      </c>
      <c r="J67" t="s">
        <v>16774</v>
      </c>
      <c r="K67" s="7">
        <v>1</v>
      </c>
    </row>
    <row r="68" spans="1:11" x14ac:dyDescent="0.25">
      <c r="A68" s="4" t="s">
        <v>102</v>
      </c>
      <c r="B68" t="str">
        <f>VLOOKUP(Tabla6[[#This Row],[Protein_name]],raw!$A$2:$F$5391,6,FALSE)</f>
        <v>T4</v>
      </c>
      <c r="C68" t="str">
        <f>VLOOKUP(Tabla6[[#This Row],[Protein_name]],raw!$A$2:$F$5391,4,FALSE)</f>
        <v>P07204, P00734, P00734</v>
      </c>
      <c r="D68" t="str">
        <f>VLOOKUP(Tabla6[[#This Row],[Protein_name]],raw!$A$2:$F$5391,2,FALSE)</f>
        <v>thrombomodulin (tm) (fetomodulin) (cd antigen cd141)</v>
      </c>
      <c r="E68" t="str">
        <f>VLOOKUP(Tabla6[[#This Row],[Protein_name]],raw!$A$2:$F$5391,5,FALSE)</f>
        <v>PROTEIN COMPLEX</v>
      </c>
      <c r="F68" t="str">
        <f>VLOOKUP(Tabla6[[#This Row],[Protein_name]],raw!$A$2:$F$5391,3,FALSE)</f>
        <v>THBD,P00734-PRO_0000028164,P00734-PRO_0000028163</v>
      </c>
      <c r="G68">
        <f>VLOOKUP(Tabla6[[#This Row],[Protein_name]],T4_metrics!$A$2:$G$693,4,FALSE)</f>
        <v>23.045000000000002</v>
      </c>
      <c r="H68">
        <f>VLOOKUP(Tabla6[[#This Row],[Protein_name]],T4_metrics!$A$2:$G$693,5,FALSE)</f>
        <v>4.0859999999999994</v>
      </c>
      <c r="I68" s="5">
        <f>VLOOKUP(Tabla6[[#This Row],[Protein_name]],T4_metrics!$A$2:$G$693,6,FALSE)</f>
        <v>0.73940278070997423</v>
      </c>
      <c r="J68" t="s">
        <v>16774</v>
      </c>
      <c r="K68" s="5">
        <v>1</v>
      </c>
    </row>
    <row r="69" spans="1:11" x14ac:dyDescent="0.25">
      <c r="A69" s="6" t="s">
        <v>103</v>
      </c>
      <c r="B69" t="str">
        <f>VLOOKUP(Tabla6[[#This Row],[Protein_name]],raw!$A$2:$F$5391,6,FALSE)</f>
        <v>T4</v>
      </c>
      <c r="C69" t="str">
        <f>VLOOKUP(Tabla6[[#This Row],[Protein_name]],raw!$A$2:$F$5391,4,FALSE)</f>
        <v>Q76LX8</v>
      </c>
      <c r="D69" t="str">
        <f>VLOOKUP(Tabla6[[#This Row],[Protein_name]],raw!$A$2:$F$5391,2,FALSE)</f>
        <v>a disintegrin and metalloproteinase with thrombospondin motifs 13 (adam-ts 13) (adam-ts13) (adamts-13) (ec 3.4.24.87) (von willebrand factor-cleaving protease) (vwf-cp) (vwf-cleaving protease)</v>
      </c>
      <c r="E69" t="str">
        <f>VLOOKUP(Tabla6[[#This Row],[Protein_name]],raw!$A$2:$F$5391,5,FALSE)</f>
        <v>SINGLE PROTEIN</v>
      </c>
      <c r="F69">
        <f>VLOOKUP(Tabla6[[#This Row],[Protein_name]],raw!$A$2:$F$5391,3,FALSE)</f>
        <v>0</v>
      </c>
      <c r="G69">
        <f>VLOOKUP(Tabla6[[#This Row],[Protein_name]],T4_metrics!$A$2:$G$693,4,FALSE)</f>
        <v>11.72</v>
      </c>
      <c r="H69">
        <f>VLOOKUP(Tabla6[[#This Row],[Protein_name]],T4_metrics!$A$2:$G$693,5,FALSE)</f>
        <v>2.9489999999999998</v>
      </c>
      <c r="I69" s="5">
        <f>VLOOKUP(Tabla6[[#This Row],[Protein_name]],T4_metrics!$A$2:$G$693,6,FALSE)</f>
        <v>0.73236360053131022</v>
      </c>
      <c r="J69" t="s">
        <v>16774</v>
      </c>
      <c r="K69" s="7">
        <v>1</v>
      </c>
    </row>
    <row r="70" spans="1:11" x14ac:dyDescent="0.25">
      <c r="A70" s="4" t="s">
        <v>104</v>
      </c>
      <c r="B70" t="str">
        <f>VLOOKUP(Tabla6[[#This Row],[Protein_name]],raw!$A$2:$F$5391,6,FALSE)</f>
        <v>T4</v>
      </c>
      <c r="C70" t="str">
        <f>VLOOKUP(Tabla6[[#This Row],[Protein_name]],raw!$A$2:$F$5391,4,FALSE)</f>
        <v>P05155</v>
      </c>
      <c r="D70" t="str">
        <f>VLOOKUP(Tabla6[[#This Row],[Protein_name]],raw!$A$2:$F$5391,2,FALSE)</f>
        <v>plasma protease c1 inhibitor (c1 inh) (c1inh) (c1 esterase inhibitor) (c1-inhibiting factor) (serpin g1)</v>
      </c>
      <c r="E70" t="str">
        <f>VLOOKUP(Tabla6[[#This Row],[Protein_name]],raw!$A$2:$F$5391,5,FALSE)</f>
        <v>SINGLE PROTEIN</v>
      </c>
      <c r="F70">
        <f>VLOOKUP(Tabla6[[#This Row],[Protein_name]],raw!$A$2:$F$5391,3,FALSE)</f>
        <v>0</v>
      </c>
      <c r="G70">
        <f>VLOOKUP(Tabla6[[#This Row],[Protein_name]],T4_metrics!$A$2:$G$693,4,FALSE)</f>
        <v>25.391999999999999</v>
      </c>
      <c r="H70">
        <f>VLOOKUP(Tabla6[[#This Row],[Protein_name]],T4_metrics!$A$2:$G$693,5,FALSE)</f>
        <v>1.8740000000000001</v>
      </c>
      <c r="I70" s="5">
        <f>VLOOKUP(Tabla6[[#This Row],[Protein_name]],T4_metrics!$A$2:$G$693,6,FALSE)</f>
        <v>0.69839121166716656</v>
      </c>
      <c r="J70" t="s">
        <v>16774</v>
      </c>
      <c r="K70" s="5">
        <v>1</v>
      </c>
    </row>
    <row r="71" spans="1:11" x14ac:dyDescent="0.25">
      <c r="A71" s="6" t="s">
        <v>105</v>
      </c>
      <c r="B71" t="str">
        <f>VLOOKUP(Tabla6[[#This Row],[Protein_name]],raw!$A$2:$F$5391,6,FALSE)</f>
        <v>T4</v>
      </c>
      <c r="C71" t="str">
        <f>VLOOKUP(Tabla6[[#This Row],[Protein_name]],raw!$A$2:$F$5391,4,FALSE)</f>
        <v>P27918, P00751, P01024, P01024</v>
      </c>
      <c r="D71" t="str">
        <f>VLOOKUP(Tabla6[[#This Row],[Protein_name]],raw!$A$2:$F$5391,2,FALSE)</f>
        <v>properdin (complement factor p)</v>
      </c>
      <c r="E71" t="str">
        <f>VLOOKUP(Tabla6[[#This Row],[Protein_name]],raw!$A$2:$F$5391,5,FALSE)</f>
        <v>PROTEIN COMPLEX</v>
      </c>
      <c r="F71" t="str">
        <f>VLOOKUP(Tabla6[[#This Row],[Protein_name]],raw!$A$2:$F$5391,3,FALSE)</f>
        <v>CFP,P00751-PRO_0000027547,P01024-PRO_0000005908,P01024-PRO_0000005911</v>
      </c>
      <c r="G71">
        <f>VLOOKUP(Tabla6[[#This Row],[Protein_name]],T4_metrics!$A$2:$G$693,4,FALSE)</f>
        <v>18.515000000000011</v>
      </c>
      <c r="H71">
        <f>VLOOKUP(Tabla6[[#This Row],[Protein_name]],T4_metrics!$A$2:$G$693,5,FALSE)</f>
        <v>1.6180000000000001</v>
      </c>
      <c r="I71" s="5">
        <f>VLOOKUP(Tabla6[[#This Row],[Protein_name]],T4_metrics!$A$2:$G$693,6,FALSE)</f>
        <v>0.67937316892282329</v>
      </c>
      <c r="J71" t="s">
        <v>16774</v>
      </c>
      <c r="K71" s="7">
        <v>1</v>
      </c>
    </row>
    <row r="72" spans="1:11" x14ac:dyDescent="0.25">
      <c r="A72" s="4" t="s">
        <v>93</v>
      </c>
      <c r="B72" t="str">
        <f>VLOOKUP(Tabla6[[#This Row],[Protein_name]],raw!$A$2:$F$5391,6,FALSE)</f>
        <v>T4</v>
      </c>
      <c r="C72" t="str">
        <f>VLOOKUP(Tabla6[[#This Row],[Protein_name]],raw!$A$2:$F$5391,4,FALSE)</f>
        <v>Q16518</v>
      </c>
      <c r="D72" t="str">
        <f>VLOOKUP(Tabla6[[#This Row],[Protein_name]],raw!$A$2:$F$5391,2,FALSE)</f>
        <v>retinoid isomerohydrolase (ec 3.1.1.64) (all-trans-retinyl-palmitate hydrolase) (lutein isomerase) (meso-zeaxanthin isomerase) (ec 5.3.3.22) (retinal pigment epithelium-specific 65 kda protein) (retinol isomerase)</v>
      </c>
      <c r="E72" t="str">
        <f>VLOOKUP(Tabla6[[#This Row],[Protein_name]],raw!$A$2:$F$5391,5,FALSE)</f>
        <v>SINGLE PROTEIN</v>
      </c>
      <c r="F72">
        <f>VLOOKUP(Tabla6[[#This Row],[Protein_name]],raw!$A$2:$F$5391,3,FALSE)</f>
        <v>0</v>
      </c>
      <c r="G72">
        <f>VLOOKUP(Tabla6[[#This Row],[Protein_name]],T4_metrics!$A$2:$G$693,4,FALSE)</f>
        <v>37.171999999999997</v>
      </c>
      <c r="H72">
        <f>VLOOKUP(Tabla6[[#This Row],[Protein_name]],T4_metrics!$A$2:$G$693,5,FALSE)</f>
        <v>17.32</v>
      </c>
      <c r="I72" s="5">
        <f>VLOOKUP(Tabla6[[#This Row],[Protein_name]],T4_metrics!$A$2:$G$693,6,FALSE)</f>
        <v>0.63957544506817621</v>
      </c>
      <c r="J72" t="s">
        <v>16774</v>
      </c>
      <c r="K72" s="5">
        <v>2</v>
      </c>
    </row>
    <row r="73" spans="1:11" x14ac:dyDescent="0.25">
      <c r="A73" s="6" t="s">
        <v>94</v>
      </c>
      <c r="B73" t="str">
        <f>VLOOKUP(Tabla6[[#This Row],[Protein_name]],raw!$A$2:$F$5391,6,FALSE)</f>
        <v>T4</v>
      </c>
      <c r="C73" t="str">
        <f>VLOOKUP(Tabla6[[#This Row],[Protein_name]],raw!$A$2:$F$5391,4,FALSE)</f>
        <v>Q14028</v>
      </c>
      <c r="D73" t="str">
        <f>VLOOKUP(Tabla6[[#This Row],[Protein_name]],raw!$A$2:$F$5391,2,FALSE)</f>
        <v>cyclic nucleotide-gated channel beta-1 (cng channel beta-1) (cyclic nucleotide-gated cation channel 4) (cng channel 4) (cng-4) (cng4) (cyclic nucleotide-gated cation channel gamma) (cyclic nucleotide-gated cation channel modulatory subunit) (glutamic acid-rich protein) (garp)</v>
      </c>
      <c r="E73" t="str">
        <f>VLOOKUP(Tabla6[[#This Row],[Protein_name]],raw!$A$2:$F$5391,5,FALSE)</f>
        <v>SINGLE PROTEIN</v>
      </c>
      <c r="F73">
        <f>VLOOKUP(Tabla6[[#This Row],[Protein_name]],raw!$A$2:$F$5391,3,FALSE)</f>
        <v>0</v>
      </c>
      <c r="G73">
        <f>VLOOKUP(Tabla6[[#This Row],[Protein_name]],T4_metrics!$A$2:$G$693,4,FALSE)</f>
        <v>34.89</v>
      </c>
      <c r="H73">
        <f>VLOOKUP(Tabla6[[#This Row],[Protein_name]],T4_metrics!$A$2:$G$693,5,FALSE)</f>
        <v>11.183999999999999</v>
      </c>
      <c r="I73" s="5">
        <f>VLOOKUP(Tabla6[[#This Row],[Protein_name]],T4_metrics!$A$2:$G$693,6,FALSE)</f>
        <v>0.68447920682451668</v>
      </c>
      <c r="J73" t="s">
        <v>16774</v>
      </c>
      <c r="K73" s="7">
        <v>2</v>
      </c>
    </row>
    <row r="74" spans="1:11" x14ac:dyDescent="0.25">
      <c r="A74" s="4" t="s">
        <v>95</v>
      </c>
      <c r="B74" t="str">
        <f>VLOOKUP(Tabla6[[#This Row],[Protein_name]],raw!$A$2:$F$5391,6,FALSE)</f>
        <v>T4</v>
      </c>
      <c r="C74" t="str">
        <f>VLOOKUP(Tabla6[[#This Row],[Protein_name]],raw!$A$2:$F$5391,4,FALSE)</f>
        <v>P29973</v>
      </c>
      <c r="D74" t="str">
        <f>VLOOKUP(Tabla6[[#This Row],[Protein_name]],raw!$A$2:$F$5391,2,FALSE)</f>
        <v>cyclic nucleotide-gated channel alpha-1 (cng channel alpha-1) (cng-1) (cng1) (cyclic nucleotide-gated channel, photoreceptor) (rod photoreceptor cgmp-gated cation channel subunit alpha) (cgmp-gated cation channel alpha-1)</v>
      </c>
      <c r="E74" t="str">
        <f>VLOOKUP(Tabla6[[#This Row],[Protein_name]],raw!$A$2:$F$5391,5,FALSE)</f>
        <v>SINGLE PROTEIN</v>
      </c>
      <c r="F74">
        <f>VLOOKUP(Tabla6[[#This Row],[Protein_name]],raw!$A$2:$F$5391,3,FALSE)</f>
        <v>0</v>
      </c>
      <c r="G74">
        <f>VLOOKUP(Tabla6[[#This Row],[Protein_name]],T4_metrics!$A$2:$G$693,4,FALSE)</f>
        <v>32.094999999999999</v>
      </c>
      <c r="H74">
        <f>VLOOKUP(Tabla6[[#This Row],[Protein_name]],T4_metrics!$A$2:$G$693,5,FALSE)</f>
        <v>8.7920000000000016</v>
      </c>
      <c r="I74" s="5">
        <f>VLOOKUP(Tabla6[[#This Row],[Protein_name]],T4_metrics!$A$2:$G$693,6,FALSE)</f>
        <v>0.69957803200311708</v>
      </c>
      <c r="J74" t="s">
        <v>16774</v>
      </c>
      <c r="K74" s="5">
        <v>2</v>
      </c>
    </row>
    <row r="75" spans="1:11" x14ac:dyDescent="0.25">
      <c r="A75" s="6" t="s">
        <v>96</v>
      </c>
      <c r="B75" t="str">
        <f>VLOOKUP(Tabla6[[#This Row],[Protein_name]],raw!$A$2:$F$5391,6,FALSE)</f>
        <v>T4</v>
      </c>
      <c r="C75" t="str">
        <f>VLOOKUP(Tabla6[[#This Row],[Protein_name]],raw!$A$2:$F$5391,4,FALSE)</f>
        <v>P11488</v>
      </c>
      <c r="D75" t="str">
        <f>VLOOKUP(Tabla6[[#This Row],[Protein_name]],raw!$A$2:$F$5391,2,FALSE)</f>
        <v>guanine nucleotide-binding protein g(t) subunit alpha-1 (transducin alpha-1 chain)</v>
      </c>
      <c r="E75" t="str">
        <f>VLOOKUP(Tabla6[[#This Row],[Protein_name]],raw!$A$2:$F$5391,5,FALSE)</f>
        <v>SINGLE PROTEIN</v>
      </c>
      <c r="F75">
        <f>VLOOKUP(Tabla6[[#This Row],[Protein_name]],raw!$A$2:$F$5391,3,FALSE)</f>
        <v>0</v>
      </c>
      <c r="G75">
        <f>VLOOKUP(Tabla6[[#This Row],[Protein_name]],T4_metrics!$A$2:$G$693,4,FALSE)</f>
        <v>22.605</v>
      </c>
      <c r="H75">
        <f>VLOOKUP(Tabla6[[#This Row],[Protein_name]],T4_metrics!$A$2:$G$693,5,FALSE)</f>
        <v>8.5129999999999999</v>
      </c>
      <c r="I75" s="5">
        <f>VLOOKUP(Tabla6[[#This Row],[Protein_name]],T4_metrics!$A$2:$G$693,6,FALSE)</f>
        <v>0.56309920158137683</v>
      </c>
      <c r="J75" t="s">
        <v>16774</v>
      </c>
      <c r="K75" s="7">
        <v>2</v>
      </c>
    </row>
    <row r="76" spans="1:11" x14ac:dyDescent="0.25">
      <c r="A76" s="4" t="s">
        <v>97</v>
      </c>
      <c r="B76" t="str">
        <f>VLOOKUP(Tabla6[[#This Row],[Protein_name]],raw!$A$2:$F$5391,6,FALSE)</f>
        <v>T4</v>
      </c>
      <c r="C76" t="str">
        <f>VLOOKUP(Tabla6[[#This Row],[Protein_name]],raw!$A$2:$F$5391,4,FALSE)</f>
        <v>O14926</v>
      </c>
      <c r="D76" t="str">
        <f>VLOOKUP(Tabla6[[#This Row],[Protein_name]],raw!$A$2:$F$5391,2,FALSE)</f>
        <v>fascin-2 (retinal fascin)</v>
      </c>
      <c r="E76" t="str">
        <f>VLOOKUP(Tabla6[[#This Row],[Protein_name]],raw!$A$2:$F$5391,5,FALSE)</f>
        <v>SINGLE PROTEIN</v>
      </c>
      <c r="F76">
        <f>VLOOKUP(Tabla6[[#This Row],[Protein_name]],raw!$A$2:$F$5391,3,FALSE)</f>
        <v>0</v>
      </c>
      <c r="G76">
        <f>VLOOKUP(Tabla6[[#This Row],[Protein_name]],T4_metrics!$A$2:$G$693,4,FALSE)</f>
        <v>24.268999999999998</v>
      </c>
      <c r="H76">
        <f>VLOOKUP(Tabla6[[#This Row],[Protein_name]],T4_metrics!$A$2:$G$693,5,FALSE)</f>
        <v>7.8819999999999988</v>
      </c>
      <c r="I76" s="5">
        <f>VLOOKUP(Tabla6[[#This Row],[Protein_name]],T4_metrics!$A$2:$G$693,6,FALSE)</f>
        <v>0.62813121935358984</v>
      </c>
      <c r="J76" t="s">
        <v>16774</v>
      </c>
      <c r="K76" s="5">
        <v>2</v>
      </c>
    </row>
    <row r="77" spans="1:11" x14ac:dyDescent="0.25">
      <c r="A77" s="6" t="s">
        <v>112</v>
      </c>
      <c r="B77" t="str">
        <f>VLOOKUP(Tabla6[[#This Row],[Protein_name]],raw!$A$2:$F$5391,6,FALSE)</f>
        <v>T4</v>
      </c>
      <c r="C77" t="str">
        <f>VLOOKUP(Tabla6[[#This Row],[Protein_name]],raw!$A$2:$F$5391,4,FALSE)</f>
        <v>P29033</v>
      </c>
      <c r="D77" t="str">
        <f>VLOOKUP(Tabla6[[#This Row],[Protein_name]],raw!$A$2:$F$5391,2,FALSE)</f>
        <v>gap junction beta-2 protein (connexin-26) (cx26)</v>
      </c>
      <c r="E77" t="str">
        <f>VLOOKUP(Tabla6[[#This Row],[Protein_name]],raw!$A$2:$F$5391,5,FALSE)</f>
        <v>SINGLE PROTEIN</v>
      </c>
      <c r="F77">
        <f>VLOOKUP(Tabla6[[#This Row],[Protein_name]],raw!$A$2:$F$5391,3,FALSE)</f>
        <v>0</v>
      </c>
      <c r="G77">
        <f>VLOOKUP(Tabla6[[#This Row],[Protein_name]],T4_metrics!$A$2:$G$693,4,FALSE)</f>
        <v>16.024999999999999</v>
      </c>
      <c r="H77">
        <f>VLOOKUP(Tabla6[[#This Row],[Protein_name]],T4_metrics!$A$2:$G$693,5,FALSE)</f>
        <v>2.9569999999999999</v>
      </c>
      <c r="I77" s="5">
        <f>VLOOKUP(Tabla6[[#This Row],[Protein_name]],T4_metrics!$A$2:$G$693,6,FALSE)</f>
        <v>0.53921383374122056</v>
      </c>
      <c r="J77" t="s">
        <v>16774</v>
      </c>
      <c r="K77" s="7">
        <v>3</v>
      </c>
    </row>
    <row r="78" spans="1:11" x14ac:dyDescent="0.25">
      <c r="A78" s="4" t="s">
        <v>113</v>
      </c>
      <c r="B78" t="str">
        <f>VLOOKUP(Tabla6[[#This Row],[Protein_name]],raw!$A$2:$F$5391,6,FALSE)</f>
        <v>T4</v>
      </c>
      <c r="C78" t="str">
        <f>VLOOKUP(Tabla6[[#This Row],[Protein_name]],raw!$A$2:$F$5391,4,FALSE)</f>
        <v>Q4KMQ1</v>
      </c>
      <c r="D78" t="str">
        <f>VLOOKUP(Tabla6[[#This Row],[Protein_name]],raw!$A$2:$F$5391,2,FALSE)</f>
        <v>taperin</v>
      </c>
      <c r="E78" t="str">
        <f>VLOOKUP(Tabla6[[#This Row],[Protein_name]],raw!$A$2:$F$5391,5,FALSE)</f>
        <v>SINGLE PROTEIN</v>
      </c>
      <c r="F78">
        <f>VLOOKUP(Tabla6[[#This Row],[Protein_name]],raw!$A$2:$F$5391,3,FALSE)</f>
        <v>0</v>
      </c>
      <c r="G78">
        <f>VLOOKUP(Tabla6[[#This Row],[Protein_name]],T4_metrics!$A$2:$G$693,4,FALSE)</f>
        <v>15.967000000000001</v>
      </c>
      <c r="H78">
        <f>VLOOKUP(Tabla6[[#This Row],[Protein_name]],T4_metrics!$A$2:$G$693,5,FALSE)</f>
        <v>2.5649999999999999</v>
      </c>
      <c r="I78" s="5">
        <f>VLOOKUP(Tabla6[[#This Row],[Protein_name]],T4_metrics!$A$2:$G$693,6,FALSE)</f>
        <v>0.52689171491897258</v>
      </c>
      <c r="J78" t="s">
        <v>16774</v>
      </c>
      <c r="K78" s="5">
        <v>3</v>
      </c>
    </row>
    <row r="79" spans="1:11" x14ac:dyDescent="0.25">
      <c r="A79" s="6" t="s">
        <v>114</v>
      </c>
      <c r="B79" t="str">
        <f>VLOOKUP(Tabla6[[#This Row],[Protein_name]],raw!$A$2:$F$5391,6,FALSE)</f>
        <v>T4</v>
      </c>
      <c r="C79" t="str">
        <f>VLOOKUP(Tabla6[[#This Row],[Protein_name]],raw!$A$2:$F$5391,4,FALSE)</f>
        <v>Q9HC10</v>
      </c>
      <c r="D79" t="str">
        <f>VLOOKUP(Tabla6[[#This Row],[Protein_name]],raw!$A$2:$F$5391,2,FALSE)</f>
        <v>otoferlin (fer-1-like protein 2)</v>
      </c>
      <c r="E79" t="str">
        <f>VLOOKUP(Tabla6[[#This Row],[Protein_name]],raw!$A$2:$F$5391,5,FALSE)</f>
        <v>SINGLE PROTEIN</v>
      </c>
      <c r="F79">
        <f>VLOOKUP(Tabla6[[#This Row],[Protein_name]],raw!$A$2:$F$5391,3,FALSE)</f>
        <v>0</v>
      </c>
      <c r="G79">
        <f>VLOOKUP(Tabla6[[#This Row],[Protein_name]],T4_metrics!$A$2:$G$693,4,FALSE)</f>
        <v>15.46</v>
      </c>
      <c r="H79">
        <f>VLOOKUP(Tabla6[[#This Row],[Protein_name]],T4_metrics!$A$2:$G$693,5,FALSE)</f>
        <v>2.54</v>
      </c>
      <c r="I79" s="5">
        <f>VLOOKUP(Tabla6[[#This Row],[Protein_name]],T4_metrics!$A$2:$G$693,6,FALSE)</f>
        <v>0.46449807997513309</v>
      </c>
      <c r="J79" t="s">
        <v>16774</v>
      </c>
      <c r="K79" s="7">
        <v>3</v>
      </c>
    </row>
    <row r="80" spans="1:11" x14ac:dyDescent="0.25">
      <c r="A80" s="4" t="s">
        <v>69</v>
      </c>
      <c r="B80" t="str">
        <f>VLOOKUP(Tabla6[[#This Row],[Protein_name]],raw!$A$2:$F$5391,6,FALSE)</f>
        <v>T4</v>
      </c>
      <c r="C80" t="str">
        <f>VLOOKUP(Tabla6[[#This Row],[Protein_name]],raw!$A$2:$F$5391,4,FALSE)</f>
        <v>Q9H2D6</v>
      </c>
      <c r="D80" t="str">
        <f>VLOOKUP(Tabla6[[#This Row],[Protein_name]],raw!$A$2:$F$5391,2,FALSE)</f>
        <v>trio and f-actin-binding protein (protein tara) (trf1-associated protein of 68 kda) (trio-associated repeat on actin)</v>
      </c>
      <c r="E80" t="str">
        <f>VLOOKUP(Tabla6[[#This Row],[Protein_name]],raw!$A$2:$F$5391,5,FALSE)</f>
        <v>SINGLE PROTEIN</v>
      </c>
      <c r="F80">
        <f>VLOOKUP(Tabla6[[#This Row],[Protein_name]],raw!$A$2:$F$5391,3,FALSE)</f>
        <v>0</v>
      </c>
      <c r="G80">
        <f>VLOOKUP(Tabla6[[#This Row],[Protein_name]],T4_metrics!$A$2:$G$693,4,FALSE)</f>
        <v>15.698</v>
      </c>
      <c r="H80">
        <f>VLOOKUP(Tabla6[[#This Row],[Protein_name]],T4_metrics!$A$2:$G$693,5,FALSE)</f>
        <v>2.4140000000000001</v>
      </c>
      <c r="I80" s="5">
        <f>VLOOKUP(Tabla6[[#This Row],[Protein_name]],T4_metrics!$A$2:$G$693,6,FALSE)</f>
        <v>0.57058331257138784</v>
      </c>
      <c r="J80" t="s">
        <v>16774</v>
      </c>
      <c r="K80" s="5">
        <v>3</v>
      </c>
    </row>
    <row r="81" spans="1:11" x14ac:dyDescent="0.25">
      <c r="A81" s="6" t="s">
        <v>115</v>
      </c>
      <c r="B81" t="str">
        <f>VLOOKUP(Tabla6[[#This Row],[Protein_name]],raw!$A$2:$F$5391,6,FALSE)</f>
        <v>T4</v>
      </c>
      <c r="C81" t="str">
        <f>VLOOKUP(Tabla6[[#This Row],[Protein_name]],raw!$A$2:$F$5391,4,FALSE)</f>
        <v>B1AK53</v>
      </c>
      <c r="D81" t="str">
        <f>VLOOKUP(Tabla6[[#This Row],[Protein_name]],raw!$A$2:$F$5391,2,FALSE)</f>
        <v>espin (autosomal recessive deafness type 36 protein) (ectoplasmic specialization protein)</v>
      </c>
      <c r="E81" t="str">
        <f>VLOOKUP(Tabla6[[#This Row],[Protein_name]],raw!$A$2:$F$5391,5,FALSE)</f>
        <v>SINGLE PROTEIN</v>
      </c>
      <c r="F81">
        <f>VLOOKUP(Tabla6[[#This Row],[Protein_name]],raw!$A$2:$F$5391,3,FALSE)</f>
        <v>0</v>
      </c>
      <c r="G81">
        <f>VLOOKUP(Tabla6[[#This Row],[Protein_name]],T4_metrics!$A$2:$G$693,4,FALSE)</f>
        <v>14.654999999999999</v>
      </c>
      <c r="H81">
        <f>VLOOKUP(Tabla6[[#This Row],[Protein_name]],T4_metrics!$A$2:$G$693,5,FALSE)</f>
        <v>2.3010000000000002</v>
      </c>
      <c r="I81" s="5">
        <f>VLOOKUP(Tabla6[[#This Row],[Protein_name]],T4_metrics!$A$2:$G$693,6,FALSE)</f>
        <v>0.51820913583111572</v>
      </c>
      <c r="J81" t="s">
        <v>16774</v>
      </c>
      <c r="K81" s="7">
        <v>3</v>
      </c>
    </row>
    <row r="82" spans="1:11" x14ac:dyDescent="0.25">
      <c r="A82" s="4" t="s">
        <v>109</v>
      </c>
      <c r="B82" t="str">
        <f>VLOOKUP(Tabla6[[#This Row],[Protein_name]],raw!$A$2:$F$5391,6,FALSE)</f>
        <v>T4</v>
      </c>
      <c r="C82" t="str">
        <f>VLOOKUP(Tabla6[[#This Row],[Protein_name]],raw!$A$2:$F$5391,4,FALSE)</f>
        <v>P00167</v>
      </c>
      <c r="D82" t="str">
        <f>VLOOKUP(Tabla6[[#This Row],[Protein_name]],raw!$A$2:$F$5391,2,FALSE)</f>
        <v>cytochrome b5 (microsomal cytochrome b5 type a) (mcb5)</v>
      </c>
      <c r="E82" t="str">
        <f>VLOOKUP(Tabla6[[#This Row],[Protein_name]],raw!$A$2:$F$5391,5,FALSE)</f>
        <v>SINGLE PROTEIN</v>
      </c>
      <c r="F82">
        <f>VLOOKUP(Tabla6[[#This Row],[Protein_name]],raw!$A$2:$F$5391,3,FALSE)</f>
        <v>0</v>
      </c>
      <c r="G82">
        <f>VLOOKUP(Tabla6[[#This Row],[Protein_name]],T4_metrics!$A$2:$G$693,4,FALSE)</f>
        <v>9.99</v>
      </c>
      <c r="H82">
        <f>VLOOKUP(Tabla6[[#This Row],[Protein_name]],T4_metrics!$A$2:$G$693,5,FALSE)</f>
        <v>3.1739999999999999</v>
      </c>
      <c r="I82" s="5">
        <f>VLOOKUP(Tabla6[[#This Row],[Protein_name]],T4_metrics!$A$2:$G$693,6,FALSE)</f>
        <v>0.82829346686003269</v>
      </c>
      <c r="J82" t="s">
        <v>16774</v>
      </c>
      <c r="K82" s="5">
        <v>4</v>
      </c>
    </row>
    <row r="83" spans="1:11" x14ac:dyDescent="0.25">
      <c r="A83" s="6" t="s">
        <v>61</v>
      </c>
      <c r="B83" t="str">
        <f>VLOOKUP(Tabla6[[#This Row],[Protein_name]],raw!$A$2:$F$5391,6,FALSE)</f>
        <v>T4</v>
      </c>
      <c r="C83" t="str">
        <f>VLOOKUP(Tabla6[[#This Row],[Protein_name]],raw!$A$2:$F$5391,4,FALSE)</f>
        <v>P51857</v>
      </c>
      <c r="D83" t="str">
        <f>VLOOKUP(Tabla6[[#This Row],[Protein_name]],raw!$A$2:$F$5391,2,FALSE)</f>
        <v>aldo-keto reductase family 1 member d1 (ec 1.3.1.3) (3-oxo-5-beta-steroid 4-dehydrogenase) (delta(4)-3-ketosteroid 5-beta-reductase) (delta(4)-3-oxosteroid 5-beta-reductase)</v>
      </c>
      <c r="E83" t="str">
        <f>VLOOKUP(Tabla6[[#This Row],[Protein_name]],raw!$A$2:$F$5391,5,FALSE)</f>
        <v>SINGLE PROTEIN</v>
      </c>
      <c r="F83">
        <f>VLOOKUP(Tabla6[[#This Row],[Protein_name]],raw!$A$2:$F$5391,3,FALSE)</f>
        <v>0</v>
      </c>
      <c r="G83">
        <f>VLOOKUP(Tabla6[[#This Row],[Protein_name]],T4_metrics!$A$2:$G$693,4,FALSE)</f>
        <v>22.561</v>
      </c>
      <c r="H83">
        <f>VLOOKUP(Tabla6[[#This Row],[Protein_name]],T4_metrics!$A$2:$G$693,5,FALSE)</f>
        <v>2.258</v>
      </c>
      <c r="I83" s="5">
        <f>VLOOKUP(Tabla6[[#This Row],[Protein_name]],T4_metrics!$A$2:$G$693,6,FALSE)</f>
        <v>0.97474883067091311</v>
      </c>
      <c r="J83" t="s">
        <v>16774</v>
      </c>
      <c r="K83" s="7">
        <v>4</v>
      </c>
    </row>
    <row r="84" spans="1:11" x14ac:dyDescent="0.25">
      <c r="A84" s="4" t="s">
        <v>110</v>
      </c>
      <c r="B84" t="str">
        <f>VLOOKUP(Tabla6[[#This Row],[Protein_name]],raw!$A$2:$F$5391,6,FALSE)</f>
        <v>T4</v>
      </c>
      <c r="C84" t="str">
        <f>VLOOKUP(Tabla6[[#This Row],[Protein_name]],raw!$A$2:$F$5391,4,FALSE)</f>
        <v>P07099</v>
      </c>
      <c r="D84" t="str">
        <f>VLOOKUP(Tabla6[[#This Row],[Protein_name]],raw!$A$2:$F$5391,2,FALSE)</f>
        <v>epoxide hydrolase 1 (ec 3.3.2.9) (epoxide hydratase) (microsomal epoxide hydrolase) (meh)</v>
      </c>
      <c r="E84" t="str">
        <f>VLOOKUP(Tabla6[[#This Row],[Protein_name]],raw!$A$2:$F$5391,5,FALSE)</f>
        <v>SINGLE PROTEIN</v>
      </c>
      <c r="F84">
        <f>VLOOKUP(Tabla6[[#This Row],[Protein_name]],raw!$A$2:$F$5391,3,FALSE)</f>
        <v>0</v>
      </c>
      <c r="G84">
        <f>VLOOKUP(Tabla6[[#This Row],[Protein_name]],T4_metrics!$A$2:$G$693,4,FALSE)</f>
        <v>18.641999999999999</v>
      </c>
      <c r="H84">
        <f>VLOOKUP(Tabla6[[#This Row],[Protein_name]],T4_metrics!$A$2:$G$693,5,FALSE)</f>
        <v>2.1989999999999998</v>
      </c>
      <c r="I84" s="5">
        <f>VLOOKUP(Tabla6[[#This Row],[Protein_name]],T4_metrics!$A$2:$G$693,6,FALSE)</f>
        <v>0.9232365136126639</v>
      </c>
      <c r="J84" t="s">
        <v>16774</v>
      </c>
      <c r="K84" s="5">
        <v>4</v>
      </c>
    </row>
    <row r="85" spans="1:11" x14ac:dyDescent="0.25">
      <c r="A85" s="6" t="s">
        <v>62</v>
      </c>
      <c r="B85" t="str">
        <f>VLOOKUP(Tabla6[[#This Row],[Protein_name]],raw!$A$2:$F$5391,6,FALSE)</f>
        <v>T4</v>
      </c>
      <c r="C85" t="str">
        <f>VLOOKUP(Tabla6[[#This Row],[Protein_name]],raw!$A$2:$F$5391,4,FALSE)</f>
        <v>P53004</v>
      </c>
      <c r="D85" t="str">
        <f>VLOOKUP(Tabla6[[#This Row],[Protein_name]],raw!$A$2:$F$5391,2,FALSE)</f>
        <v>biliverdin reductase a (bvr a) (ec 1.3.1.24) (biliverdin-ix alpha-reductase)</v>
      </c>
      <c r="E85" t="str">
        <f>VLOOKUP(Tabla6[[#This Row],[Protein_name]],raw!$A$2:$F$5391,5,FALSE)</f>
        <v>SINGLE PROTEIN</v>
      </c>
      <c r="F85">
        <f>VLOOKUP(Tabla6[[#This Row],[Protein_name]],raw!$A$2:$F$5391,3,FALSE)</f>
        <v>0</v>
      </c>
      <c r="G85">
        <f>VLOOKUP(Tabla6[[#This Row],[Protein_name]],T4_metrics!$A$2:$G$693,4,FALSE)</f>
        <v>18.128</v>
      </c>
      <c r="H85">
        <f>VLOOKUP(Tabla6[[#This Row],[Protein_name]],T4_metrics!$A$2:$G$693,5,FALSE)</f>
        <v>1.978</v>
      </c>
      <c r="I85" s="5">
        <f>VLOOKUP(Tabla6[[#This Row],[Protein_name]],T4_metrics!$A$2:$G$693,6,FALSE)</f>
        <v>0.9602640257558287</v>
      </c>
      <c r="J85" t="s">
        <v>16774</v>
      </c>
      <c r="K85" s="7">
        <v>4</v>
      </c>
    </row>
    <row r="86" spans="1:11" x14ac:dyDescent="0.25">
      <c r="A86" s="4" t="s">
        <v>111</v>
      </c>
      <c r="B86" t="str">
        <f>VLOOKUP(Tabla6[[#This Row],[Protein_name]],raw!$A$2:$F$5391,6,FALSE)</f>
        <v>T4</v>
      </c>
      <c r="C86" t="str">
        <f>VLOOKUP(Tabla6[[#This Row],[Protein_name]],raw!$A$2:$F$5391,4,FALSE)</f>
        <v>P26439</v>
      </c>
      <c r="D86" t="str">
        <f>VLOOKUP(Tabla6[[#This Row],[Protein_name]],raw!$A$2:$F$5391,2,FALSE)</f>
        <v>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v>
      </c>
      <c r="E86" t="str">
        <f>VLOOKUP(Tabla6[[#This Row],[Protein_name]],raw!$A$2:$F$5391,5,FALSE)</f>
        <v>SINGLE PROTEIN</v>
      </c>
      <c r="F86">
        <f>VLOOKUP(Tabla6[[#This Row],[Protein_name]],raw!$A$2:$F$5391,3,FALSE)</f>
        <v>0</v>
      </c>
      <c r="G86">
        <f>VLOOKUP(Tabla6[[#This Row],[Protein_name]],T4_metrics!$A$2:$G$693,4,FALSE)</f>
        <v>19.850000000000001</v>
      </c>
      <c r="H86">
        <f>VLOOKUP(Tabla6[[#This Row],[Protein_name]],T4_metrics!$A$2:$G$693,5,FALSE)</f>
        <v>1.403</v>
      </c>
      <c r="I86" s="5">
        <f>VLOOKUP(Tabla6[[#This Row],[Protein_name]],T4_metrics!$A$2:$G$693,6,FALSE)</f>
        <v>0.83623794805220719</v>
      </c>
      <c r="J86" t="s">
        <v>16774</v>
      </c>
      <c r="K86" s="5">
        <v>4</v>
      </c>
    </row>
    <row r="87" spans="1:11" x14ac:dyDescent="0.25">
      <c r="A87" s="6" t="s">
        <v>84</v>
      </c>
      <c r="B87" t="str">
        <f>VLOOKUP(Tabla6[[#This Row],[Protein_name]],raw!$A$2:$F$5391,6,FALSE)</f>
        <v>T4</v>
      </c>
      <c r="C87" t="str">
        <f>VLOOKUP(Tabla6[[#This Row],[Protein_name]],raw!$A$2:$F$5391,4,FALSE)</f>
        <v>P11532-4, O43556, Q96LD1, Q9NSN8, O60941, Q13424, Q14118, Q14118</v>
      </c>
      <c r="D87" t="str">
        <f>VLOOKUP(Tabla6[[#This Row],[Protein_name]],raw!$A$2:$F$5391,2,FALSE)</f>
        <v>alpha-1-syntrophin (59 kda dystrophin-associated protein a1 acidic component 1) (pro-tgf-alpha cytoplasmic domain-interacting protein 1) (tacip1) (syntrophin-1)</v>
      </c>
      <c r="E87" t="str">
        <f>VLOOKUP(Tabla6[[#This Row],[Protein_name]],raw!$A$2:$F$5391,5,FALSE)</f>
        <v>PROTEIN COMPLEX</v>
      </c>
      <c r="F87" t="str">
        <f>VLOOKUP(Tabla6[[#This Row],[Protein_name]],raw!$A$2:$F$5391,3,FALSE)</f>
        <v>DMD,SGCE,SGCZ,SNTG1,DTNB,SNTA1,Q14118-PRO_0000021065,Q14118-PRO_0000021066</v>
      </c>
      <c r="G87">
        <f>VLOOKUP(Tabla6[[#This Row],[Protein_name]],T4_metrics!$A$2:$G$693,4,FALSE)</f>
        <v>57.192999999999977</v>
      </c>
      <c r="H87">
        <f>VLOOKUP(Tabla6[[#This Row],[Protein_name]],T4_metrics!$A$2:$G$693,5,FALSE)</f>
        <v>51.461999999999946</v>
      </c>
      <c r="I87" s="5">
        <f>VLOOKUP(Tabla6[[#This Row],[Protein_name]],T4_metrics!$A$2:$G$693,6,FALSE)</f>
        <v>0.8038074200509121</v>
      </c>
      <c r="J87" t="s">
        <v>16774</v>
      </c>
      <c r="K87" s="7">
        <v>5</v>
      </c>
    </row>
    <row r="88" spans="1:11" x14ac:dyDescent="0.25">
      <c r="A88" s="4" t="s">
        <v>85</v>
      </c>
      <c r="B88" t="str">
        <f>VLOOKUP(Tabla6[[#This Row],[Protein_name]],raw!$A$2:$F$5391,6,FALSE)</f>
        <v>T4</v>
      </c>
      <c r="C88" t="str">
        <f>VLOOKUP(Tabla6[[#This Row],[Protein_name]],raw!$A$2:$F$5391,4,FALSE)</f>
        <v>P11532-2, O60941, Q16585, Q13424, Q13884, Q16586, Q92629, Q13326, Q14714, Q14118, Q14118</v>
      </c>
      <c r="D88" t="str">
        <f>VLOOKUP(Tabla6[[#This Row],[Protein_name]],raw!$A$2:$F$5391,2,FALSE)</f>
        <v>alpha-1-syntrophin (59 kda dystrophin-associated protein a1 acidic component 1) (pro-tgf-alpha cytoplasmic domain-interacting protein 1) (tacip1) (syntrophin-1)</v>
      </c>
      <c r="E88" t="str">
        <f>VLOOKUP(Tabla6[[#This Row],[Protein_name]],raw!$A$2:$F$5391,5,FALSE)</f>
        <v>PROTEIN COMPLEX</v>
      </c>
      <c r="F88" t="str">
        <f>VLOOKUP(Tabla6[[#This Row],[Protein_name]],raw!$A$2:$F$5391,3,FALSE)</f>
        <v>DMD,DTNB,SGCB,SNTA1,SNTB1,SGCA,SGCD,SGCG,SSPN,Q14118-PRO_0000021065,Q14118-PRO_0000021066</v>
      </c>
      <c r="G88">
        <f>VLOOKUP(Tabla6[[#This Row],[Protein_name]],T4_metrics!$A$2:$G$693,4,FALSE)</f>
        <v>58.132999999999967</v>
      </c>
      <c r="H88">
        <f>VLOOKUP(Tabla6[[#This Row],[Protein_name]],T4_metrics!$A$2:$G$693,5,FALSE)</f>
        <v>51.332999999999949</v>
      </c>
      <c r="I88" s="5">
        <f>VLOOKUP(Tabla6[[#This Row],[Protein_name]],T4_metrics!$A$2:$G$693,6,FALSE)</f>
        <v>0.79356413591463393</v>
      </c>
      <c r="J88" t="s">
        <v>16774</v>
      </c>
      <c r="K88" s="5">
        <v>5</v>
      </c>
    </row>
    <row r="89" spans="1:11" x14ac:dyDescent="0.25">
      <c r="A89" s="6" t="s">
        <v>86</v>
      </c>
      <c r="B89" t="str">
        <f>VLOOKUP(Tabla6[[#This Row],[Protein_name]],raw!$A$2:$F$5391,6,FALSE)</f>
        <v>T4</v>
      </c>
      <c r="C89" t="str">
        <f>VLOOKUP(Tabla6[[#This Row],[Protein_name]],raw!$A$2:$F$5391,4,FALSE)</f>
        <v>P11532-7, Q9Y4J8-2, Q14714, Q13424, Q13884, Q92629, Q13326, Q16586, Q16585, Q14118, Q14118</v>
      </c>
      <c r="D89" t="str">
        <f>VLOOKUP(Tabla6[[#This Row],[Protein_name]],raw!$A$2:$F$5391,2,FALSE)</f>
        <v>alpha-1-syntrophin (59 kda dystrophin-associated protein a1 acidic component 1) (pro-tgf-alpha cytoplasmic domain-interacting protein 1) (tacip1) (syntrophin-1)</v>
      </c>
      <c r="E89" t="str">
        <f>VLOOKUP(Tabla6[[#This Row],[Protein_name]],raw!$A$2:$F$5391,5,FALSE)</f>
        <v>PROTEIN COMPLEX</v>
      </c>
      <c r="F89" t="str">
        <f>VLOOKUP(Tabla6[[#This Row],[Protein_name]],raw!$A$2:$F$5391,3,FALSE)</f>
        <v>DMD,DTNA,SSPN,SNTA1,SNTB1,SGCD,SGCG,SGCA,SGCB,Q14118-PRO_0000021065,Q14118-PRO_0000021066</v>
      </c>
      <c r="G89">
        <f>VLOOKUP(Tabla6[[#This Row],[Protein_name]],T4_metrics!$A$2:$G$693,4,FALSE)</f>
        <v>58.266999999999967</v>
      </c>
      <c r="H89">
        <f>VLOOKUP(Tabla6[[#This Row],[Protein_name]],T4_metrics!$A$2:$G$693,5,FALSE)</f>
        <v>51.332999999999949</v>
      </c>
      <c r="I89" s="5">
        <f>VLOOKUP(Tabla6[[#This Row],[Protein_name]],T4_metrics!$A$2:$G$693,6,FALSE)</f>
        <v>0.79317560256198538</v>
      </c>
      <c r="J89" t="s">
        <v>16774</v>
      </c>
      <c r="K89" s="7">
        <v>5</v>
      </c>
    </row>
    <row r="90" spans="1:11" x14ac:dyDescent="0.25">
      <c r="A90" s="4" t="s">
        <v>20</v>
      </c>
      <c r="B90" t="str">
        <f>VLOOKUP(Tabla6[[#This Row],[Protein_name]],raw!$A$2:$F$5391,6,FALSE)</f>
        <v>T4</v>
      </c>
      <c r="C90" t="str">
        <f>VLOOKUP(Tabla6[[#This Row],[Protein_name]],raw!$A$2:$F$5391,4,FALSE)</f>
        <v>P16298, P63098, P62158</v>
      </c>
      <c r="D90" t="str">
        <f>VLOOKUP(Tabla6[[#This Row],[Protein_name]],raw!$A$2:$F$5391,2,FALSE)</f>
        <v>calmodulin-3</v>
      </c>
      <c r="E90" t="str">
        <f>VLOOKUP(Tabla6[[#This Row],[Protein_name]],raw!$A$2:$F$5391,5,FALSE)</f>
        <v>PROTEIN COMPLEX</v>
      </c>
      <c r="F90" t="str">
        <f>VLOOKUP(Tabla6[[#This Row],[Protein_name]],raw!$A$2:$F$5391,3,FALSE)</f>
        <v>PPP3CB,PPP3R1,calm_human</v>
      </c>
      <c r="G90">
        <f>VLOOKUP(Tabla6[[#This Row],[Protein_name]],T4_metrics!$A$2:$G$693,4,FALSE)</f>
        <v>123.9</v>
      </c>
      <c r="H90">
        <f>VLOOKUP(Tabla6[[#This Row],[Protein_name]],T4_metrics!$A$2:$G$693,5,FALSE)</f>
        <v>47.522000000000041</v>
      </c>
      <c r="I90" s="5">
        <f>VLOOKUP(Tabla6[[#This Row],[Protein_name]],T4_metrics!$A$2:$G$693,6,FALSE)</f>
        <v>1.1804867896026141</v>
      </c>
      <c r="J90" t="s">
        <v>16774</v>
      </c>
      <c r="K90" s="5">
        <v>5</v>
      </c>
    </row>
    <row r="91" spans="1:11" x14ac:dyDescent="0.25">
      <c r="A91" s="6" t="s">
        <v>19</v>
      </c>
      <c r="B91" t="str">
        <f>VLOOKUP(Tabla6[[#This Row],[Protein_name]],raw!$A$2:$F$5391,6,FALSE)</f>
        <v>T4</v>
      </c>
      <c r="C91" t="str">
        <f>VLOOKUP(Tabla6[[#This Row],[Protein_name]],raw!$A$2:$F$5391,4,FALSE)</f>
        <v>P62158, P48454, P63098, P24588</v>
      </c>
      <c r="D91" t="str">
        <f>VLOOKUP(Tabla6[[#This Row],[Protein_name]],raw!$A$2:$F$5391,2,FALSE)</f>
        <v>calmodulin-3</v>
      </c>
      <c r="E91" t="str">
        <f>VLOOKUP(Tabla6[[#This Row],[Protein_name]],raw!$A$2:$F$5391,5,FALSE)</f>
        <v>PROTEIN COMPLEX</v>
      </c>
      <c r="F91" t="str">
        <f>VLOOKUP(Tabla6[[#This Row],[Protein_name]],raw!$A$2:$F$5391,3,FALSE)</f>
        <v>calm_human,PPP3CC,PPP3R1,AKAP5</v>
      </c>
      <c r="G91">
        <f>VLOOKUP(Tabla6[[#This Row],[Protein_name]],T4_metrics!$A$2:$G$693,4,FALSE)</f>
        <v>123.9</v>
      </c>
      <c r="H91">
        <f>VLOOKUP(Tabla6[[#This Row],[Protein_name]],T4_metrics!$A$2:$G$693,5,FALSE)</f>
        <v>47.522000000000041</v>
      </c>
      <c r="I91" s="5">
        <f>VLOOKUP(Tabla6[[#This Row],[Protein_name]],T4_metrics!$A$2:$G$693,6,FALSE)</f>
        <v>2.404533852601165</v>
      </c>
      <c r="J91" t="s">
        <v>16774</v>
      </c>
      <c r="K91" s="7">
        <v>5</v>
      </c>
    </row>
    <row r="92" spans="1:11" x14ac:dyDescent="0.25">
      <c r="A92" s="4" t="s">
        <v>106</v>
      </c>
      <c r="B92" t="str">
        <f>VLOOKUP(Tabla6[[#This Row],[Protein_name]],raw!$A$2:$F$5391,6,FALSE)</f>
        <v>T4</v>
      </c>
      <c r="C92" t="str">
        <f>VLOOKUP(Tabla6[[#This Row],[Protein_name]],raw!$A$2:$F$5391,4,FALSE)</f>
        <v>Q5JPH6</v>
      </c>
      <c r="D92" t="str">
        <f>VLOOKUP(Tabla6[[#This Row],[Protein_name]],raw!$A$2:$F$5391,2,FALSE)</f>
        <v>nondiscriminating glutamyl-trna synthetase ears2, mitochondrial (ec 6.1.1.24) (glutamate--trna(gln) ligase ears2, mitochondrial) (ec 6.1.1.17) (glutamyl-trna synthetase) (glurs) (mitochondrial glutamyl-trna synthetase) (mtglurs)</v>
      </c>
      <c r="E92" t="str">
        <f>VLOOKUP(Tabla6[[#This Row],[Protein_name]],raw!$A$2:$F$5391,5,FALSE)</f>
        <v>SINGLE PROTEIN</v>
      </c>
      <c r="F92">
        <f>VLOOKUP(Tabla6[[#This Row],[Protein_name]],raw!$A$2:$F$5391,3,FALSE)</f>
        <v>0</v>
      </c>
      <c r="G92">
        <f>VLOOKUP(Tabla6[[#This Row],[Protein_name]],T4_metrics!$A$2:$G$693,4,FALSE)</f>
        <v>20.82</v>
      </c>
      <c r="H92">
        <f>VLOOKUP(Tabla6[[#This Row],[Protein_name]],T4_metrics!$A$2:$G$693,5,FALSE)</f>
        <v>4.0960000000000001</v>
      </c>
      <c r="I92" s="5">
        <f>VLOOKUP(Tabla6[[#This Row],[Protein_name]],T4_metrics!$A$2:$G$693,6,FALSE)</f>
        <v>0.60041917359136232</v>
      </c>
      <c r="J92" t="s">
        <v>16774</v>
      </c>
      <c r="K92" s="5">
        <v>6</v>
      </c>
    </row>
    <row r="93" spans="1:11" x14ac:dyDescent="0.25">
      <c r="A93" s="6" t="s">
        <v>107</v>
      </c>
      <c r="B93" t="str">
        <f>VLOOKUP(Tabla6[[#This Row],[Protein_name]],raw!$A$2:$F$5391,6,FALSE)</f>
        <v>T4</v>
      </c>
      <c r="C93" t="str">
        <f>VLOOKUP(Tabla6[[#This Row],[Protein_name]],raw!$A$2:$F$5391,4,FALSE)</f>
        <v>P43897</v>
      </c>
      <c r="D93" t="str">
        <f>VLOOKUP(Tabla6[[#This Row],[Protein_name]],raw!$A$2:$F$5391,2,FALSE)</f>
        <v>elongation factor ts, mitochondrial (ef-ts) (ef-tsmt)</v>
      </c>
      <c r="E93" t="str">
        <f>VLOOKUP(Tabla6[[#This Row],[Protein_name]],raw!$A$2:$F$5391,5,FALSE)</f>
        <v>SINGLE PROTEIN</v>
      </c>
      <c r="F93">
        <f>VLOOKUP(Tabla6[[#This Row],[Protein_name]],raw!$A$2:$F$5391,3,FALSE)</f>
        <v>0</v>
      </c>
      <c r="G93">
        <f>VLOOKUP(Tabla6[[#This Row],[Protein_name]],T4_metrics!$A$2:$G$693,4,FALSE)</f>
        <v>15.635</v>
      </c>
      <c r="H93">
        <f>VLOOKUP(Tabla6[[#This Row],[Protein_name]],T4_metrics!$A$2:$G$693,5,FALSE)</f>
        <v>3.5569999999999999</v>
      </c>
      <c r="I93" s="5">
        <f>VLOOKUP(Tabla6[[#This Row],[Protein_name]],T4_metrics!$A$2:$G$693,6,FALSE)</f>
        <v>0.60857207406478875</v>
      </c>
      <c r="J93" t="s">
        <v>16774</v>
      </c>
      <c r="K93" s="7">
        <v>6</v>
      </c>
    </row>
    <row r="94" spans="1:11" x14ac:dyDescent="0.25">
      <c r="A94" s="4" t="s">
        <v>57</v>
      </c>
      <c r="B94" t="str">
        <f>VLOOKUP(Tabla6[[#This Row],[Protein_name]],raw!$A$2:$F$5391,6,FALSE)</f>
        <v>T4</v>
      </c>
      <c r="C94" t="str">
        <f>VLOOKUP(Tabla6[[#This Row],[Protein_name]],raw!$A$2:$F$5391,4,FALSE)</f>
        <v>Q6PI48</v>
      </c>
      <c r="D94" t="str">
        <f>VLOOKUP(Tabla6[[#This Row],[Protein_name]],raw!$A$2:$F$5391,2,FALSE)</f>
        <v>aspartate--trna ligase, mitochondrial (ec 6.1.1.12) (aspartyl-trna synthetase) (asprs)</v>
      </c>
      <c r="E94" t="str">
        <f>VLOOKUP(Tabla6[[#This Row],[Protein_name]],raw!$A$2:$F$5391,5,FALSE)</f>
        <v>SINGLE PROTEIN</v>
      </c>
      <c r="F94">
        <f>VLOOKUP(Tabla6[[#This Row],[Protein_name]],raw!$A$2:$F$5391,3,FALSE)</f>
        <v>0</v>
      </c>
      <c r="G94">
        <f>VLOOKUP(Tabla6[[#This Row],[Protein_name]],T4_metrics!$A$2:$G$693,4,FALSE)</f>
        <v>19.652000000000001</v>
      </c>
      <c r="H94">
        <f>VLOOKUP(Tabla6[[#This Row],[Protein_name]],T4_metrics!$A$2:$G$693,5,FALSE)</f>
        <v>2.339</v>
      </c>
      <c r="I94" s="5">
        <f>VLOOKUP(Tabla6[[#This Row],[Protein_name]],T4_metrics!$A$2:$G$693,6,FALSE)</f>
        <v>0.66774889774678181</v>
      </c>
      <c r="J94" t="s">
        <v>16774</v>
      </c>
      <c r="K94" s="5">
        <v>6</v>
      </c>
    </row>
    <row r="95" spans="1:11" x14ac:dyDescent="0.25">
      <c r="A95" s="6" t="s">
        <v>108</v>
      </c>
      <c r="B95" t="str">
        <f>VLOOKUP(Tabla6[[#This Row],[Protein_name]],raw!$A$2:$F$5391,6,FALSE)</f>
        <v>T4</v>
      </c>
      <c r="C95" t="str">
        <f>VLOOKUP(Tabla6[[#This Row],[Protein_name]],raw!$A$2:$F$5391,4,FALSE)</f>
        <v>Q969Y2</v>
      </c>
      <c r="D95" t="str">
        <f>VLOOKUP(Tabla6[[#This Row],[Protein_name]],raw!$A$2:$F$5391,2,FALSE)</f>
        <v>trna modification gtpase gtpbp3, mitochondrial (gtp-binding protein 3) (mitochondrial gtp-binding protein 1)</v>
      </c>
      <c r="E95" t="str">
        <f>VLOOKUP(Tabla6[[#This Row],[Protein_name]],raw!$A$2:$F$5391,5,FALSE)</f>
        <v>SINGLE PROTEIN</v>
      </c>
      <c r="F95">
        <f>VLOOKUP(Tabla6[[#This Row],[Protein_name]],raw!$A$2:$F$5391,3,FALSE)</f>
        <v>0</v>
      </c>
      <c r="G95">
        <f>VLOOKUP(Tabla6[[#This Row],[Protein_name]],T4_metrics!$A$2:$G$693,4,FALSE)</f>
        <v>7.0469999999999988</v>
      </c>
      <c r="H95">
        <f>VLOOKUP(Tabla6[[#This Row],[Protein_name]],T4_metrics!$A$2:$G$693,5,FALSE)</f>
        <v>2.2759999999999998</v>
      </c>
      <c r="I95" s="5">
        <f>VLOOKUP(Tabla6[[#This Row],[Protein_name]],T4_metrics!$A$2:$G$693,6,FALSE)</f>
        <v>0.60217534616425628</v>
      </c>
      <c r="J95" t="s">
        <v>16774</v>
      </c>
      <c r="K95" s="7">
        <v>6</v>
      </c>
    </row>
    <row r="96" spans="1:11" x14ac:dyDescent="0.25">
      <c r="A96" s="4" t="s">
        <v>52</v>
      </c>
      <c r="B96" t="str">
        <f>VLOOKUP(Tabla6[[#This Row],[Protein_name]],raw!$A$2:$F$5391,6,FALSE)</f>
        <v>T4</v>
      </c>
      <c r="C96" t="str">
        <f>VLOOKUP(Tabla6[[#This Row],[Protein_name]],raw!$A$2:$F$5391,4,FALSE)</f>
        <v>P49591</v>
      </c>
      <c r="D96" t="str">
        <f>VLOOKUP(Tabla6[[#This Row],[Protein_name]],raw!$A$2:$F$5391,2,FALSE)</f>
        <v>serine--trna ligase, cytoplasmic (ec 6.1.1.11) (seryl-trna synthetase) (serrs) (seryl-trna(ser/sec) synthetase)</v>
      </c>
      <c r="E96" t="str">
        <f>VLOOKUP(Tabla6[[#This Row],[Protein_name]],raw!$A$2:$F$5391,5,FALSE)</f>
        <v>SINGLE PROTEIN</v>
      </c>
      <c r="F96">
        <f>VLOOKUP(Tabla6[[#This Row],[Protein_name]],raw!$A$2:$F$5391,3,FALSE)</f>
        <v>0</v>
      </c>
      <c r="G96">
        <f>VLOOKUP(Tabla6[[#This Row],[Protein_name]],T4_metrics!$A$2:$G$693,4,FALSE)</f>
        <v>16.971</v>
      </c>
      <c r="H96">
        <f>VLOOKUP(Tabla6[[#This Row],[Protein_name]],T4_metrics!$A$2:$G$693,5,FALSE)</f>
        <v>1.7350000000000001</v>
      </c>
      <c r="I96" s="5">
        <f>VLOOKUP(Tabla6[[#This Row],[Protein_name]],T4_metrics!$A$2:$G$693,6,FALSE)</f>
        <v>0.7011680891119948</v>
      </c>
      <c r="J96" t="s">
        <v>16774</v>
      </c>
      <c r="K96" s="5">
        <v>6</v>
      </c>
    </row>
    <row r="97" spans="1:11" x14ac:dyDescent="0.25">
      <c r="A97" s="6" t="s">
        <v>98</v>
      </c>
      <c r="B97" t="str">
        <f>VLOOKUP(Tabla6[[#This Row],[Protein_name]],raw!$A$2:$F$5391,6,FALSE)</f>
        <v>T4</v>
      </c>
      <c r="C97" t="str">
        <f>VLOOKUP(Tabla6[[#This Row],[Protein_name]],raw!$A$2:$F$5391,4,FALSE)</f>
        <v>P00480</v>
      </c>
      <c r="D97" t="str">
        <f>VLOOKUP(Tabla6[[#This Row],[Protein_name]],raw!$A$2:$F$5391,2,FALSE)</f>
        <v>ornithine transcarbamylase, mitochondrial (otcase) (ec 2.1.3.3) (ornithine carbamoyltransferase, mitochondrial)</v>
      </c>
      <c r="E97" t="str">
        <f>VLOOKUP(Tabla6[[#This Row],[Protein_name]],raw!$A$2:$F$5391,5,FALSE)</f>
        <v>SINGLE PROTEIN</v>
      </c>
      <c r="F97">
        <f>VLOOKUP(Tabla6[[#This Row],[Protein_name]],raw!$A$2:$F$5391,3,FALSE)</f>
        <v>0</v>
      </c>
      <c r="G97">
        <f>VLOOKUP(Tabla6[[#This Row],[Protein_name]],T4_metrics!$A$2:$G$693,4,FALSE)</f>
        <v>12.609</v>
      </c>
      <c r="H97">
        <f>VLOOKUP(Tabla6[[#This Row],[Protein_name]],T4_metrics!$A$2:$G$693,5,FALSE)</f>
        <v>7.6239999999999979</v>
      </c>
      <c r="I97" s="5">
        <f>VLOOKUP(Tabla6[[#This Row],[Protein_name]],T4_metrics!$A$2:$G$693,6,FALSE)</f>
        <v>0.70419494017674611</v>
      </c>
      <c r="J97" t="s">
        <v>16774</v>
      </c>
      <c r="K97" s="7">
        <v>7</v>
      </c>
    </row>
    <row r="98" spans="1:11" x14ac:dyDescent="0.25">
      <c r="A98" s="4" t="s">
        <v>99</v>
      </c>
      <c r="B98" t="str">
        <f>VLOOKUP(Tabla6[[#This Row],[Protein_name]],raw!$A$2:$F$5391,6,FALSE)</f>
        <v>T4</v>
      </c>
      <c r="C98" t="str">
        <f>VLOOKUP(Tabla6[[#This Row],[Protein_name]],raw!$A$2:$F$5391,4,FALSE)</f>
        <v>P53597, Q96I99</v>
      </c>
      <c r="D98" t="str">
        <f>VLOOKUP(Tabla6[[#This Row],[Protein_name]],raw!$A$2:$F$5391,2,FALSE)</f>
        <v>succinate--coa ligase [adp/gdp-forming] subunit alpha, mitochondrial (ec 6.2.1.4) (ec 6.2.1.5) (succinyl-coa synthetase subunit alpha) (scs-alpha)</v>
      </c>
      <c r="E98" t="str">
        <f>VLOOKUP(Tabla6[[#This Row],[Protein_name]],raw!$A$2:$F$5391,5,FALSE)</f>
        <v>PROTEIN COMPLEX</v>
      </c>
      <c r="F98" t="str">
        <f>VLOOKUP(Tabla6[[#This Row],[Protein_name]],raw!$A$2:$F$5391,3,FALSE)</f>
        <v>SUCLG1,SUCLG2</v>
      </c>
      <c r="G98">
        <f>VLOOKUP(Tabla6[[#This Row],[Protein_name]],T4_metrics!$A$2:$G$693,4,FALSE)</f>
        <v>27.344000000000001</v>
      </c>
      <c r="H98">
        <f>VLOOKUP(Tabla6[[#This Row],[Protein_name]],T4_metrics!$A$2:$G$693,5,FALSE)</f>
        <v>6.851</v>
      </c>
      <c r="I98" s="5">
        <f>VLOOKUP(Tabla6[[#This Row],[Protein_name]],T4_metrics!$A$2:$G$693,6,FALSE)</f>
        <v>0.67262586931366697</v>
      </c>
      <c r="J98" t="s">
        <v>16774</v>
      </c>
      <c r="K98" s="5">
        <v>7</v>
      </c>
    </row>
    <row r="99" spans="1:11" x14ac:dyDescent="0.25">
      <c r="A99" s="6" t="s">
        <v>42</v>
      </c>
      <c r="B99" t="str">
        <f>VLOOKUP(Tabla6[[#This Row],[Protein_name]],raw!$A$2:$F$5391,6,FALSE)</f>
        <v>T4</v>
      </c>
      <c r="C99" t="str">
        <f>VLOOKUP(Tabla6[[#This Row],[Protein_name]],raw!$A$2:$F$5391,4,FALSE)</f>
        <v>O00330, P08559, P10515, P11177, P09622</v>
      </c>
      <c r="D99" t="str">
        <f>VLOOKUP(Tabla6[[#This Row],[Protein_name]],raw!$A$2:$F$5391,2,FALSE)</f>
        <v>dihydrolipoyl dehydrogenase, mitochondrial (ec 1.8.1.4) (dihydrolipoamide dehydrogenase) (glycine cleavage system l protein)</v>
      </c>
      <c r="E99" t="str">
        <f>VLOOKUP(Tabla6[[#This Row],[Protein_name]],raw!$A$2:$F$5391,5,FALSE)</f>
        <v>PROTEIN COMPLEX</v>
      </c>
      <c r="F99" t="str">
        <f>VLOOKUP(Tabla6[[#This Row],[Protein_name]],raw!$A$2:$F$5391,3,FALSE)</f>
        <v>PDHX,PDHA1,DLAT,PDHB,DLD</v>
      </c>
      <c r="G99">
        <f>VLOOKUP(Tabla6[[#This Row],[Protein_name]],T4_metrics!$A$2:$G$693,4,FALSE)</f>
        <v>34.512999999999998</v>
      </c>
      <c r="H99">
        <f>VLOOKUP(Tabla6[[#This Row],[Protein_name]],T4_metrics!$A$2:$G$693,5,FALSE)</f>
        <v>5.5759999999999987</v>
      </c>
      <c r="I99" s="5">
        <f>VLOOKUP(Tabla6[[#This Row],[Protein_name]],T4_metrics!$A$2:$G$693,6,FALSE)</f>
        <v>0.82447679374696181</v>
      </c>
      <c r="J99" t="s">
        <v>16774</v>
      </c>
      <c r="K99" s="7">
        <v>7</v>
      </c>
    </row>
    <row r="100" spans="1:11" x14ac:dyDescent="0.25">
      <c r="A100" s="4" t="s">
        <v>100</v>
      </c>
      <c r="B100" t="str">
        <f>VLOOKUP(Tabla6[[#This Row],[Protein_name]],raw!$A$2:$F$5391,6,FALSE)</f>
        <v>T4</v>
      </c>
      <c r="C100" t="str">
        <f>VLOOKUP(Tabla6[[#This Row],[Protein_name]],raw!$A$2:$F$5391,4,FALSE)</f>
        <v>P00367</v>
      </c>
      <c r="D100" t="str">
        <f>VLOOKUP(Tabla6[[#This Row],[Protein_name]],raw!$A$2:$F$5391,2,FALSE)</f>
        <v>glutamate dehydrogenase 1, mitochondrial (gdh 1) (ec 1.4.1.3)</v>
      </c>
      <c r="E100" t="str">
        <f>VLOOKUP(Tabla6[[#This Row],[Protein_name]],raw!$A$2:$F$5391,5,FALSE)</f>
        <v>SINGLE PROTEIN</v>
      </c>
      <c r="F100">
        <f>VLOOKUP(Tabla6[[#This Row],[Protein_name]],raw!$A$2:$F$5391,3,FALSE)</f>
        <v>0</v>
      </c>
      <c r="G100">
        <f>VLOOKUP(Tabla6[[#This Row],[Protein_name]],T4_metrics!$A$2:$G$693,4,FALSE)</f>
        <v>25.658000000000001</v>
      </c>
      <c r="H100">
        <f>VLOOKUP(Tabla6[[#This Row],[Protein_name]],T4_metrics!$A$2:$G$693,5,FALSE)</f>
        <v>5.3109999999999999</v>
      </c>
      <c r="I100" s="5">
        <f>VLOOKUP(Tabla6[[#This Row],[Protein_name]],T4_metrics!$A$2:$G$693,6,FALSE)</f>
        <v>0.7033548917209963</v>
      </c>
      <c r="J100" t="s">
        <v>16774</v>
      </c>
      <c r="K100" s="5">
        <v>7</v>
      </c>
    </row>
    <row r="101" spans="1:11" x14ac:dyDescent="0.25">
      <c r="A101" s="6" t="s">
        <v>101</v>
      </c>
      <c r="B101" t="str">
        <f>VLOOKUP(Tabla6[[#This Row],[Protein_name]],raw!$A$2:$F$5391,6,FALSE)</f>
        <v>T4</v>
      </c>
      <c r="C101" t="str">
        <f>VLOOKUP(Tabla6[[#This Row],[Protein_name]],raw!$A$2:$F$5391,4,FALSE)</f>
        <v>P51648</v>
      </c>
      <c r="D101" t="str">
        <f>VLOOKUP(Tabla6[[#This Row],[Protein_name]],raw!$A$2:$F$5391,2,FALSE)</f>
        <v>aldehyde dehydrogenase family 3 member a2 (ec 1.2.1.3) (ec 1.2.1.94) (aldehyde dehydrogenase 10) (fatty aldehyde dehydrogenase) (microsomal aldehyde dehydrogenase)</v>
      </c>
      <c r="E101" t="str">
        <f>VLOOKUP(Tabla6[[#This Row],[Protein_name]],raw!$A$2:$F$5391,5,FALSE)</f>
        <v>SINGLE PROTEIN</v>
      </c>
      <c r="F101">
        <f>VLOOKUP(Tabla6[[#This Row],[Protein_name]],raw!$A$2:$F$5391,3,FALSE)</f>
        <v>0</v>
      </c>
      <c r="G101">
        <f>VLOOKUP(Tabla6[[#This Row],[Protein_name]],T4_metrics!$A$2:$G$693,4,FALSE)</f>
        <v>21.79</v>
      </c>
      <c r="H101">
        <f>VLOOKUP(Tabla6[[#This Row],[Protein_name]],T4_metrics!$A$2:$G$693,5,FALSE)</f>
        <v>4.6580000000000004</v>
      </c>
      <c r="I101" s="5">
        <f>VLOOKUP(Tabla6[[#This Row],[Protein_name]],T4_metrics!$A$2:$G$693,6,FALSE)</f>
        <v>0.66276776549399663</v>
      </c>
      <c r="J101" t="s">
        <v>16774</v>
      </c>
      <c r="K101" s="7">
        <v>7</v>
      </c>
    </row>
    <row r="102" spans="1:11" x14ac:dyDescent="0.25">
      <c r="A102" s="4" t="s">
        <v>25</v>
      </c>
      <c r="B102" t="str">
        <f>VLOOKUP(Tabla6[[#This Row],[Protein_name]],raw!$A$2:$F$5391,6,FALSE)</f>
        <v>T4</v>
      </c>
      <c r="C102" t="str">
        <f>VLOOKUP(Tabla6[[#This Row],[Protein_name]],raw!$A$2:$F$5391,4,FALSE)</f>
        <v>P23229, P16144</v>
      </c>
      <c r="D102" t="str">
        <f>VLOOKUP(Tabla6[[#This Row],[Protein_name]],raw!$A$2:$F$5391,2,FALSE)</f>
        <v>integrin alpha-6 (cd49 antigen-like family member f) (vla-6) (cd antigen cd49f) [cleaved into: integrin alpha-6 heavy chain; integrin alpha-6 light chain; processed integrin alpha-6 (alpha6p)]</v>
      </c>
      <c r="E102" t="str">
        <f>VLOOKUP(Tabla6[[#This Row],[Protein_name]],raw!$A$2:$F$5391,5,FALSE)</f>
        <v>PROTEIN COMPLEX</v>
      </c>
      <c r="F102" t="str">
        <f>VLOOKUP(Tabla6[[#This Row],[Protein_name]],raw!$A$2:$F$5391,3,FALSE)</f>
        <v>ITGA6,ITGB4</v>
      </c>
      <c r="G102">
        <f>VLOOKUP(Tabla6[[#This Row],[Protein_name]],T4_metrics!$A$2:$G$693,4,FALSE)</f>
        <v>19.344000000000001</v>
      </c>
      <c r="H102">
        <f>VLOOKUP(Tabla6[[#This Row],[Protein_name]],T4_metrics!$A$2:$G$693,5,FALSE)</f>
        <v>39.789000000000001</v>
      </c>
      <c r="I102" s="5">
        <f>VLOOKUP(Tabla6[[#This Row],[Protein_name]],T4_metrics!$A$2:$G$693,6,FALSE)</f>
        <v>0.78305022213565167</v>
      </c>
      <c r="J102" t="s">
        <v>16774</v>
      </c>
      <c r="K102" s="5">
        <v>8</v>
      </c>
    </row>
    <row r="103" spans="1:11" x14ac:dyDescent="0.25">
      <c r="A103" s="6" t="s">
        <v>87</v>
      </c>
      <c r="B103" t="str">
        <f>VLOOKUP(Tabla6[[#This Row],[Protein_name]],raw!$A$2:$F$5391,6,FALSE)</f>
        <v>T4</v>
      </c>
      <c r="C103" t="str">
        <f>VLOOKUP(Tabla6[[#This Row],[Protein_name]],raw!$A$2:$F$5391,4,FALSE)</f>
        <v>P07942, P25391, P11047</v>
      </c>
      <c r="D103" t="str">
        <f>VLOOKUP(Tabla6[[#This Row],[Protein_name]],raw!$A$2:$F$5391,2,FALSE)</f>
        <v>laminin subunit alpha-1 (laminin a chain) (laminin-1 subunit alpha) (laminin-3 subunit alpha) (s-laminin subunit alpha) (s-lam alpha)</v>
      </c>
      <c r="E103" t="str">
        <f>VLOOKUP(Tabla6[[#This Row],[Protein_name]],raw!$A$2:$F$5391,5,FALSE)</f>
        <v>PROTEIN COMPLEX</v>
      </c>
      <c r="F103" t="str">
        <f>VLOOKUP(Tabla6[[#This Row],[Protein_name]],raw!$A$2:$F$5391,3,FALSE)</f>
        <v>LAMB1,LAMA1,LAMC1</v>
      </c>
      <c r="G103">
        <f>VLOOKUP(Tabla6[[#This Row],[Protein_name]],T4_metrics!$A$2:$G$693,4,FALSE)</f>
        <v>18.562999999999999</v>
      </c>
      <c r="H103">
        <f>VLOOKUP(Tabla6[[#This Row],[Protein_name]],T4_metrics!$A$2:$G$693,5,FALSE)</f>
        <v>4.5990000000000002</v>
      </c>
      <c r="I103" s="5">
        <f>VLOOKUP(Tabla6[[#This Row],[Protein_name]],T4_metrics!$A$2:$G$693,6,FALSE)</f>
        <v>0.67651972806743921</v>
      </c>
      <c r="J103" t="s">
        <v>16774</v>
      </c>
      <c r="K103" s="7">
        <v>8</v>
      </c>
    </row>
    <row r="104" spans="1:11" x14ac:dyDescent="0.25">
      <c r="A104" s="4" t="s">
        <v>88</v>
      </c>
      <c r="B104" t="str">
        <f>VLOOKUP(Tabla6[[#This Row],[Protein_name]],raw!$A$2:$F$5391,6,FALSE)</f>
        <v>T4</v>
      </c>
      <c r="C104" t="str">
        <f>VLOOKUP(Tabla6[[#This Row],[Protein_name]],raw!$A$2:$F$5391,4,FALSE)</f>
        <v>P55268, P25391, P11047</v>
      </c>
      <c r="D104" t="str">
        <f>VLOOKUP(Tabla6[[#This Row],[Protein_name]],raw!$A$2:$F$5391,2,FALSE)</f>
        <v>laminin subunit alpha-1 (laminin a chain) (laminin-1 subunit alpha) (laminin-3 subunit alpha) (s-laminin subunit alpha) (s-lam alpha)</v>
      </c>
      <c r="E104" t="str">
        <f>VLOOKUP(Tabla6[[#This Row],[Protein_name]],raw!$A$2:$F$5391,5,FALSE)</f>
        <v>PROTEIN COMPLEX</v>
      </c>
      <c r="F104" t="str">
        <f>VLOOKUP(Tabla6[[#This Row],[Protein_name]],raw!$A$2:$F$5391,3,FALSE)</f>
        <v>LAMB2,LAMA1,LAMC1</v>
      </c>
      <c r="G104">
        <f>VLOOKUP(Tabla6[[#This Row],[Protein_name]],T4_metrics!$A$2:$G$693,4,FALSE)</f>
        <v>15.788</v>
      </c>
      <c r="H104">
        <f>VLOOKUP(Tabla6[[#This Row],[Protein_name]],T4_metrics!$A$2:$G$693,5,FALSE)</f>
        <v>4.4349999999999996</v>
      </c>
      <c r="I104" s="5">
        <f>VLOOKUP(Tabla6[[#This Row],[Protein_name]],T4_metrics!$A$2:$G$693,6,FALSE)</f>
        <v>0.73338938074820614</v>
      </c>
      <c r="J104" t="s">
        <v>16774</v>
      </c>
      <c r="K104" s="5">
        <v>8</v>
      </c>
    </row>
    <row r="105" spans="1:11" x14ac:dyDescent="0.25">
      <c r="A105" s="6" t="s">
        <v>89</v>
      </c>
      <c r="B105" t="str">
        <f>VLOOKUP(Tabla6[[#This Row],[Protein_name]],raw!$A$2:$F$5391,6,FALSE)</f>
        <v>T4</v>
      </c>
      <c r="C105" t="str">
        <f>VLOOKUP(Tabla6[[#This Row],[Protein_name]],raw!$A$2:$F$5391,4,FALSE)</f>
        <v>P21810</v>
      </c>
      <c r="D105" t="str">
        <f>VLOOKUP(Tabla6[[#This Row],[Protein_name]],raw!$A$2:$F$5391,2,FALSE)</f>
        <v>biglycan (bone/cartilage proteoglycan i) (pg-s1)</v>
      </c>
      <c r="E105" t="str">
        <f>VLOOKUP(Tabla6[[#This Row],[Protein_name]],raw!$A$2:$F$5391,5,FALSE)</f>
        <v>SINGLE PROTEIN</v>
      </c>
      <c r="F105">
        <f>VLOOKUP(Tabla6[[#This Row],[Protein_name]],raw!$A$2:$F$5391,3,FALSE)</f>
        <v>0</v>
      </c>
      <c r="G105">
        <f>VLOOKUP(Tabla6[[#This Row],[Protein_name]],T4_metrics!$A$2:$G$693,4,FALSE)</f>
        <v>16.678000000000001</v>
      </c>
      <c r="H105">
        <f>VLOOKUP(Tabla6[[#This Row],[Protein_name]],T4_metrics!$A$2:$G$693,5,FALSE)</f>
        <v>4.3819999999999997</v>
      </c>
      <c r="I105" s="5">
        <f>VLOOKUP(Tabla6[[#This Row],[Protein_name]],T4_metrics!$A$2:$G$693,6,FALSE)</f>
        <v>0.72227777453568187</v>
      </c>
      <c r="J105" t="s">
        <v>16774</v>
      </c>
      <c r="K105" s="7">
        <v>8</v>
      </c>
    </row>
    <row r="106" spans="1:11" x14ac:dyDescent="0.25">
      <c r="A106" s="4" t="s">
        <v>26</v>
      </c>
      <c r="B106" t="str">
        <f>VLOOKUP(Tabla6[[#This Row],[Protein_name]],raw!$A$2:$F$5391,6,FALSE)</f>
        <v>T4</v>
      </c>
      <c r="C106" t="str">
        <f>VLOOKUP(Tabla6[[#This Row],[Protein_name]],raw!$A$2:$F$5391,4,FALSE)</f>
        <v>P39060</v>
      </c>
      <c r="D106" t="str">
        <f>VLOOKUP(Tabla6[[#This Row],[Protein_name]],raw!$A$2:$F$5391,2,FALSE)</f>
        <v>collagen alpha-1(xviii) chain [cleaved into: endostatin; non-collagenous domain 1 (nc1)]</v>
      </c>
      <c r="E106" t="str">
        <f>VLOOKUP(Tabla6[[#This Row],[Protein_name]],raw!$A$2:$F$5391,5,FALSE)</f>
        <v>PROTEIN COMPLEX</v>
      </c>
      <c r="F106" t="str">
        <f>VLOOKUP(Tabla6[[#This Row],[Protein_name]],raw!$A$2:$F$5391,3,FALSE)</f>
        <v>COL18A1</v>
      </c>
      <c r="G106">
        <f>VLOOKUP(Tabla6[[#This Row],[Protein_name]],T4_metrics!$A$2:$G$693,4,FALSE)</f>
        <v>19.417999999999989</v>
      </c>
      <c r="H106">
        <f>VLOOKUP(Tabla6[[#This Row],[Protein_name]],T4_metrics!$A$2:$G$693,5,FALSE)</f>
        <v>4.0469999999999997</v>
      </c>
      <c r="I106" s="5">
        <f>VLOOKUP(Tabla6[[#This Row],[Protein_name]],T4_metrics!$A$2:$G$693,6,FALSE)</f>
        <v>0.77912057183343864</v>
      </c>
      <c r="J106" t="s">
        <v>16774</v>
      </c>
      <c r="K106" s="5">
        <v>8</v>
      </c>
    </row>
    <row r="107" spans="1:11" x14ac:dyDescent="0.25">
      <c r="A107" s="6" t="s">
        <v>30</v>
      </c>
      <c r="B107" t="str">
        <f>VLOOKUP(Tabla6[[#This Row],[Protein_name]],raw!$A$2:$F$5391,6,FALSE)</f>
        <v>T4</v>
      </c>
      <c r="C107" t="str">
        <f>VLOOKUP(Tabla6[[#This Row],[Protein_name]],raw!$A$2:$F$5391,4,FALSE)</f>
        <v>P10914</v>
      </c>
      <c r="D107" t="str">
        <f>VLOOKUP(Tabla6[[#This Row],[Protein_name]],raw!$A$2:$F$5391,2,FALSE)</f>
        <v>interferon regulatory factor 1 (irf-1)</v>
      </c>
      <c r="E107" t="str">
        <f>VLOOKUP(Tabla6[[#This Row],[Protein_name]],raw!$A$2:$F$5391,5,FALSE)</f>
        <v>SINGLE PROTEIN</v>
      </c>
      <c r="F107">
        <f>VLOOKUP(Tabla6[[#This Row],[Protein_name]],raw!$A$2:$F$5391,3,FALSE)</f>
        <v>0</v>
      </c>
      <c r="G107">
        <f>VLOOKUP(Tabla6[[#This Row],[Protein_name]],T4_metrics!$A$2:$G$693,4,FALSE)</f>
        <v>19.708999999999989</v>
      </c>
      <c r="H107">
        <f>VLOOKUP(Tabla6[[#This Row],[Protein_name]],T4_metrics!$A$2:$G$693,5,FALSE)</f>
        <v>25.24799999999999</v>
      </c>
      <c r="I107" s="5">
        <f>VLOOKUP(Tabla6[[#This Row],[Protein_name]],T4_metrics!$A$2:$G$693,6,FALSE)</f>
        <v>0.90396973781283085</v>
      </c>
      <c r="J107" t="s">
        <v>16774</v>
      </c>
      <c r="K107" s="7">
        <v>9</v>
      </c>
    </row>
    <row r="108" spans="1:11" x14ac:dyDescent="0.25">
      <c r="A108" s="4" t="s">
        <v>31</v>
      </c>
      <c r="B108" t="str">
        <f>VLOOKUP(Tabla6[[#This Row],[Protein_name]],raw!$A$2:$F$5391,6,FALSE)</f>
        <v>T4</v>
      </c>
      <c r="C108" t="str">
        <f>VLOOKUP(Tabla6[[#This Row],[Protein_name]],raw!$A$2:$F$5391,4,FALSE)</f>
        <v>O15455</v>
      </c>
      <c r="D108" t="str">
        <f>VLOOKUP(Tabla6[[#This Row],[Protein_name]],raw!$A$2:$F$5391,2,FALSE)</f>
        <v>toll-like receptor 3 (cd antigen cd283)</v>
      </c>
      <c r="E108" t="str">
        <f>VLOOKUP(Tabla6[[#This Row],[Protein_name]],raw!$A$2:$F$5391,5,FALSE)</f>
        <v>SINGLE PROTEIN</v>
      </c>
      <c r="F108">
        <f>VLOOKUP(Tabla6[[#This Row],[Protein_name]],raw!$A$2:$F$5391,3,FALSE)</f>
        <v>0</v>
      </c>
      <c r="G108">
        <f>VLOOKUP(Tabla6[[#This Row],[Protein_name]],T4_metrics!$A$2:$G$693,4,FALSE)</f>
        <v>19.76700000000001</v>
      </c>
      <c r="H108">
        <f>VLOOKUP(Tabla6[[#This Row],[Protein_name]],T4_metrics!$A$2:$G$693,5,FALSE)</f>
        <v>24.484999999999999</v>
      </c>
      <c r="I108" s="5">
        <f>VLOOKUP(Tabla6[[#This Row],[Protein_name]],T4_metrics!$A$2:$G$693,6,FALSE)</f>
        <v>0.86550843616247264</v>
      </c>
      <c r="J108" t="s">
        <v>16774</v>
      </c>
      <c r="K108" s="5">
        <v>9</v>
      </c>
    </row>
    <row r="109" spans="1:11" x14ac:dyDescent="0.25">
      <c r="A109" s="6" t="s">
        <v>90</v>
      </c>
      <c r="B109" t="str">
        <f>VLOOKUP(Tabla6[[#This Row],[Protein_name]],raw!$A$2:$F$5391,6,FALSE)</f>
        <v>T4</v>
      </c>
      <c r="C109" t="str">
        <f>VLOOKUP(Tabla6[[#This Row],[Protein_name]],raw!$A$2:$F$5391,4,FALSE)</f>
        <v>Q9NYK1</v>
      </c>
      <c r="D109" t="str">
        <f>VLOOKUP(Tabla6[[#This Row],[Protein_name]],raw!$A$2:$F$5391,2,FALSE)</f>
        <v>toll-like receptor 7</v>
      </c>
      <c r="E109" t="str">
        <f>VLOOKUP(Tabla6[[#This Row],[Protein_name]],raw!$A$2:$F$5391,5,FALSE)</f>
        <v>SINGLE PROTEIN</v>
      </c>
      <c r="F109">
        <f>VLOOKUP(Tabla6[[#This Row],[Protein_name]],raw!$A$2:$F$5391,3,FALSE)</f>
        <v>0</v>
      </c>
      <c r="G109">
        <f>VLOOKUP(Tabla6[[#This Row],[Protein_name]],T4_metrics!$A$2:$G$693,4,FALSE)</f>
        <v>23.96299999999999</v>
      </c>
      <c r="H109">
        <f>VLOOKUP(Tabla6[[#This Row],[Protein_name]],T4_metrics!$A$2:$G$693,5,FALSE)</f>
        <v>21.473999999999979</v>
      </c>
      <c r="I109" s="5">
        <f>VLOOKUP(Tabla6[[#This Row],[Protein_name]],T4_metrics!$A$2:$G$693,6,FALSE)</f>
        <v>0.85186827538802568</v>
      </c>
      <c r="J109" t="s">
        <v>16774</v>
      </c>
      <c r="K109" s="7">
        <v>9</v>
      </c>
    </row>
    <row r="110" spans="1:11" x14ac:dyDescent="0.25">
      <c r="A110" s="4" t="s">
        <v>91</v>
      </c>
      <c r="B110" t="str">
        <f>VLOOKUP(Tabla6[[#This Row],[Protein_name]],raw!$A$2:$F$5391,6,FALSE)</f>
        <v>T4</v>
      </c>
      <c r="C110" t="str">
        <f>VLOOKUP(Tabla6[[#This Row],[Protein_name]],raw!$A$2:$F$5391,4,FALSE)</f>
        <v>P13232</v>
      </c>
      <c r="D110" t="str">
        <f>VLOOKUP(Tabla6[[#This Row],[Protein_name]],raw!$A$2:$F$5391,2,FALSE)</f>
        <v>interleukin-7 (il-7)</v>
      </c>
      <c r="E110" t="str">
        <f>VLOOKUP(Tabla6[[#This Row],[Protein_name]],raw!$A$2:$F$5391,5,FALSE)</f>
        <v>SINGLE PROTEIN</v>
      </c>
      <c r="F110">
        <f>VLOOKUP(Tabla6[[#This Row],[Protein_name]],raw!$A$2:$F$5391,3,FALSE)</f>
        <v>0</v>
      </c>
      <c r="G110">
        <f>VLOOKUP(Tabla6[[#This Row],[Protein_name]],T4_metrics!$A$2:$G$693,4,FALSE)</f>
        <v>28.994</v>
      </c>
      <c r="H110">
        <f>VLOOKUP(Tabla6[[#This Row],[Protein_name]],T4_metrics!$A$2:$G$693,5,FALSE)</f>
        <v>19.469999999999992</v>
      </c>
      <c r="I110" s="5">
        <f>VLOOKUP(Tabla6[[#This Row],[Protein_name]],T4_metrics!$A$2:$G$693,6,FALSE)</f>
        <v>0.85194058125700756</v>
      </c>
      <c r="J110" t="s">
        <v>16774</v>
      </c>
      <c r="K110" s="5">
        <v>9</v>
      </c>
    </row>
    <row r="111" spans="1:11" x14ac:dyDescent="0.25">
      <c r="A111" s="6" t="s">
        <v>92</v>
      </c>
      <c r="B111" t="str">
        <f>VLOOKUP(Tabla6[[#This Row],[Protein_name]],raw!$A$2:$F$5391,6,FALSE)</f>
        <v>T4</v>
      </c>
      <c r="C111" t="str">
        <f>VLOOKUP(Tabla6[[#This Row],[Protein_name]],raw!$A$2:$F$5391,4,FALSE)</f>
        <v>Q02556</v>
      </c>
      <c r="D111" t="str">
        <f>VLOOKUP(Tabla6[[#This Row],[Protein_name]],raw!$A$2:$F$5391,2,FALSE)</f>
        <v>interferon regulatory factor 8 (irf-8) (interferon consensus sequence-binding protein) (h-icsbp) (icsbp)</v>
      </c>
      <c r="E111" t="str">
        <f>VLOOKUP(Tabla6[[#This Row],[Protein_name]],raw!$A$2:$F$5391,5,FALSE)</f>
        <v>SINGLE PROTEIN</v>
      </c>
      <c r="F111">
        <f>VLOOKUP(Tabla6[[#This Row],[Protein_name]],raw!$A$2:$F$5391,3,FALSE)</f>
        <v>0</v>
      </c>
      <c r="G111">
        <f>VLOOKUP(Tabla6[[#This Row],[Protein_name]],T4_metrics!$A$2:$G$693,4,FALSE)</f>
        <v>15.606</v>
      </c>
      <c r="H111">
        <f>VLOOKUP(Tabla6[[#This Row],[Protein_name]],T4_metrics!$A$2:$G$693,5,FALSE)</f>
        <v>18.152000000000001</v>
      </c>
      <c r="I111" s="5">
        <f>VLOOKUP(Tabla6[[#This Row],[Protein_name]],T4_metrics!$A$2:$G$693,6,FALSE)</f>
        <v>0.8356107379622516</v>
      </c>
      <c r="J111" t="s">
        <v>16774</v>
      </c>
      <c r="K111" s="7">
        <v>9</v>
      </c>
    </row>
    <row r="112" spans="1:11" x14ac:dyDescent="0.25">
      <c r="A112" s="4" t="s">
        <v>77</v>
      </c>
      <c r="B112" t="str">
        <f>VLOOKUP(Tabla6[[#This Row],[Protein_name]],raw!$A$2:$F$5391,6,FALSE)</f>
        <v>T4</v>
      </c>
      <c r="C112" t="str">
        <f>VLOOKUP(Tabla6[[#This Row],[Protein_name]],raw!$A$2:$F$5391,4,FALSE)</f>
        <v>O94805, P60709, O14497, P51532, Q12824, Q92922, Q8TAQ2, Q96GM5, Q92925, Q6STE5, Q969G3</v>
      </c>
      <c r="D112" t="str">
        <f>VLOOKUP(Tabla6[[#This Row],[Protein_name]],raw!$A$2:$F$5391,2,FALSE)</f>
        <v>actin, cytoplasmic 1 (ec 3.6.4.-) (beta-actin) [cleaved into: actin, cytoplasmic 1, n-terminally processed]</v>
      </c>
      <c r="E112" t="str">
        <f>VLOOKUP(Tabla6[[#This Row],[Protein_name]],raw!$A$2:$F$5391,5,FALSE)</f>
        <v>PROTEIN COMPLEX</v>
      </c>
      <c r="F112" t="str">
        <f>VLOOKUP(Tabla6[[#This Row],[Protein_name]],raw!$A$2:$F$5391,3,FALSE)</f>
        <v>ACTL6B,ACTB,ARID1A,SMARCA4,SMARCB1,SMARCC1,SMARCC2,SMARCD1,SMARCD2,SMARCD3,SMARCE1</v>
      </c>
      <c r="G112">
        <f>VLOOKUP(Tabla6[[#This Row],[Protein_name]],T4_metrics!$A$2:$G$693,4,FALSE)</f>
        <v>39.226000000000013</v>
      </c>
      <c r="H112">
        <f>VLOOKUP(Tabla6[[#This Row],[Protein_name]],T4_metrics!$A$2:$G$693,5,FALSE)</f>
        <v>169.22300000000041</v>
      </c>
      <c r="I112" s="5">
        <f>VLOOKUP(Tabla6[[#This Row],[Protein_name]],T4_metrics!$A$2:$G$693,6,FALSE)</f>
        <v>1.319466077654359</v>
      </c>
      <c r="J112" t="s">
        <v>16774</v>
      </c>
      <c r="K112" s="5">
        <v>10</v>
      </c>
    </row>
    <row r="113" spans="1:11" x14ac:dyDescent="0.25">
      <c r="A113" s="6" t="s">
        <v>7</v>
      </c>
      <c r="B113" t="str">
        <f>VLOOKUP(Tabla6[[#This Row],[Protein_name]],raw!$A$2:$F$5391,6,FALSE)</f>
        <v>T4</v>
      </c>
      <c r="C113" t="str">
        <f>VLOOKUP(Tabla6[[#This Row],[Protein_name]],raw!$A$2:$F$5391,4,FALSE)</f>
        <v>Q92784, O94805, P60709, O14497, P51532, Q12824, Q92922, Q8TAQ2, Q96GM5, Q92782, Q6STE5, Q969G3</v>
      </c>
      <c r="D113" t="str">
        <f>VLOOKUP(Tabla6[[#This Row],[Protein_name]],raw!$A$2:$F$5391,2,FALSE)</f>
        <v>actin, cytoplasmic 1 (ec 3.6.4.-) (beta-actin) [cleaved into: actin, cytoplasmic 1, n-terminally processed]</v>
      </c>
      <c r="E113" t="str">
        <f>VLOOKUP(Tabla6[[#This Row],[Protein_name]],raw!$A$2:$F$5391,5,FALSE)</f>
        <v>PROTEIN COMPLEX</v>
      </c>
      <c r="F113" t="str">
        <f>VLOOKUP(Tabla6[[#This Row],[Protein_name]],raw!$A$2:$F$5391,3,FALSE)</f>
        <v>DPF3,ACTL6B,ACTB,ARID1A,SMARCA4,SMARCB1,SMARCC1,SMARCC2,SMARCD1,DPF1,SMARCD3,SMARCE1</v>
      </c>
      <c r="G113">
        <f>VLOOKUP(Tabla6[[#This Row],[Protein_name]],T4_metrics!$A$2:$G$693,4,FALSE)</f>
        <v>39.226000000000013</v>
      </c>
      <c r="H113">
        <f>VLOOKUP(Tabla6[[#This Row],[Protein_name]],T4_metrics!$A$2:$G$693,5,FALSE)</f>
        <v>169.22300000000041</v>
      </c>
      <c r="I113" s="5">
        <f>VLOOKUP(Tabla6[[#This Row],[Protein_name]],T4_metrics!$A$2:$G$693,6,FALSE)</f>
        <v>1.432837571208645</v>
      </c>
      <c r="J113" t="s">
        <v>16774</v>
      </c>
      <c r="K113" s="7">
        <v>10</v>
      </c>
    </row>
    <row r="114" spans="1:11" x14ac:dyDescent="0.25">
      <c r="A114" s="4" t="s">
        <v>78</v>
      </c>
      <c r="B114" t="str">
        <f>VLOOKUP(Tabla6[[#This Row],[Protein_name]],raw!$A$2:$F$5391,6,FALSE)</f>
        <v>T4</v>
      </c>
      <c r="C114" t="str">
        <f>VLOOKUP(Tabla6[[#This Row],[Protein_name]],raw!$A$2:$F$5391,4,FALSE)</f>
        <v>O94805, P60709, O14497, P51532, Q12824, Q8TAQ2, Q92925, Q969G3</v>
      </c>
      <c r="D114" t="str">
        <f>VLOOKUP(Tabla6[[#This Row],[Protein_name]],raw!$A$2:$F$5391,2,FALSE)</f>
        <v>actin, cytoplasmic 1 (ec 3.6.4.-) (beta-actin) [cleaved into: actin, cytoplasmic 1, n-terminally processed]</v>
      </c>
      <c r="E114" t="str">
        <f>VLOOKUP(Tabla6[[#This Row],[Protein_name]],raw!$A$2:$F$5391,5,FALSE)</f>
        <v>PROTEIN COMPLEX</v>
      </c>
      <c r="F114" t="str">
        <f>VLOOKUP(Tabla6[[#This Row],[Protein_name]],raw!$A$2:$F$5391,3,FALSE)</f>
        <v>ACTL6B,ACTB,ARID1A,SMARCA4,SMARCB1,SMARCC2,SMARCD2,SMARCE1</v>
      </c>
      <c r="G114">
        <f>VLOOKUP(Tabla6[[#This Row],[Protein_name]],T4_metrics!$A$2:$G$693,4,FALSE)</f>
        <v>39.226000000000013</v>
      </c>
      <c r="H114">
        <f>VLOOKUP(Tabla6[[#This Row],[Protein_name]],T4_metrics!$A$2:$G$693,5,FALSE)</f>
        <v>169.22300000000041</v>
      </c>
      <c r="I114" s="5">
        <f>VLOOKUP(Tabla6[[#This Row],[Protein_name]],T4_metrics!$A$2:$G$693,6,FALSE)</f>
        <v>1.318942227069785</v>
      </c>
      <c r="J114" t="s">
        <v>16774</v>
      </c>
      <c r="K114" s="5">
        <v>10</v>
      </c>
    </row>
    <row r="115" spans="1:11" x14ac:dyDescent="0.25">
      <c r="A115" s="6" t="s">
        <v>79</v>
      </c>
      <c r="B115" t="str">
        <f>VLOOKUP(Tabla6[[#This Row],[Protein_name]],raw!$A$2:$F$5391,6,FALSE)</f>
        <v>T4</v>
      </c>
      <c r="C115" t="str">
        <f>VLOOKUP(Tabla6[[#This Row],[Protein_name]],raw!$A$2:$F$5391,4,FALSE)</f>
        <v>O94805, P60709, O14497, P51532, Q12824, Q92922, Q8TAQ2, Q96GM5, Q92925, Q6STE5, Q969G3, Q92784</v>
      </c>
      <c r="D115" t="str">
        <f>VLOOKUP(Tabla6[[#This Row],[Protein_name]],raw!$A$2:$F$5391,2,FALSE)</f>
        <v>actin, cytoplasmic 1 (ec 3.6.4.-) (beta-actin) [cleaved into: actin, cytoplasmic 1, n-terminally processed]</v>
      </c>
      <c r="E115" t="str">
        <f>VLOOKUP(Tabla6[[#This Row],[Protein_name]],raw!$A$2:$F$5391,5,FALSE)</f>
        <v>PROTEIN COMPLEX</v>
      </c>
      <c r="F115" t="str">
        <f>VLOOKUP(Tabla6[[#This Row],[Protein_name]],raw!$A$2:$F$5391,3,FALSE)</f>
        <v>ACTL6B,ACTB,ARID1A,SMARCA4,SMARCB1,SMARCC1,SMARCC2,SMARCD1,SMARCD2,SMARCD3,SMARCE1,DPF3</v>
      </c>
      <c r="G115">
        <f>VLOOKUP(Tabla6[[#This Row],[Protein_name]],T4_metrics!$A$2:$G$693,4,FALSE)</f>
        <v>39.226000000000013</v>
      </c>
      <c r="H115">
        <f>VLOOKUP(Tabla6[[#This Row],[Protein_name]],T4_metrics!$A$2:$G$693,5,FALSE)</f>
        <v>169.22300000000041</v>
      </c>
      <c r="I115" s="5">
        <f>VLOOKUP(Tabla6[[#This Row],[Protein_name]],T4_metrics!$A$2:$G$693,6,FALSE)</f>
        <v>1.319466077654359</v>
      </c>
      <c r="J115" t="s">
        <v>16774</v>
      </c>
      <c r="K115" s="7">
        <v>10</v>
      </c>
    </row>
    <row r="116" spans="1:11" x14ac:dyDescent="0.25">
      <c r="A116" s="4" t="s">
        <v>9</v>
      </c>
      <c r="B116" t="str">
        <f>VLOOKUP(Tabla6[[#This Row],[Protein_name]],raw!$A$2:$F$5391,6,FALSE)</f>
        <v>T4</v>
      </c>
      <c r="C116" t="str">
        <f>VLOOKUP(Tabla6[[#This Row],[Protein_name]],raw!$A$2:$F$5391,4,FALSE)</f>
        <v>Q92784, O94805, P60709, O14497, P51531, Q12824, Q92922, Q8TAQ2, Q96GM5, Q92782, Q6STE5, Q969G3</v>
      </c>
      <c r="D116" t="str">
        <f>VLOOKUP(Tabla6[[#This Row],[Protein_name]],raw!$A$2:$F$5391,2,FALSE)</f>
        <v>actin, cytoplasmic 1 (ec 3.6.4.-) (beta-actin) [cleaved into: actin, cytoplasmic 1, n-terminally processed]</v>
      </c>
      <c r="E116" t="str">
        <f>VLOOKUP(Tabla6[[#This Row],[Protein_name]],raw!$A$2:$F$5391,5,FALSE)</f>
        <v>PROTEIN COMPLEX</v>
      </c>
      <c r="F116" t="str">
        <f>VLOOKUP(Tabla6[[#This Row],[Protein_name]],raw!$A$2:$F$5391,3,FALSE)</f>
        <v>DPF3,ACTL6B,ACTB,ARID1A,SMARCA2,SMARCB1,SMARCC1,SMARCC2,SMARCD1,DPF1,SMARCD3,SMARCE1</v>
      </c>
      <c r="G116">
        <f>VLOOKUP(Tabla6[[#This Row],[Protein_name]],T4_metrics!$A$2:$G$693,4,FALSE)</f>
        <v>39.644000000000013</v>
      </c>
      <c r="H116">
        <f>VLOOKUP(Tabla6[[#This Row],[Protein_name]],T4_metrics!$A$2:$G$693,5,FALSE)</f>
        <v>169.11399999999989</v>
      </c>
      <c r="I116" s="5">
        <f>VLOOKUP(Tabla6[[#This Row],[Protein_name]],T4_metrics!$A$2:$G$693,6,FALSE)</f>
        <v>1.417851338290637</v>
      </c>
      <c r="J116" t="s">
        <v>16774</v>
      </c>
      <c r="K116" s="5">
        <v>10</v>
      </c>
    </row>
    <row r="117" spans="1:11" x14ac:dyDescent="0.25">
      <c r="A117" s="6" t="s">
        <v>80</v>
      </c>
      <c r="B117" t="str">
        <f>VLOOKUP(Tabla6[[#This Row],[Protein_name]],raw!$A$2:$F$5391,6,FALSE)</f>
        <v>T4</v>
      </c>
      <c r="C117" t="str">
        <f>VLOOKUP(Tabla6[[#This Row],[Protein_name]],raw!$A$2:$F$5391,4,FALSE)</f>
        <v>P63165</v>
      </c>
      <c r="D117" t="str">
        <f>VLOOKUP(Tabla6[[#This Row],[Protein_name]],raw!$A$2:$F$5391,2,FALSE)</f>
        <v>small ubiquitin-related modifier 1 (sumo-1) (gap-modifying protein 1) (gmp1) (smt3 homolog 3) (sentrin) (ubiquitin-homology domain protein pic1) (ubiquitin-like protein smt3c) (smt3c) (ubiquitin-like protein ubl1)</v>
      </c>
      <c r="E117" t="str">
        <f>VLOOKUP(Tabla6[[#This Row],[Protein_name]],raw!$A$2:$F$5391,5,FALSE)</f>
        <v>SINGLE PROTEIN</v>
      </c>
      <c r="F117">
        <f>VLOOKUP(Tabla6[[#This Row],[Protein_name]],raw!$A$2:$F$5391,3,FALSE)</f>
        <v>0</v>
      </c>
      <c r="G117">
        <f>VLOOKUP(Tabla6[[#This Row],[Protein_name]],T4_metrics!$A$2:$G$693,4,FALSE)</f>
        <v>54.334000000000032</v>
      </c>
      <c r="H117">
        <f>VLOOKUP(Tabla6[[#This Row],[Protein_name]],T4_metrics!$A$2:$G$693,5,FALSE)</f>
        <v>128.98899999999949</v>
      </c>
      <c r="I117" s="5">
        <f>VLOOKUP(Tabla6[[#This Row],[Protein_name]],T4_metrics!$A$2:$G$693,6,FALSE)</f>
        <v>0.97977374367507508</v>
      </c>
      <c r="J117" t="s">
        <v>16774</v>
      </c>
      <c r="K117" s="7">
        <v>11</v>
      </c>
    </row>
    <row r="118" spans="1:11" x14ac:dyDescent="0.25">
      <c r="A118" s="4" t="s">
        <v>81</v>
      </c>
      <c r="B118" t="str">
        <f>VLOOKUP(Tabla6[[#This Row],[Protein_name]],raw!$A$2:$F$5391,6,FALSE)</f>
        <v>T4</v>
      </c>
      <c r="C118" t="str">
        <f>VLOOKUP(Tabla6[[#This Row],[Protein_name]],raw!$A$2:$F$5391,4,FALSE)</f>
        <v>Q8N488, Q8WXX7, Q99496, Q3KNV8, P67870, P19784, P68400</v>
      </c>
      <c r="D118" t="str">
        <f>VLOOKUP(Tabla6[[#This Row],[Protein_name]],raw!$A$2:$F$5391,2,FALSE)</f>
        <v>autism susceptibility gene 2 protein</v>
      </c>
      <c r="E118" t="str">
        <f>VLOOKUP(Tabla6[[#This Row],[Protein_name]],raw!$A$2:$F$5391,5,FALSE)</f>
        <v>PROTEIN COMPLEX</v>
      </c>
      <c r="F118" t="str">
        <f>VLOOKUP(Tabla6[[#This Row],[Protein_name]],raw!$A$2:$F$5391,3,FALSE)</f>
        <v>RYBP,AUTS2,RNF2,PCGF3,CSNK2B,CSNK2A2,CSNK2A1</v>
      </c>
      <c r="G118">
        <f>VLOOKUP(Tabla6[[#This Row],[Protein_name]],T4_metrics!$A$2:$G$693,4,FALSE)</f>
        <v>106.1870000000001</v>
      </c>
      <c r="H118">
        <f>VLOOKUP(Tabla6[[#This Row],[Protein_name]],T4_metrics!$A$2:$G$693,5,FALSE)</f>
        <v>52.12800000000005</v>
      </c>
      <c r="I118" s="5">
        <f>VLOOKUP(Tabla6[[#This Row],[Protein_name]],T4_metrics!$A$2:$G$693,6,FALSE)</f>
        <v>0.96052946807161987</v>
      </c>
      <c r="J118" t="s">
        <v>16774</v>
      </c>
      <c r="K118" s="5">
        <v>11</v>
      </c>
    </row>
    <row r="119" spans="1:11" x14ac:dyDescent="0.25">
      <c r="A119" s="6" t="s">
        <v>82</v>
      </c>
      <c r="B119" t="str">
        <f>VLOOKUP(Tabla6[[#This Row],[Protein_name]],raw!$A$2:$F$5391,6,FALSE)</f>
        <v>T4</v>
      </c>
      <c r="C119" t="str">
        <f>VLOOKUP(Tabla6[[#This Row],[Protein_name]],raw!$A$2:$F$5391,4,FALSE)</f>
        <v>P68400, P67870, Q8WXX7, Q3KNV8, Q8N488, Q99496</v>
      </c>
      <c r="D119" t="str">
        <f>VLOOKUP(Tabla6[[#This Row],[Protein_name]],raw!$A$2:$F$5391,2,FALSE)</f>
        <v>autism susceptibility gene 2 protein</v>
      </c>
      <c r="E119" t="str">
        <f>VLOOKUP(Tabla6[[#This Row],[Protein_name]],raw!$A$2:$F$5391,5,FALSE)</f>
        <v>PROTEIN COMPLEX</v>
      </c>
      <c r="F119" t="str">
        <f>VLOOKUP(Tabla6[[#This Row],[Protein_name]],raw!$A$2:$F$5391,3,FALSE)</f>
        <v>CSNK2A1,CSNK2B,,AUTS2,PCGF3,RYBP</v>
      </c>
      <c r="G119">
        <f>VLOOKUP(Tabla6[[#This Row],[Protein_name]],T4_metrics!$A$2:$G$693,4,FALSE)</f>
        <v>106.1870000000001</v>
      </c>
      <c r="H119">
        <f>VLOOKUP(Tabla6[[#This Row],[Protein_name]],T4_metrics!$A$2:$G$693,5,FALSE)</f>
        <v>52.12800000000005</v>
      </c>
      <c r="I119" s="5">
        <f>VLOOKUP(Tabla6[[#This Row],[Protein_name]],T4_metrics!$A$2:$G$693,6,FALSE)</f>
        <v>0.88636053635882261</v>
      </c>
      <c r="J119" t="s">
        <v>16774</v>
      </c>
      <c r="K119" s="7">
        <v>11</v>
      </c>
    </row>
    <row r="120" spans="1:11" x14ac:dyDescent="0.25">
      <c r="A120" s="4" t="s">
        <v>15</v>
      </c>
      <c r="B120" t="str">
        <f>VLOOKUP(Tabla6[[#This Row],[Protein_name]],raw!$A$2:$F$5391,6,FALSE)</f>
        <v>T4</v>
      </c>
      <c r="C120" t="str">
        <f>VLOOKUP(Tabla6[[#This Row],[Protein_name]],raw!$A$2:$F$5391,4,FALSE)</f>
        <v>Q8WXX7, P67870, P19784, Q3KNV8, Q8IY57, Q99496</v>
      </c>
      <c r="D120" t="str">
        <f>VLOOKUP(Tabla6[[#This Row],[Protein_name]],raw!$A$2:$F$5391,2,FALSE)</f>
        <v>autism susceptibility gene 2 protein</v>
      </c>
      <c r="E120" t="str">
        <f>VLOOKUP(Tabla6[[#This Row],[Protein_name]],raw!$A$2:$F$5391,5,FALSE)</f>
        <v>PROTEIN COMPLEX</v>
      </c>
      <c r="F120" t="str">
        <f>VLOOKUP(Tabla6[[#This Row],[Protein_name]],raw!$A$2:$F$5391,3,FALSE)</f>
        <v>AUTS2,CSNK2B,CSNK2A2,,PCGF3,YAF2</v>
      </c>
      <c r="G120">
        <f>VLOOKUP(Tabla6[[#This Row],[Protein_name]],T4_metrics!$A$2:$G$693,4,FALSE)</f>
        <v>106.1870000000001</v>
      </c>
      <c r="H120">
        <f>VLOOKUP(Tabla6[[#This Row],[Protein_name]],T4_metrics!$A$2:$G$693,5,FALSE)</f>
        <v>52.12800000000005</v>
      </c>
      <c r="I120" s="5">
        <f>VLOOKUP(Tabla6[[#This Row],[Protein_name]],T4_metrics!$A$2:$G$693,6,FALSE)</f>
        <v>1.0316846578304071</v>
      </c>
      <c r="J120" t="s">
        <v>16774</v>
      </c>
      <c r="K120" s="5">
        <v>11</v>
      </c>
    </row>
    <row r="121" spans="1:11" x14ac:dyDescent="0.25">
      <c r="A121" s="8" t="s">
        <v>83</v>
      </c>
      <c r="B121" t="str">
        <f>VLOOKUP(Tabla6[[#This Row],[Protein_name]],raw!$A$2:$F$5391,6,FALSE)</f>
        <v>T4</v>
      </c>
      <c r="C121" t="str">
        <f>VLOOKUP(Tabla6[[#This Row],[Protein_name]],raw!$A$2:$F$5391,4,FALSE)</f>
        <v>Q8WXX7, P67870, P19784, P68400, Q3KNV8, Q99496, Q8IY57</v>
      </c>
      <c r="D121" t="str">
        <f>VLOOKUP(Tabla6[[#This Row],[Protein_name]],raw!$A$2:$F$5391,2,FALSE)</f>
        <v>autism susceptibility gene 2 protein</v>
      </c>
      <c r="E121" t="str">
        <f>VLOOKUP(Tabla6[[#This Row],[Protein_name]],raw!$A$2:$F$5391,5,FALSE)</f>
        <v>PROTEIN COMPLEX</v>
      </c>
      <c r="F121" t="str">
        <f>VLOOKUP(Tabla6[[#This Row],[Protein_name]],raw!$A$2:$F$5391,3,FALSE)</f>
        <v>AUTS2,CSNK2B,CSNK2A2,CSNK2A1,,PCGF3,RNF2</v>
      </c>
      <c r="G121">
        <f>VLOOKUP(Tabla6[[#This Row],[Protein_name]],T4_metrics!$A$2:$G$693,4,FALSE)</f>
        <v>106.1870000000001</v>
      </c>
      <c r="H121">
        <f>VLOOKUP(Tabla6[[#This Row],[Protein_name]],T4_metrics!$A$2:$G$693,5,FALSE)</f>
        <v>52.12800000000005</v>
      </c>
      <c r="I121" s="5">
        <f>VLOOKUP(Tabla6[[#This Row],[Protein_name]],T4_metrics!$A$2:$G$693,6,FALSE)</f>
        <v>1.0316846578304071</v>
      </c>
      <c r="J121" t="s">
        <v>16774</v>
      </c>
      <c r="K121" s="9">
        <v>11</v>
      </c>
    </row>
    <row r="122" spans="1:11" x14ac:dyDescent="0.25">
      <c r="A122" s="4" t="s">
        <v>159</v>
      </c>
      <c r="B122" t="str">
        <f>VLOOKUP(Tabla6[[#This Row],[Protein_name]],raw!$A$2:$F$5391,6,FALSE)</f>
        <v>T4</v>
      </c>
      <c r="C122" t="str">
        <f>VLOOKUP(Tabla6[[#This Row],[Protein_name]],raw!$A$2:$F$5391,4,FALSE)</f>
        <v>P15586</v>
      </c>
      <c r="D122" t="str">
        <f>VLOOKUP(Tabla6[[#This Row],[Protein_name]],raw!$A$2:$F$5391,2,FALSE)</f>
        <v>n-acetylglucosamine-6-sulfatase (ec 3.1.6.14) (glucosamine-6-sulfatase) (g6s)</v>
      </c>
      <c r="E122" t="str">
        <f>VLOOKUP(Tabla6[[#This Row],[Protein_name]],raw!$A$2:$F$5391,5,FALSE)</f>
        <v>SINGLE PROTEIN</v>
      </c>
      <c r="F122">
        <f>VLOOKUP(Tabla6[[#This Row],[Protein_name]],raw!$A$2:$F$5391,3,FALSE)</f>
        <v>0</v>
      </c>
      <c r="G122">
        <f>VLOOKUP(Tabla6[[#This Row],[Protein_name]],T4_metrics!$A$2:$G$693,4,FALSE)</f>
        <v>10.585000000000001</v>
      </c>
      <c r="H122">
        <f>VLOOKUP(Tabla6[[#This Row],[Protein_name]],T4_metrics!$A$2:$G$693,5,FALSE)</f>
        <v>0.41799999999999998</v>
      </c>
      <c r="I122" s="5">
        <f>VLOOKUP(Tabla6[[#This Row],[Protein_name]],T4_metrics!$A$2:$G$693,6,FALSE)</f>
        <v>0.56919144409483469</v>
      </c>
      <c r="J122" t="s">
        <v>16775</v>
      </c>
      <c r="K122" s="5">
        <v>0</v>
      </c>
    </row>
    <row r="123" spans="1:11" x14ac:dyDescent="0.25">
      <c r="A123" s="6" t="s">
        <v>75</v>
      </c>
      <c r="B123" t="str">
        <f>VLOOKUP(Tabla6[[#This Row],[Protein_name]],raw!$A$2:$F$5391,6,FALSE)</f>
        <v>T4</v>
      </c>
      <c r="C123" t="str">
        <f>VLOOKUP(Tabla6[[#This Row],[Protein_name]],raw!$A$2:$F$5391,4,FALSE)</f>
        <v>P54802</v>
      </c>
      <c r="D123" t="str">
        <f>VLOOKUP(Tabla6[[#This Row],[Protein_name]],raw!$A$2:$F$5391,2,FALSE)</f>
        <v>alpha-n-acetylglucosaminidase (ec 3.2.1.50) (n-acetyl-alpha-glucosaminidase) (nag) [cleaved into: alpha-n-acetylglucosaminidase 82 kda form; alpha-n-acetylglucosaminidase 77 kda form]</v>
      </c>
      <c r="E123" t="str">
        <f>VLOOKUP(Tabla6[[#This Row],[Protein_name]],raw!$A$2:$F$5391,5,FALSE)</f>
        <v>SINGLE PROTEIN</v>
      </c>
      <c r="F123">
        <f>VLOOKUP(Tabla6[[#This Row],[Protein_name]],raw!$A$2:$F$5391,3,FALSE)</f>
        <v>0</v>
      </c>
      <c r="G123">
        <f>VLOOKUP(Tabla6[[#This Row],[Protein_name]],T4_metrics!$A$2:$G$693,4,FALSE)</f>
        <v>10.574</v>
      </c>
      <c r="H123">
        <f>VLOOKUP(Tabla6[[#This Row],[Protein_name]],T4_metrics!$A$2:$G$693,5,FALSE)</f>
        <v>0</v>
      </c>
      <c r="I123" s="5">
        <f>VLOOKUP(Tabla6[[#This Row],[Protein_name]],T4_metrics!$A$2:$G$693,6,FALSE)</f>
        <v>0.67904409702558732</v>
      </c>
      <c r="J123" t="s">
        <v>16775</v>
      </c>
      <c r="K123" s="7">
        <v>0</v>
      </c>
    </row>
    <row r="124" spans="1:11" x14ac:dyDescent="0.25">
      <c r="A124" s="4" t="s">
        <v>160</v>
      </c>
      <c r="B124" t="str">
        <f>VLOOKUP(Tabla6[[#This Row],[Protein_name]],raw!$A$2:$F$5391,6,FALSE)</f>
        <v>T4</v>
      </c>
      <c r="C124" t="str">
        <f>VLOOKUP(Tabla6[[#This Row],[Protein_name]],raw!$A$2:$F$5391,4,FALSE)</f>
        <v>P06865, P07686</v>
      </c>
      <c r="D124" t="str">
        <f>VLOOKUP(Tabla6[[#This Row],[Protein_name]],raw!$A$2:$F$5391,2,FALSE)</f>
        <v>beta-hexosaminidase subunit alpha (ec 3.2.1.52) (beta-n-acetylhexosaminidase subunit alpha) (hexosaminidase subunit a) (n-acetyl-beta-glucosaminidase subunit alpha)</v>
      </c>
      <c r="E124" t="str">
        <f>VLOOKUP(Tabla6[[#This Row],[Protein_name]],raw!$A$2:$F$5391,5,FALSE)</f>
        <v>PROTEIN COMPLEX</v>
      </c>
      <c r="F124" t="str">
        <f>VLOOKUP(Tabla6[[#This Row],[Protein_name]],raw!$A$2:$F$5391,3,FALSE)</f>
        <v>HEXA,HEXB</v>
      </c>
      <c r="G124">
        <f>VLOOKUP(Tabla6[[#This Row],[Protein_name]],T4_metrics!$A$2:$G$693,4,FALSE)</f>
        <v>9.7580000000000009</v>
      </c>
      <c r="H124">
        <f>VLOOKUP(Tabla6[[#This Row],[Protein_name]],T4_metrics!$A$2:$G$693,5,FALSE)</f>
        <v>0</v>
      </c>
      <c r="I124" s="5">
        <f>VLOOKUP(Tabla6[[#This Row],[Protein_name]],T4_metrics!$A$2:$G$693,6,FALSE)</f>
        <v>0.59714397581341916</v>
      </c>
      <c r="J124" t="s">
        <v>16775</v>
      </c>
      <c r="K124" s="5">
        <v>0</v>
      </c>
    </row>
    <row r="125" spans="1:11" x14ac:dyDescent="0.25">
      <c r="A125" s="6" t="s">
        <v>161</v>
      </c>
      <c r="B125" t="str">
        <f>VLOOKUP(Tabla6[[#This Row],[Protein_name]],raw!$A$2:$F$5391,6,FALSE)</f>
        <v>T4</v>
      </c>
      <c r="C125" t="str">
        <f>VLOOKUP(Tabla6[[#This Row],[Protein_name]],raw!$A$2:$F$5391,4,FALSE)</f>
        <v>P06865</v>
      </c>
      <c r="D125" t="str">
        <f>VLOOKUP(Tabla6[[#This Row],[Protein_name]],raw!$A$2:$F$5391,2,FALSE)</f>
        <v>beta-hexosaminidase subunit alpha (ec 3.2.1.52) (beta-n-acetylhexosaminidase subunit alpha) (hexosaminidase subunit a) (n-acetyl-beta-glucosaminidase subunit alpha)</v>
      </c>
      <c r="E125" t="str">
        <f>VLOOKUP(Tabla6[[#This Row],[Protein_name]],raw!$A$2:$F$5391,5,FALSE)</f>
        <v>PROTEIN COMPLEX</v>
      </c>
      <c r="F125" t="str">
        <f>VLOOKUP(Tabla6[[#This Row],[Protein_name]],raw!$A$2:$F$5391,3,FALSE)</f>
        <v>HEXA</v>
      </c>
      <c r="G125">
        <f>VLOOKUP(Tabla6[[#This Row],[Protein_name]],T4_metrics!$A$2:$G$693,4,FALSE)</f>
        <v>9.6999999999999993</v>
      </c>
      <c r="H125">
        <f>VLOOKUP(Tabla6[[#This Row],[Protein_name]],T4_metrics!$A$2:$G$693,5,FALSE)</f>
        <v>0</v>
      </c>
      <c r="I125" s="5">
        <f>VLOOKUP(Tabla6[[#This Row],[Protein_name]],T4_metrics!$A$2:$G$693,6,FALSE)</f>
        <v>0.56765585955216458</v>
      </c>
      <c r="J125" t="s">
        <v>16775</v>
      </c>
      <c r="K125" s="7">
        <v>0</v>
      </c>
    </row>
    <row r="126" spans="1:11" x14ac:dyDescent="0.25">
      <c r="A126" s="4" t="s">
        <v>162</v>
      </c>
      <c r="B126" t="str">
        <f>VLOOKUP(Tabla6[[#This Row],[Protein_name]],raw!$A$2:$F$5391,6,FALSE)</f>
        <v>T4</v>
      </c>
      <c r="C126" t="str">
        <f>VLOOKUP(Tabla6[[#This Row],[Protein_name]],raw!$A$2:$F$5391,4,FALSE)</f>
        <v>P07686</v>
      </c>
      <c r="D126" t="str">
        <f>VLOOKUP(Tabla6[[#This Row],[Protein_name]],raw!$A$2:$F$5391,2,FALSE)</f>
        <v>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v>
      </c>
      <c r="E126" t="str">
        <f>VLOOKUP(Tabla6[[#This Row],[Protein_name]],raw!$A$2:$F$5391,5,FALSE)</f>
        <v>PROTEIN COMPLEX</v>
      </c>
      <c r="F126" t="str">
        <f>VLOOKUP(Tabla6[[#This Row],[Protein_name]],raw!$A$2:$F$5391,3,FALSE)</f>
        <v>HEXB</v>
      </c>
      <c r="G126">
        <f>VLOOKUP(Tabla6[[#This Row],[Protein_name]],T4_metrics!$A$2:$G$693,4,FALSE)</f>
        <v>9.1950000000000003</v>
      </c>
      <c r="H126">
        <f>VLOOKUP(Tabla6[[#This Row],[Protein_name]],T4_metrics!$A$2:$G$693,5,FALSE)</f>
        <v>0</v>
      </c>
      <c r="I126" s="5">
        <f>VLOOKUP(Tabla6[[#This Row],[Protein_name]],T4_metrics!$A$2:$G$693,6,FALSE)</f>
        <v>0.58442637576860512</v>
      </c>
      <c r="J126" t="s">
        <v>16775</v>
      </c>
      <c r="K126" s="5">
        <v>0</v>
      </c>
    </row>
    <row r="127" spans="1:11" x14ac:dyDescent="0.25">
      <c r="A127" s="6" t="s">
        <v>148</v>
      </c>
      <c r="B127" t="str">
        <f>VLOOKUP(Tabla6[[#This Row],[Protein_name]],raw!$A$2:$F$5391,6,FALSE)</f>
        <v>T4</v>
      </c>
      <c r="C127" t="str">
        <f>VLOOKUP(Tabla6[[#This Row],[Protein_name]],raw!$A$2:$F$5391,4,FALSE)</f>
        <v>O75636, O00187, O00187</v>
      </c>
      <c r="D127" t="str">
        <f>VLOOKUP(Tabla6[[#This Row],[Protein_name]],raw!$A$2:$F$5391,2,FALSE)</f>
        <v>ficolin-3 (collagen/fibrinogen domain-containing lectin 3 p35) (collagen/fibrinogen domain-containing protein 3) (hakata antigen)</v>
      </c>
      <c r="E127" t="str">
        <f>VLOOKUP(Tabla6[[#This Row],[Protein_name]],raw!$A$2:$F$5391,5,FALSE)</f>
        <v>PROTEIN COMPLEX</v>
      </c>
      <c r="F127" t="str">
        <f>VLOOKUP(Tabla6[[#This Row],[Protein_name]],raw!$A$2:$F$5391,3,FALSE)</f>
        <v>FCN3,O00187-PRO_0000027599,O00187-PRO_0000027600</v>
      </c>
      <c r="G127">
        <f>VLOOKUP(Tabla6[[#This Row],[Protein_name]],T4_metrics!$A$2:$G$693,4,FALSE)</f>
        <v>27.50800000000001</v>
      </c>
      <c r="H127">
        <f>VLOOKUP(Tabla6[[#This Row],[Protein_name]],T4_metrics!$A$2:$G$693,5,FALSE)</f>
        <v>0.46899999999999997</v>
      </c>
      <c r="I127" s="5">
        <f>VLOOKUP(Tabla6[[#This Row],[Protein_name]],T4_metrics!$A$2:$G$693,6,FALSE)</f>
        <v>0.6352282368698926</v>
      </c>
      <c r="J127" t="s">
        <v>16775</v>
      </c>
      <c r="K127" s="7">
        <v>1</v>
      </c>
    </row>
    <row r="128" spans="1:11" x14ac:dyDescent="0.25">
      <c r="A128" s="4" t="s">
        <v>149</v>
      </c>
      <c r="B128" t="str">
        <f>VLOOKUP(Tabla6[[#This Row],[Protein_name]],raw!$A$2:$F$5391,6,FALSE)</f>
        <v>T4</v>
      </c>
      <c r="C128" t="str">
        <f>VLOOKUP(Tabla6[[#This Row],[Protein_name]],raw!$A$2:$F$5391,4,FALSE)</f>
        <v>P05156, P05156</v>
      </c>
      <c r="D128" t="str">
        <f>VLOOKUP(Tabla6[[#This Row],[Protein_name]],raw!$A$2:$F$5391,2,FALSE)</f>
        <v>complement factor i (ec 3.4.21.45) (c3b/c4b inactivator) [cleaved into: complement factor i heavy chain; complement factor i light chain]</v>
      </c>
      <c r="E128" t="str">
        <f>VLOOKUP(Tabla6[[#This Row],[Protein_name]],raw!$A$2:$F$5391,5,FALSE)</f>
        <v>PROTEIN COMPLEX</v>
      </c>
      <c r="F128" t="str">
        <f>VLOOKUP(Tabla6[[#This Row],[Protein_name]],raw!$A$2:$F$5391,3,FALSE)</f>
        <v>P05156-PRO_0000027569,P05156-PRO_0000027570</v>
      </c>
      <c r="G128">
        <f>VLOOKUP(Tabla6[[#This Row],[Protein_name]],T4_metrics!$A$2:$G$693,4,FALSE)</f>
        <v>26.47600000000001</v>
      </c>
      <c r="H128">
        <f>VLOOKUP(Tabla6[[#This Row],[Protein_name]],T4_metrics!$A$2:$G$693,5,FALSE)</f>
        <v>0</v>
      </c>
      <c r="I128" s="5">
        <f>VLOOKUP(Tabla6[[#This Row],[Protein_name]],T4_metrics!$A$2:$G$693,6,FALSE)</f>
        <v>1.203158961009509</v>
      </c>
      <c r="J128" t="s">
        <v>16775</v>
      </c>
      <c r="K128" s="5">
        <v>1</v>
      </c>
    </row>
    <row r="129" spans="1:11" x14ac:dyDescent="0.25">
      <c r="A129" s="6" t="s">
        <v>104</v>
      </c>
      <c r="B129" t="str">
        <f>VLOOKUP(Tabla6[[#This Row],[Protein_name]],raw!$A$2:$F$5391,6,FALSE)</f>
        <v>T4</v>
      </c>
      <c r="C129" t="str">
        <f>VLOOKUP(Tabla6[[#This Row],[Protein_name]],raw!$A$2:$F$5391,4,FALSE)</f>
        <v>P05155</v>
      </c>
      <c r="D129" t="str">
        <f>VLOOKUP(Tabla6[[#This Row],[Protein_name]],raw!$A$2:$F$5391,2,FALSE)</f>
        <v>plasma protease c1 inhibitor (c1 inh) (c1inh) (c1 esterase inhibitor) (c1-inhibiting factor) (serpin g1)</v>
      </c>
      <c r="E129" t="str">
        <f>VLOOKUP(Tabla6[[#This Row],[Protein_name]],raw!$A$2:$F$5391,5,FALSE)</f>
        <v>SINGLE PROTEIN</v>
      </c>
      <c r="F129">
        <f>VLOOKUP(Tabla6[[#This Row],[Protein_name]],raw!$A$2:$F$5391,3,FALSE)</f>
        <v>0</v>
      </c>
      <c r="G129">
        <f>VLOOKUP(Tabla6[[#This Row],[Protein_name]],T4_metrics!$A$2:$G$693,4,FALSE)</f>
        <v>25.391999999999999</v>
      </c>
      <c r="H129">
        <f>VLOOKUP(Tabla6[[#This Row],[Protein_name]],T4_metrics!$A$2:$G$693,5,FALSE)</f>
        <v>1.8740000000000001</v>
      </c>
      <c r="I129" s="5">
        <f>VLOOKUP(Tabla6[[#This Row],[Protein_name]],T4_metrics!$A$2:$G$693,6,FALSE)</f>
        <v>0.69839121166716656</v>
      </c>
      <c r="J129" t="s">
        <v>16775</v>
      </c>
      <c r="K129" s="7">
        <v>1</v>
      </c>
    </row>
    <row r="130" spans="1:11" x14ac:dyDescent="0.25">
      <c r="A130" s="4" t="s">
        <v>150</v>
      </c>
      <c r="B130" t="str">
        <f>VLOOKUP(Tabla6[[#This Row],[Protein_name]],raw!$A$2:$F$5391,6,FALSE)</f>
        <v>T4</v>
      </c>
      <c r="C130" t="str">
        <f>VLOOKUP(Tabla6[[#This Row],[Protein_name]],raw!$A$2:$F$5391,4,FALSE)</f>
        <v>O75636, P48740, P48740</v>
      </c>
      <c r="D130" t="str">
        <f>VLOOKUP(Tabla6[[#This Row],[Protein_name]],raw!$A$2:$F$5391,2,FALSE)</f>
        <v>ficolin-3 (collagen/fibrinogen domain-containing lectin 3 p35) (collagen/fibrinogen domain-containing protein 3) (hakata antigen)</v>
      </c>
      <c r="E130" t="str">
        <f>VLOOKUP(Tabla6[[#This Row],[Protein_name]],raw!$A$2:$F$5391,5,FALSE)</f>
        <v>PROTEIN COMPLEX</v>
      </c>
      <c r="F130" t="str">
        <f>VLOOKUP(Tabla6[[#This Row],[Protein_name]],raw!$A$2:$F$5391,3,FALSE)</f>
        <v>FCN3,P48740-PRO_0000027593,P48740-PRO_0000027594</v>
      </c>
      <c r="G130">
        <f>VLOOKUP(Tabla6[[#This Row],[Protein_name]],T4_metrics!$A$2:$G$693,4,FALSE)</f>
        <v>25.253999999999991</v>
      </c>
      <c r="H130">
        <f>VLOOKUP(Tabla6[[#This Row],[Protein_name]],T4_metrics!$A$2:$G$693,5,FALSE)</f>
        <v>0</v>
      </c>
      <c r="I130" s="5">
        <f>VLOOKUP(Tabla6[[#This Row],[Protein_name]],T4_metrics!$A$2:$G$693,6,FALSE)</f>
        <v>0.65655037885639711</v>
      </c>
      <c r="J130" t="s">
        <v>16775</v>
      </c>
      <c r="K130" s="5">
        <v>1</v>
      </c>
    </row>
    <row r="131" spans="1:11" x14ac:dyDescent="0.25">
      <c r="A131" s="6" t="s">
        <v>151</v>
      </c>
      <c r="B131" t="str">
        <f>VLOOKUP(Tabla6[[#This Row],[Protein_name]],raw!$A$2:$F$5391,6,FALSE)</f>
        <v>T4</v>
      </c>
      <c r="C131" t="str">
        <f>VLOOKUP(Tabla6[[#This Row],[Protein_name]],raw!$A$2:$F$5391,4,FALSE)</f>
        <v>Q9Y6Z7, Q9BWP8, O00187, O00187</v>
      </c>
      <c r="D131" t="str">
        <f>VLOOKUP(Tabla6[[#This Row],[Protein_name]],raw!$A$2:$F$5391,2,FALSE)</f>
        <v>collectin-10 (collectin liver protein 1) (cl-l1) (collectin-34) (cl-34)</v>
      </c>
      <c r="E131" t="str">
        <f>VLOOKUP(Tabla6[[#This Row],[Protein_name]],raw!$A$2:$F$5391,5,FALSE)</f>
        <v>PROTEIN COMPLEX</v>
      </c>
      <c r="F131" t="str">
        <f>VLOOKUP(Tabla6[[#This Row],[Protein_name]],raw!$A$2:$F$5391,3,FALSE)</f>
        <v>COLEC10,COLEC11,O00187-PRO_0000027599,O00187-PRO_0000027600</v>
      </c>
      <c r="G131">
        <f>VLOOKUP(Tabla6[[#This Row],[Protein_name]],T4_metrics!$A$2:$G$693,4,FALSE)</f>
        <v>25.052</v>
      </c>
      <c r="H131">
        <f>VLOOKUP(Tabla6[[#This Row],[Protein_name]],T4_metrics!$A$2:$G$693,5,FALSE)</f>
        <v>1.4950000000000001</v>
      </c>
      <c r="I131" s="5">
        <f>VLOOKUP(Tabla6[[#This Row],[Protein_name]],T4_metrics!$A$2:$G$693,6,FALSE)</f>
        <v>0.64488659807994275</v>
      </c>
      <c r="J131" t="s">
        <v>16775</v>
      </c>
      <c r="K131" s="7">
        <v>1</v>
      </c>
    </row>
    <row r="132" spans="1:11" x14ac:dyDescent="0.25">
      <c r="A132" s="4" t="s">
        <v>143</v>
      </c>
      <c r="B132" t="str">
        <f>VLOOKUP(Tabla6[[#This Row],[Protein_name]],raw!$A$2:$F$5391,6,FALSE)</f>
        <v>T4</v>
      </c>
      <c r="C132" t="str">
        <f>VLOOKUP(Tabla6[[#This Row],[Protein_name]],raw!$A$2:$F$5391,4,FALSE)</f>
        <v>O43186</v>
      </c>
      <c r="D132" t="str">
        <f>VLOOKUP(Tabla6[[#This Row],[Protein_name]],raw!$A$2:$F$5391,2,FALSE)</f>
        <v>cone-rod homeobox protein</v>
      </c>
      <c r="E132" t="str">
        <f>VLOOKUP(Tabla6[[#This Row],[Protein_name]],raw!$A$2:$F$5391,5,FALSE)</f>
        <v>SINGLE PROTEIN</v>
      </c>
      <c r="F132">
        <f>VLOOKUP(Tabla6[[#This Row],[Protein_name]],raw!$A$2:$F$5391,3,FALSE)</f>
        <v>0</v>
      </c>
      <c r="G132">
        <f>VLOOKUP(Tabla6[[#This Row],[Protein_name]],T4_metrics!$A$2:$G$693,4,FALSE)</f>
        <v>37.58700000000001</v>
      </c>
      <c r="H132">
        <f>VLOOKUP(Tabla6[[#This Row],[Protein_name]],T4_metrics!$A$2:$G$693,5,FALSE)</f>
        <v>0</v>
      </c>
      <c r="I132" s="5">
        <f>VLOOKUP(Tabla6[[#This Row],[Protein_name]],T4_metrics!$A$2:$G$693,6,FALSE)</f>
        <v>0.6581433885257183</v>
      </c>
      <c r="J132" t="s">
        <v>16775</v>
      </c>
      <c r="K132" s="5">
        <v>2</v>
      </c>
    </row>
    <row r="133" spans="1:11" x14ac:dyDescent="0.25">
      <c r="A133" s="6" t="s">
        <v>93</v>
      </c>
      <c r="B133" t="str">
        <f>VLOOKUP(Tabla6[[#This Row],[Protein_name]],raw!$A$2:$F$5391,6,FALSE)</f>
        <v>T4</v>
      </c>
      <c r="C133" t="str">
        <f>VLOOKUP(Tabla6[[#This Row],[Protein_name]],raw!$A$2:$F$5391,4,FALSE)</f>
        <v>Q16518</v>
      </c>
      <c r="D133" t="str">
        <f>VLOOKUP(Tabla6[[#This Row],[Protein_name]],raw!$A$2:$F$5391,2,FALSE)</f>
        <v>retinoid isomerohydrolase (ec 3.1.1.64) (all-trans-retinyl-palmitate hydrolase) (lutein isomerase) (meso-zeaxanthin isomerase) (ec 5.3.3.22) (retinal pigment epithelium-specific 65 kda protein) (retinol isomerase)</v>
      </c>
      <c r="E133" t="str">
        <f>VLOOKUP(Tabla6[[#This Row],[Protein_name]],raw!$A$2:$F$5391,5,FALSE)</f>
        <v>SINGLE PROTEIN</v>
      </c>
      <c r="F133">
        <f>VLOOKUP(Tabla6[[#This Row],[Protein_name]],raw!$A$2:$F$5391,3,FALSE)</f>
        <v>0</v>
      </c>
      <c r="G133">
        <f>VLOOKUP(Tabla6[[#This Row],[Protein_name]],T4_metrics!$A$2:$G$693,4,FALSE)</f>
        <v>37.171999999999997</v>
      </c>
      <c r="H133">
        <f>VLOOKUP(Tabla6[[#This Row],[Protein_name]],T4_metrics!$A$2:$G$693,5,FALSE)</f>
        <v>17.32</v>
      </c>
      <c r="I133" s="5">
        <f>VLOOKUP(Tabla6[[#This Row],[Protein_name]],T4_metrics!$A$2:$G$693,6,FALSE)</f>
        <v>0.63957544506817621</v>
      </c>
      <c r="J133" t="s">
        <v>16775</v>
      </c>
      <c r="K133" s="7">
        <v>2</v>
      </c>
    </row>
    <row r="134" spans="1:11" x14ac:dyDescent="0.25">
      <c r="A134" s="4" t="s">
        <v>144</v>
      </c>
      <c r="B134" t="str">
        <f>VLOOKUP(Tabla6[[#This Row],[Protein_name]],raw!$A$2:$F$5391,6,FALSE)</f>
        <v>T4</v>
      </c>
      <c r="C134" t="str">
        <f>VLOOKUP(Tabla6[[#This Row],[Protein_name]],raw!$A$2:$F$5391,4,FALSE)</f>
        <v>P23942</v>
      </c>
      <c r="D134" t="str">
        <f>VLOOKUP(Tabla6[[#This Row],[Protein_name]],raw!$A$2:$F$5391,2,FALSE)</f>
        <v>peripherin-2 (retinal degeneration slow protein) (tetraspanin-22) (tspan-22)</v>
      </c>
      <c r="E134" t="str">
        <f>VLOOKUP(Tabla6[[#This Row],[Protein_name]],raw!$A$2:$F$5391,5,FALSE)</f>
        <v>SINGLE PROTEIN</v>
      </c>
      <c r="F134">
        <f>VLOOKUP(Tabla6[[#This Row],[Protein_name]],raw!$A$2:$F$5391,3,FALSE)</f>
        <v>0</v>
      </c>
      <c r="G134">
        <f>VLOOKUP(Tabla6[[#This Row],[Protein_name]],T4_metrics!$A$2:$G$693,4,FALSE)</f>
        <v>36.792999999999999</v>
      </c>
      <c r="H134">
        <f>VLOOKUP(Tabla6[[#This Row],[Protein_name]],T4_metrics!$A$2:$G$693,5,FALSE)</f>
        <v>0.82699999999999996</v>
      </c>
      <c r="I134" s="5">
        <f>VLOOKUP(Tabla6[[#This Row],[Protein_name]],T4_metrics!$A$2:$G$693,6,FALSE)</f>
        <v>0.61855427768351334</v>
      </c>
      <c r="J134" t="s">
        <v>16775</v>
      </c>
      <c r="K134" s="5">
        <v>2</v>
      </c>
    </row>
    <row r="135" spans="1:11" x14ac:dyDescent="0.25">
      <c r="A135" s="6" t="s">
        <v>145</v>
      </c>
      <c r="B135" t="str">
        <f>VLOOKUP(Tabla6[[#This Row],[Protein_name]],raw!$A$2:$F$5391,6,FALSE)</f>
        <v>T4</v>
      </c>
      <c r="C135" t="str">
        <f>VLOOKUP(Tabla6[[#This Row],[Protein_name]],raw!$A$2:$F$5391,4,FALSE)</f>
        <v>P78363</v>
      </c>
      <c r="D135" t="str">
        <f>VLOOKUP(Tabla6[[#This Row],[Protein_name]],raw!$A$2:$F$5391,2,FALSE)</f>
        <v>retinal-specific phospholipid-transporting atpase abca4 (ec 7.6.2.1) (atp-binding cassette sub-family a member 4) (rim abc transporter) (rim proteinv) (rmp) (retinal-specific atp-binding cassette transporter) (stargardt disease protein)</v>
      </c>
      <c r="E135" t="str">
        <f>VLOOKUP(Tabla6[[#This Row],[Protein_name]],raw!$A$2:$F$5391,5,FALSE)</f>
        <v>SINGLE PROTEIN</v>
      </c>
      <c r="F135">
        <f>VLOOKUP(Tabla6[[#This Row],[Protein_name]],raw!$A$2:$F$5391,3,FALSE)</f>
        <v>0</v>
      </c>
      <c r="G135">
        <f>VLOOKUP(Tabla6[[#This Row],[Protein_name]],T4_metrics!$A$2:$G$693,4,FALSE)</f>
        <v>35.055</v>
      </c>
      <c r="H135">
        <f>VLOOKUP(Tabla6[[#This Row],[Protein_name]],T4_metrics!$A$2:$G$693,5,FALSE)</f>
        <v>0</v>
      </c>
      <c r="I135" s="5">
        <f>VLOOKUP(Tabla6[[#This Row],[Protein_name]],T4_metrics!$A$2:$G$693,6,FALSE)</f>
        <v>0.58227949624451092</v>
      </c>
      <c r="J135" t="s">
        <v>16775</v>
      </c>
      <c r="K135" s="7">
        <v>2</v>
      </c>
    </row>
    <row r="136" spans="1:11" x14ac:dyDescent="0.25">
      <c r="A136" s="4" t="s">
        <v>94</v>
      </c>
      <c r="B136" t="str">
        <f>VLOOKUP(Tabla6[[#This Row],[Protein_name]],raw!$A$2:$F$5391,6,FALSE)</f>
        <v>T4</v>
      </c>
      <c r="C136" t="str">
        <f>VLOOKUP(Tabla6[[#This Row],[Protein_name]],raw!$A$2:$F$5391,4,FALSE)</f>
        <v>Q14028</v>
      </c>
      <c r="D136" t="str">
        <f>VLOOKUP(Tabla6[[#This Row],[Protein_name]],raw!$A$2:$F$5391,2,FALSE)</f>
        <v>cyclic nucleotide-gated channel beta-1 (cng channel beta-1) (cyclic nucleotide-gated cation channel 4) (cng channel 4) (cng-4) (cng4) (cyclic nucleotide-gated cation channel gamma) (cyclic nucleotide-gated cation channel modulatory subunit) (glutamic acid-rich protein) (garp)</v>
      </c>
      <c r="E136" t="str">
        <f>VLOOKUP(Tabla6[[#This Row],[Protein_name]],raw!$A$2:$F$5391,5,FALSE)</f>
        <v>SINGLE PROTEIN</v>
      </c>
      <c r="F136">
        <f>VLOOKUP(Tabla6[[#This Row],[Protein_name]],raw!$A$2:$F$5391,3,FALSE)</f>
        <v>0</v>
      </c>
      <c r="G136">
        <f>VLOOKUP(Tabla6[[#This Row],[Protein_name]],T4_metrics!$A$2:$G$693,4,FALSE)</f>
        <v>34.89</v>
      </c>
      <c r="H136">
        <f>VLOOKUP(Tabla6[[#This Row],[Protein_name]],T4_metrics!$A$2:$G$693,5,FALSE)</f>
        <v>11.183999999999999</v>
      </c>
      <c r="I136" s="5">
        <f>VLOOKUP(Tabla6[[#This Row],[Protein_name]],T4_metrics!$A$2:$G$693,6,FALSE)</f>
        <v>0.68447920682451668</v>
      </c>
      <c r="J136" t="s">
        <v>16775</v>
      </c>
      <c r="K136" s="5">
        <v>2</v>
      </c>
    </row>
    <row r="137" spans="1:11" x14ac:dyDescent="0.25">
      <c r="A137" s="6" t="s">
        <v>156</v>
      </c>
      <c r="B137" t="str">
        <f>VLOOKUP(Tabla6[[#This Row],[Protein_name]],raw!$A$2:$F$5391,6,FALSE)</f>
        <v>T4</v>
      </c>
      <c r="C137" t="str">
        <f>VLOOKUP(Tabla6[[#This Row],[Protein_name]],raw!$A$2:$F$5391,4,FALSE)</f>
        <v>Q8TDI8</v>
      </c>
      <c r="D137" t="str">
        <f>VLOOKUP(Tabla6[[#This Row],[Protein_name]],raw!$A$2:$F$5391,2,FALSE)</f>
        <v>transmembrane channel-like protein 1 (transmembrane cochlear-expressed protein 1)</v>
      </c>
      <c r="E137" t="str">
        <f>VLOOKUP(Tabla6[[#This Row],[Protein_name]],raw!$A$2:$F$5391,5,FALSE)</f>
        <v>SINGLE PROTEIN</v>
      </c>
      <c r="F137">
        <f>VLOOKUP(Tabla6[[#This Row],[Protein_name]],raw!$A$2:$F$5391,3,FALSE)</f>
        <v>0</v>
      </c>
      <c r="G137">
        <f>VLOOKUP(Tabla6[[#This Row],[Protein_name]],T4_metrics!$A$2:$G$693,4,FALSE)</f>
        <v>19.239999999999998</v>
      </c>
      <c r="H137">
        <f>VLOOKUP(Tabla6[[#This Row],[Protein_name]],T4_metrics!$A$2:$G$693,5,FALSE)</f>
        <v>1.2949999999999999</v>
      </c>
      <c r="I137" s="5">
        <f>VLOOKUP(Tabla6[[#This Row],[Protein_name]],T4_metrics!$A$2:$G$693,6,FALSE)</f>
        <v>0.50968598134473286</v>
      </c>
      <c r="J137" t="s">
        <v>16775</v>
      </c>
      <c r="K137" s="7">
        <v>3</v>
      </c>
    </row>
    <row r="138" spans="1:11" x14ac:dyDescent="0.25">
      <c r="A138" s="4" t="s">
        <v>157</v>
      </c>
      <c r="B138" t="str">
        <f>VLOOKUP(Tabla6[[#This Row],[Protein_name]],raw!$A$2:$F$5391,6,FALSE)</f>
        <v>T4</v>
      </c>
      <c r="C138" t="str">
        <f>VLOOKUP(Tabla6[[#This Row],[Protein_name]],raw!$A$2:$F$5391,4,FALSE)</f>
        <v>Q9H251</v>
      </c>
      <c r="D138" t="str">
        <f>VLOOKUP(Tabla6[[#This Row],[Protein_name]],raw!$A$2:$F$5391,2,FALSE)</f>
        <v>cadherin-23 (otocadherin)</v>
      </c>
      <c r="E138" t="str">
        <f>VLOOKUP(Tabla6[[#This Row],[Protein_name]],raw!$A$2:$F$5391,5,FALSE)</f>
        <v>SINGLE PROTEIN</v>
      </c>
      <c r="F138">
        <f>VLOOKUP(Tabla6[[#This Row],[Protein_name]],raw!$A$2:$F$5391,3,FALSE)</f>
        <v>0</v>
      </c>
      <c r="G138">
        <f>VLOOKUP(Tabla6[[#This Row],[Protein_name]],T4_metrics!$A$2:$G$693,4,FALSE)</f>
        <v>17.577999999999999</v>
      </c>
      <c r="H138">
        <f>VLOOKUP(Tabla6[[#This Row],[Protein_name]],T4_metrics!$A$2:$G$693,5,FALSE)</f>
        <v>1.3080000000000001</v>
      </c>
      <c r="I138" s="5">
        <f>VLOOKUP(Tabla6[[#This Row],[Protein_name]],T4_metrics!$A$2:$G$693,6,FALSE)</f>
        <v>0.49121504360043522</v>
      </c>
      <c r="J138" t="s">
        <v>16775</v>
      </c>
      <c r="K138" s="5">
        <v>3</v>
      </c>
    </row>
    <row r="139" spans="1:11" x14ac:dyDescent="0.25">
      <c r="A139" s="6" t="s">
        <v>68</v>
      </c>
      <c r="B139" t="str">
        <f>VLOOKUP(Tabla6[[#This Row],[Protein_name]],raw!$A$2:$F$5391,6,FALSE)</f>
        <v>T4</v>
      </c>
      <c r="C139" t="str">
        <f>VLOOKUP(Tabla6[[#This Row],[Protein_name]],raw!$A$2:$F$5391,4,FALSE)</f>
        <v>A8MXD5</v>
      </c>
      <c r="D139" t="str">
        <f>VLOOKUP(Tabla6[[#This Row],[Protein_name]],raw!$A$2:$F$5391,2,FALSE)</f>
        <v>glutaredoxin domain-containing cysteine-rich protein 1</v>
      </c>
      <c r="E139" t="str">
        <f>VLOOKUP(Tabla6[[#This Row],[Protein_name]],raw!$A$2:$F$5391,5,FALSE)</f>
        <v>SINGLE PROTEIN</v>
      </c>
      <c r="F139">
        <f>VLOOKUP(Tabla6[[#This Row],[Protein_name]],raw!$A$2:$F$5391,3,FALSE)</f>
        <v>0</v>
      </c>
      <c r="G139">
        <f>VLOOKUP(Tabla6[[#This Row],[Protein_name]],T4_metrics!$A$2:$G$693,4,FALSE)</f>
        <v>17.416</v>
      </c>
      <c r="H139">
        <f>VLOOKUP(Tabla6[[#This Row],[Protein_name]],T4_metrics!$A$2:$G$693,5,FALSE)</f>
        <v>2.2650000000000001</v>
      </c>
      <c r="I139" s="5">
        <f>VLOOKUP(Tabla6[[#This Row],[Protein_name]],T4_metrics!$A$2:$G$693,6,FALSE)</f>
        <v>0.57143786172617261</v>
      </c>
      <c r="J139" t="s">
        <v>16775</v>
      </c>
      <c r="K139" s="7">
        <v>3</v>
      </c>
    </row>
    <row r="140" spans="1:11" x14ac:dyDescent="0.25">
      <c r="A140" s="4" t="s">
        <v>158</v>
      </c>
      <c r="B140" t="str">
        <f>VLOOKUP(Tabla6[[#This Row],[Protein_name]],raw!$A$2:$F$5391,6,FALSE)</f>
        <v>T4</v>
      </c>
      <c r="C140" t="str">
        <f>VLOOKUP(Tabla6[[#This Row],[Protein_name]],raw!$A$2:$F$5391,4,FALSE)</f>
        <v>Q96QU1</v>
      </c>
      <c r="D140" t="str">
        <f>VLOOKUP(Tabla6[[#This Row],[Protein_name]],raw!$A$2:$F$5391,2,FALSE)</f>
        <v>protocadherin-15</v>
      </c>
      <c r="E140" t="str">
        <f>VLOOKUP(Tabla6[[#This Row],[Protein_name]],raw!$A$2:$F$5391,5,FALSE)</f>
        <v>SINGLE PROTEIN</v>
      </c>
      <c r="F140">
        <f>VLOOKUP(Tabla6[[#This Row],[Protein_name]],raw!$A$2:$F$5391,3,FALSE)</f>
        <v>0</v>
      </c>
      <c r="G140">
        <f>VLOOKUP(Tabla6[[#This Row],[Protein_name]],T4_metrics!$A$2:$G$693,4,FALSE)</f>
        <v>17.190000000000001</v>
      </c>
      <c r="H140">
        <f>VLOOKUP(Tabla6[[#This Row],[Protein_name]],T4_metrics!$A$2:$G$693,5,FALSE)</f>
        <v>0</v>
      </c>
      <c r="I140" s="5">
        <f>VLOOKUP(Tabla6[[#This Row],[Protein_name]],T4_metrics!$A$2:$G$693,6,FALSE)</f>
        <v>0.50282074459835147</v>
      </c>
      <c r="J140" t="s">
        <v>16775</v>
      </c>
      <c r="K140" s="5">
        <v>3</v>
      </c>
    </row>
    <row r="141" spans="1:11" x14ac:dyDescent="0.25">
      <c r="A141" s="6" t="s">
        <v>112</v>
      </c>
      <c r="B141" t="str">
        <f>VLOOKUP(Tabla6[[#This Row],[Protein_name]],raw!$A$2:$F$5391,6,FALSE)</f>
        <v>T4</v>
      </c>
      <c r="C141" t="str">
        <f>VLOOKUP(Tabla6[[#This Row],[Protein_name]],raw!$A$2:$F$5391,4,FALSE)</f>
        <v>P29033</v>
      </c>
      <c r="D141" t="str">
        <f>VLOOKUP(Tabla6[[#This Row],[Protein_name]],raw!$A$2:$F$5391,2,FALSE)</f>
        <v>gap junction beta-2 protein (connexin-26) (cx26)</v>
      </c>
      <c r="E141" t="str">
        <f>VLOOKUP(Tabla6[[#This Row],[Protein_name]],raw!$A$2:$F$5391,5,FALSE)</f>
        <v>SINGLE PROTEIN</v>
      </c>
      <c r="F141">
        <f>VLOOKUP(Tabla6[[#This Row],[Protein_name]],raw!$A$2:$F$5391,3,FALSE)</f>
        <v>0</v>
      </c>
      <c r="G141">
        <f>VLOOKUP(Tabla6[[#This Row],[Protein_name]],T4_metrics!$A$2:$G$693,4,FALSE)</f>
        <v>16.024999999999999</v>
      </c>
      <c r="H141">
        <f>VLOOKUP(Tabla6[[#This Row],[Protein_name]],T4_metrics!$A$2:$G$693,5,FALSE)</f>
        <v>2.9569999999999999</v>
      </c>
      <c r="I141" s="5">
        <f>VLOOKUP(Tabla6[[#This Row],[Protein_name]],T4_metrics!$A$2:$G$693,6,FALSE)</f>
        <v>0.53921383374122056</v>
      </c>
      <c r="J141" t="s">
        <v>16775</v>
      </c>
      <c r="K141" s="7">
        <v>3</v>
      </c>
    </row>
    <row r="142" spans="1:11" x14ac:dyDescent="0.25">
      <c r="A142" s="4" t="s">
        <v>60</v>
      </c>
      <c r="B142" t="str">
        <f>VLOOKUP(Tabla6[[#This Row],[Protein_name]],raw!$A$2:$F$5391,6,FALSE)</f>
        <v>T4</v>
      </c>
      <c r="C142" t="str">
        <f>VLOOKUP(Tabla6[[#This Row],[Protein_name]],raw!$A$2:$F$5391,4,FALSE)</f>
        <v>P78381</v>
      </c>
      <c r="D142" t="str">
        <f>VLOOKUP(Tabla6[[#This Row],[Protein_name]],raw!$A$2:$F$5391,2,FALSE)</f>
        <v>udp-galactose translocator (solute carrier family 35 member a2) (udp-galactose transporter) (udp-gal-tr) (ugt)</v>
      </c>
      <c r="E142" t="str">
        <f>VLOOKUP(Tabla6[[#This Row],[Protein_name]],raw!$A$2:$F$5391,5,FALSE)</f>
        <v>SINGLE PROTEIN</v>
      </c>
      <c r="F142">
        <f>VLOOKUP(Tabla6[[#This Row],[Protein_name]],raw!$A$2:$F$5391,3,FALSE)</f>
        <v>0</v>
      </c>
      <c r="G142">
        <f>VLOOKUP(Tabla6[[#This Row],[Protein_name]],T4_metrics!$A$2:$G$693,4,FALSE)</f>
        <v>32.701000000000001</v>
      </c>
      <c r="H142">
        <f>VLOOKUP(Tabla6[[#This Row],[Protein_name]],T4_metrics!$A$2:$G$693,5,FALSE)</f>
        <v>0</v>
      </c>
      <c r="I142" s="5">
        <f>VLOOKUP(Tabla6[[#This Row],[Protein_name]],T4_metrics!$A$2:$G$693,6,FALSE)</f>
        <v>0.98423563930899083</v>
      </c>
      <c r="J142" t="s">
        <v>16775</v>
      </c>
      <c r="K142" s="5">
        <v>4</v>
      </c>
    </row>
    <row r="143" spans="1:11" x14ac:dyDescent="0.25">
      <c r="A143" s="6" t="s">
        <v>61</v>
      </c>
      <c r="B143" t="str">
        <f>VLOOKUP(Tabla6[[#This Row],[Protein_name]],raw!$A$2:$F$5391,6,FALSE)</f>
        <v>T4</v>
      </c>
      <c r="C143" t="str">
        <f>VLOOKUP(Tabla6[[#This Row],[Protein_name]],raw!$A$2:$F$5391,4,FALSE)</f>
        <v>P51857</v>
      </c>
      <c r="D143" t="str">
        <f>VLOOKUP(Tabla6[[#This Row],[Protein_name]],raw!$A$2:$F$5391,2,FALSE)</f>
        <v>aldo-keto reductase family 1 member d1 (ec 1.3.1.3) (3-oxo-5-beta-steroid 4-dehydrogenase) (delta(4)-3-ketosteroid 5-beta-reductase) (delta(4)-3-oxosteroid 5-beta-reductase)</v>
      </c>
      <c r="E143" t="str">
        <f>VLOOKUP(Tabla6[[#This Row],[Protein_name]],raw!$A$2:$F$5391,5,FALSE)</f>
        <v>SINGLE PROTEIN</v>
      </c>
      <c r="F143">
        <f>VLOOKUP(Tabla6[[#This Row],[Protein_name]],raw!$A$2:$F$5391,3,FALSE)</f>
        <v>0</v>
      </c>
      <c r="G143">
        <f>VLOOKUP(Tabla6[[#This Row],[Protein_name]],T4_metrics!$A$2:$G$693,4,FALSE)</f>
        <v>22.561</v>
      </c>
      <c r="H143">
        <f>VLOOKUP(Tabla6[[#This Row],[Protein_name]],T4_metrics!$A$2:$G$693,5,FALSE)</f>
        <v>2.258</v>
      </c>
      <c r="I143" s="5">
        <f>VLOOKUP(Tabla6[[#This Row],[Protein_name]],T4_metrics!$A$2:$G$693,6,FALSE)</f>
        <v>0.97474883067091311</v>
      </c>
      <c r="J143" t="s">
        <v>16775</v>
      </c>
      <c r="K143" s="7">
        <v>4</v>
      </c>
    </row>
    <row r="144" spans="1:11" x14ac:dyDescent="0.25">
      <c r="A144" s="4" t="s">
        <v>111</v>
      </c>
      <c r="B144" t="str">
        <f>VLOOKUP(Tabla6[[#This Row],[Protein_name]],raw!$A$2:$F$5391,6,FALSE)</f>
        <v>T4</v>
      </c>
      <c r="C144" t="str">
        <f>VLOOKUP(Tabla6[[#This Row],[Protein_name]],raw!$A$2:$F$5391,4,FALSE)</f>
        <v>P26439</v>
      </c>
      <c r="D144" t="str">
        <f>VLOOKUP(Tabla6[[#This Row],[Protein_name]],raw!$A$2:$F$5391,2,FALSE)</f>
        <v>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v>
      </c>
      <c r="E144" t="str">
        <f>VLOOKUP(Tabla6[[#This Row],[Protein_name]],raw!$A$2:$F$5391,5,FALSE)</f>
        <v>SINGLE PROTEIN</v>
      </c>
      <c r="F144">
        <f>VLOOKUP(Tabla6[[#This Row],[Protein_name]],raw!$A$2:$F$5391,3,FALSE)</f>
        <v>0</v>
      </c>
      <c r="G144">
        <f>VLOOKUP(Tabla6[[#This Row],[Protein_name]],T4_metrics!$A$2:$G$693,4,FALSE)</f>
        <v>19.850000000000001</v>
      </c>
      <c r="H144">
        <f>VLOOKUP(Tabla6[[#This Row],[Protein_name]],T4_metrics!$A$2:$G$693,5,FALSE)</f>
        <v>1.403</v>
      </c>
      <c r="I144" s="5">
        <f>VLOOKUP(Tabla6[[#This Row],[Protein_name]],T4_metrics!$A$2:$G$693,6,FALSE)</f>
        <v>0.83623794805220719</v>
      </c>
      <c r="J144" t="s">
        <v>16775</v>
      </c>
      <c r="K144" s="5">
        <v>4</v>
      </c>
    </row>
    <row r="145" spans="1:11" x14ac:dyDescent="0.25">
      <c r="A145" s="6" t="s">
        <v>58</v>
      </c>
      <c r="B145" t="str">
        <f>VLOOKUP(Tabla6[[#This Row],[Protein_name]],raw!$A$2:$F$5391,6,FALSE)</f>
        <v>T4</v>
      </c>
      <c r="C145" t="str">
        <f>VLOOKUP(Tabla6[[#This Row],[Protein_name]],raw!$A$2:$F$5391,4,FALSE)</f>
        <v>Q6V0L0</v>
      </c>
      <c r="D145" t="str">
        <f>VLOOKUP(Tabla6[[#This Row],[Protein_name]],raw!$A$2:$F$5391,2,FALSE)</f>
        <v>cytochrome p450 26c1 (cyp26c1) (ec 1.14.14.1)</v>
      </c>
      <c r="E145" t="str">
        <f>VLOOKUP(Tabla6[[#This Row],[Protein_name]],raw!$A$2:$F$5391,5,FALSE)</f>
        <v>SINGLE PROTEIN</v>
      </c>
      <c r="F145">
        <f>VLOOKUP(Tabla6[[#This Row],[Protein_name]],raw!$A$2:$F$5391,3,FALSE)</f>
        <v>0</v>
      </c>
      <c r="G145">
        <f>VLOOKUP(Tabla6[[#This Row],[Protein_name]],T4_metrics!$A$2:$G$693,4,FALSE)</f>
        <v>19.079999999999998</v>
      </c>
      <c r="H145">
        <f>VLOOKUP(Tabla6[[#This Row],[Protein_name]],T4_metrics!$A$2:$G$693,5,FALSE)</f>
        <v>0.879</v>
      </c>
      <c r="I145" s="5">
        <f>VLOOKUP(Tabla6[[#This Row],[Protein_name]],T4_metrics!$A$2:$G$693,6,FALSE)</f>
        <v>0.99655038348063152</v>
      </c>
      <c r="J145" t="s">
        <v>16775</v>
      </c>
      <c r="K145" s="7">
        <v>4</v>
      </c>
    </row>
    <row r="146" spans="1:11" x14ac:dyDescent="0.25">
      <c r="A146" s="4" t="s">
        <v>110</v>
      </c>
      <c r="B146" t="str">
        <f>VLOOKUP(Tabla6[[#This Row],[Protein_name]],raw!$A$2:$F$5391,6,FALSE)</f>
        <v>T4</v>
      </c>
      <c r="C146" t="str">
        <f>VLOOKUP(Tabla6[[#This Row],[Protein_name]],raw!$A$2:$F$5391,4,FALSE)</f>
        <v>P07099</v>
      </c>
      <c r="D146" t="str">
        <f>VLOOKUP(Tabla6[[#This Row],[Protein_name]],raw!$A$2:$F$5391,2,FALSE)</f>
        <v>epoxide hydrolase 1 (ec 3.3.2.9) (epoxide hydratase) (microsomal epoxide hydrolase) (meh)</v>
      </c>
      <c r="E146" t="str">
        <f>VLOOKUP(Tabla6[[#This Row],[Protein_name]],raw!$A$2:$F$5391,5,FALSE)</f>
        <v>SINGLE PROTEIN</v>
      </c>
      <c r="F146">
        <f>VLOOKUP(Tabla6[[#This Row],[Protein_name]],raw!$A$2:$F$5391,3,FALSE)</f>
        <v>0</v>
      </c>
      <c r="G146">
        <f>VLOOKUP(Tabla6[[#This Row],[Protein_name]],T4_metrics!$A$2:$G$693,4,FALSE)</f>
        <v>18.641999999999999</v>
      </c>
      <c r="H146">
        <f>VLOOKUP(Tabla6[[#This Row],[Protein_name]],T4_metrics!$A$2:$G$693,5,FALSE)</f>
        <v>2.1989999999999998</v>
      </c>
      <c r="I146" s="5">
        <f>VLOOKUP(Tabla6[[#This Row],[Protein_name]],T4_metrics!$A$2:$G$693,6,FALSE)</f>
        <v>0.9232365136126639</v>
      </c>
      <c r="J146" t="s">
        <v>16775</v>
      </c>
      <c r="K146" s="5">
        <v>4</v>
      </c>
    </row>
    <row r="147" spans="1:11" x14ac:dyDescent="0.25">
      <c r="A147" s="6" t="s">
        <v>130</v>
      </c>
      <c r="B147" t="str">
        <f>VLOOKUP(Tabla6[[#This Row],[Protein_name]],raw!$A$2:$F$5391,6,FALSE)</f>
        <v>T4</v>
      </c>
      <c r="C147" t="str">
        <f>VLOOKUP(Tabla6[[#This Row],[Protein_name]],raw!$A$2:$F$5391,4,FALSE)</f>
        <v>Q07699, Q8IWT1, P35498</v>
      </c>
      <c r="D147" t="str">
        <f>VLOOKUP(Tabla6[[#This Row],[Protein_name]],raw!$A$2:$F$5391,2,FALSE)</f>
        <v>sodium channel protein type 1 subunit alpha (sodium channel protein brain i subunit alpha) (sodium channel protein type i subunit alpha) (voltage-gated sodium channel subunit alpha nav1.1)</v>
      </c>
      <c r="E147" t="str">
        <f>VLOOKUP(Tabla6[[#This Row],[Protein_name]],raw!$A$2:$F$5391,5,FALSE)</f>
        <v>PROTEIN COMPLEX</v>
      </c>
      <c r="F147" t="str">
        <f>VLOOKUP(Tabla6[[#This Row],[Protein_name]],raw!$A$2:$F$5391,3,FALSE)</f>
        <v>SCN1B,SCN4B,SCN1A</v>
      </c>
      <c r="G147">
        <f>VLOOKUP(Tabla6[[#This Row],[Protein_name]],T4_metrics!$A$2:$G$693,4,FALSE)</f>
        <v>145.80299999999991</v>
      </c>
      <c r="H147">
        <f>VLOOKUP(Tabla6[[#This Row],[Protein_name]],T4_metrics!$A$2:$G$693,5,FALSE)</f>
        <v>0</v>
      </c>
      <c r="I147" s="5">
        <f>VLOOKUP(Tabla6[[#This Row],[Protein_name]],T4_metrics!$A$2:$G$693,6,FALSE)</f>
        <v>0.89132601233779996</v>
      </c>
      <c r="J147" t="s">
        <v>16775</v>
      </c>
      <c r="K147" s="7">
        <v>5</v>
      </c>
    </row>
    <row r="148" spans="1:11" x14ac:dyDescent="0.25">
      <c r="A148" s="4" t="s">
        <v>131</v>
      </c>
      <c r="B148" t="str">
        <f>VLOOKUP(Tabla6[[#This Row],[Protein_name]],raw!$A$2:$F$5391,6,FALSE)</f>
        <v>T4</v>
      </c>
      <c r="C148" t="str">
        <f>VLOOKUP(Tabla6[[#This Row],[Protein_name]],raw!$A$2:$F$5391,4,FALSE)</f>
        <v>Q07699, O60939, P35498</v>
      </c>
      <c r="D148" t="str">
        <f>VLOOKUP(Tabla6[[#This Row],[Protein_name]],raw!$A$2:$F$5391,2,FALSE)</f>
        <v>sodium channel protein type 1 subunit alpha (sodium channel protein brain i subunit alpha) (sodium channel protein type i subunit alpha) (voltage-gated sodium channel subunit alpha nav1.1)</v>
      </c>
      <c r="E148" t="str">
        <f>VLOOKUP(Tabla6[[#This Row],[Protein_name]],raw!$A$2:$F$5391,5,FALSE)</f>
        <v>PROTEIN COMPLEX</v>
      </c>
      <c r="F148" t="str">
        <f>VLOOKUP(Tabla6[[#This Row],[Protein_name]],raw!$A$2:$F$5391,3,FALSE)</f>
        <v>SCN1B,SCN2B,SCN1A</v>
      </c>
      <c r="G148">
        <f>VLOOKUP(Tabla6[[#This Row],[Protein_name]],T4_metrics!$A$2:$G$693,4,FALSE)</f>
        <v>143.6639999999997</v>
      </c>
      <c r="H148">
        <f>VLOOKUP(Tabla6[[#This Row],[Protein_name]],T4_metrics!$A$2:$G$693,5,FALSE)</f>
        <v>0</v>
      </c>
      <c r="I148" s="5">
        <f>VLOOKUP(Tabla6[[#This Row],[Protein_name]],T4_metrics!$A$2:$G$693,6,FALSE)</f>
        <v>0.88596424476093016</v>
      </c>
      <c r="J148" t="s">
        <v>16775</v>
      </c>
      <c r="K148" s="5">
        <v>5</v>
      </c>
    </row>
    <row r="149" spans="1:11" x14ac:dyDescent="0.25">
      <c r="A149" s="6" t="s">
        <v>132</v>
      </c>
      <c r="B149" t="str">
        <f>VLOOKUP(Tabla6[[#This Row],[Protein_name]],raw!$A$2:$F$5391,6,FALSE)</f>
        <v>T4</v>
      </c>
      <c r="C149" t="str">
        <f>VLOOKUP(Tabla6[[#This Row],[Protein_name]],raw!$A$2:$F$5391,4,FALSE)</f>
        <v>Q9NY72, Q8IWT1, P35498</v>
      </c>
      <c r="D149" t="str">
        <f>VLOOKUP(Tabla6[[#This Row],[Protein_name]],raw!$A$2:$F$5391,2,FALSE)</f>
        <v>sodium channel protein type 1 subunit alpha (sodium channel protein brain i subunit alpha) (sodium channel protein type i subunit alpha) (voltage-gated sodium channel subunit alpha nav1.1)</v>
      </c>
      <c r="E149" t="str">
        <f>VLOOKUP(Tabla6[[#This Row],[Protein_name]],raw!$A$2:$F$5391,5,FALSE)</f>
        <v>PROTEIN COMPLEX</v>
      </c>
      <c r="F149" t="str">
        <f>VLOOKUP(Tabla6[[#This Row],[Protein_name]],raw!$A$2:$F$5391,3,FALSE)</f>
        <v>SCN3B,SCN4B,SCN1A</v>
      </c>
      <c r="G149">
        <f>VLOOKUP(Tabla6[[#This Row],[Protein_name]],T4_metrics!$A$2:$G$693,4,FALSE)</f>
        <v>141.107</v>
      </c>
      <c r="H149">
        <f>VLOOKUP(Tabla6[[#This Row],[Protein_name]],T4_metrics!$A$2:$G$693,5,FALSE)</f>
        <v>0</v>
      </c>
      <c r="I149" s="5">
        <f>VLOOKUP(Tabla6[[#This Row],[Protein_name]],T4_metrics!$A$2:$G$693,6,FALSE)</f>
        <v>0.92127233377402018</v>
      </c>
      <c r="J149" t="s">
        <v>16775</v>
      </c>
      <c r="K149" s="7">
        <v>5</v>
      </c>
    </row>
    <row r="150" spans="1:11" x14ac:dyDescent="0.25">
      <c r="A150" s="4" t="s">
        <v>133</v>
      </c>
      <c r="B150" t="str">
        <f>VLOOKUP(Tabla6[[#This Row],[Protein_name]],raw!$A$2:$F$5391,6,FALSE)</f>
        <v>T4</v>
      </c>
      <c r="C150" t="str">
        <f>VLOOKUP(Tabla6[[#This Row],[Protein_name]],raw!$A$2:$F$5391,4,FALSE)</f>
        <v>Q9NY72, O60939, P35498</v>
      </c>
      <c r="D150" t="str">
        <f>VLOOKUP(Tabla6[[#This Row],[Protein_name]],raw!$A$2:$F$5391,2,FALSE)</f>
        <v>sodium channel protein type 1 subunit alpha (sodium channel protein brain i subunit alpha) (sodium channel protein type i subunit alpha) (voltage-gated sodium channel subunit alpha nav1.1)</v>
      </c>
      <c r="E150" t="str">
        <f>VLOOKUP(Tabla6[[#This Row],[Protein_name]],raw!$A$2:$F$5391,5,FALSE)</f>
        <v>PROTEIN COMPLEX</v>
      </c>
      <c r="F150" t="str">
        <f>VLOOKUP(Tabla6[[#This Row],[Protein_name]],raw!$A$2:$F$5391,3,FALSE)</f>
        <v>SCN3B,SCN2B,SCN1A</v>
      </c>
      <c r="G150">
        <f>VLOOKUP(Tabla6[[#This Row],[Protein_name]],T4_metrics!$A$2:$G$693,4,FALSE)</f>
        <v>141.0199999999997</v>
      </c>
      <c r="H150">
        <f>VLOOKUP(Tabla6[[#This Row],[Protein_name]],T4_metrics!$A$2:$G$693,5,FALSE)</f>
        <v>0</v>
      </c>
      <c r="I150" s="5">
        <f>VLOOKUP(Tabla6[[#This Row],[Protein_name]],T4_metrics!$A$2:$G$693,6,FALSE)</f>
        <v>0.91462029344044604</v>
      </c>
      <c r="J150" t="s">
        <v>16775</v>
      </c>
      <c r="K150" s="5">
        <v>5</v>
      </c>
    </row>
    <row r="151" spans="1:11" x14ac:dyDescent="0.25">
      <c r="A151" s="6" t="s">
        <v>134</v>
      </c>
      <c r="B151" t="str">
        <f>VLOOKUP(Tabla6[[#This Row],[Protein_name]],raw!$A$2:$F$5391,6,FALSE)</f>
        <v>T4</v>
      </c>
      <c r="C151" t="str">
        <f>VLOOKUP(Tabla6[[#This Row],[Protein_name]],raw!$A$2:$F$5391,4,FALSE)</f>
        <v>Q07699, Q8IWT1, Q9UQD0</v>
      </c>
      <c r="D151" t="str">
        <f>VLOOKUP(Tabla6[[#This Row],[Protein_name]],raw!$A$2:$F$5391,2,FALSE)</f>
        <v>sodium channel protein type 8 subunit alpha (sodium channel protein type viii subunit alpha) (voltage-gated sodium channel subunit alpha nav1.6)</v>
      </c>
      <c r="E151" t="str">
        <f>VLOOKUP(Tabla6[[#This Row],[Protein_name]],raw!$A$2:$F$5391,5,FALSE)</f>
        <v>PROTEIN COMPLEX</v>
      </c>
      <c r="F151" t="str">
        <f>VLOOKUP(Tabla6[[#This Row],[Protein_name]],raw!$A$2:$F$5391,3,FALSE)</f>
        <v>SCN1B,SCN4B,SCN8A</v>
      </c>
      <c r="G151">
        <f>VLOOKUP(Tabla6[[#This Row],[Protein_name]],T4_metrics!$A$2:$G$693,4,FALSE)</f>
        <v>139.3399999999998</v>
      </c>
      <c r="H151">
        <f>VLOOKUP(Tabla6[[#This Row],[Protein_name]],T4_metrics!$A$2:$G$693,5,FALSE)</f>
        <v>0</v>
      </c>
      <c r="I151" s="5">
        <f>VLOOKUP(Tabla6[[#This Row],[Protein_name]],T4_metrics!$A$2:$G$693,6,FALSE)</f>
        <v>0.91803339271123907</v>
      </c>
      <c r="J151" t="s">
        <v>16775</v>
      </c>
      <c r="K151" s="7">
        <v>5</v>
      </c>
    </row>
    <row r="152" spans="1:11" x14ac:dyDescent="0.25">
      <c r="A152" s="4" t="s">
        <v>152</v>
      </c>
      <c r="B152" t="str">
        <f>VLOOKUP(Tabla6[[#This Row],[Protein_name]],raw!$A$2:$F$5391,6,FALSE)</f>
        <v>T4</v>
      </c>
      <c r="C152" t="str">
        <f>VLOOKUP(Tabla6[[#This Row],[Protein_name]],raw!$A$2:$F$5391,4,FALSE)</f>
        <v>Q15031</v>
      </c>
      <c r="D152" t="str">
        <f>VLOOKUP(Tabla6[[#This Row],[Protein_name]],raw!$A$2:$F$5391,2,FALSE)</f>
        <v>leucine--trna ligase, mitochondrial (ec 6.1.1.4) (leucyl-trna synthetase) (leurs)</v>
      </c>
      <c r="E152" t="str">
        <f>VLOOKUP(Tabla6[[#This Row],[Protein_name]],raw!$A$2:$F$5391,5,FALSE)</f>
        <v>SINGLE PROTEIN</v>
      </c>
      <c r="F152">
        <f>VLOOKUP(Tabla6[[#This Row],[Protein_name]],raw!$A$2:$F$5391,3,FALSE)</f>
        <v>0</v>
      </c>
      <c r="G152">
        <f>VLOOKUP(Tabla6[[#This Row],[Protein_name]],T4_metrics!$A$2:$G$693,4,FALSE)</f>
        <v>22.08</v>
      </c>
      <c r="H152">
        <f>VLOOKUP(Tabla6[[#This Row],[Protein_name]],T4_metrics!$A$2:$G$693,5,FALSE)</f>
        <v>1.7090000000000001</v>
      </c>
      <c r="I152" s="5">
        <f>VLOOKUP(Tabla6[[#This Row],[Protein_name]],T4_metrics!$A$2:$G$693,6,FALSE)</f>
        <v>0.65094177827710131</v>
      </c>
      <c r="J152" t="s">
        <v>16775</v>
      </c>
      <c r="K152" s="5">
        <v>6</v>
      </c>
    </row>
    <row r="153" spans="1:11" x14ac:dyDescent="0.25">
      <c r="A153" s="6" t="s">
        <v>153</v>
      </c>
      <c r="B153" t="str">
        <f>VLOOKUP(Tabla6[[#This Row],[Protein_name]],raw!$A$2:$F$5391,6,FALSE)</f>
        <v>T4</v>
      </c>
      <c r="C153" t="str">
        <f>VLOOKUP(Tabla6[[#This Row],[Protein_name]],raw!$A$2:$F$5391,4,FALSE)</f>
        <v>Q5T160</v>
      </c>
      <c r="D153" t="str">
        <f>VLOOKUP(Tabla6[[#This Row],[Protein_name]],raw!$A$2:$F$5391,2,FALSE)</f>
        <v>probable arginine--trna ligase, mitochondrial (ec 6.1.1.19) (arginyl-trna synthetase) (argrs)</v>
      </c>
      <c r="E153" t="str">
        <f>VLOOKUP(Tabla6[[#This Row],[Protein_name]],raw!$A$2:$F$5391,5,FALSE)</f>
        <v>SINGLE PROTEIN</v>
      </c>
      <c r="F153">
        <f>VLOOKUP(Tabla6[[#This Row],[Protein_name]],raw!$A$2:$F$5391,3,FALSE)</f>
        <v>0</v>
      </c>
      <c r="G153">
        <f>VLOOKUP(Tabla6[[#This Row],[Protein_name]],T4_metrics!$A$2:$G$693,4,FALSE)</f>
        <v>21.402999999999999</v>
      </c>
      <c r="H153">
        <f>VLOOKUP(Tabla6[[#This Row],[Protein_name]],T4_metrics!$A$2:$G$693,5,FALSE)</f>
        <v>1.2869999999999999</v>
      </c>
      <c r="I153" s="5">
        <f>VLOOKUP(Tabla6[[#This Row],[Protein_name]],T4_metrics!$A$2:$G$693,6,FALSE)</f>
        <v>0.63389458200794491</v>
      </c>
      <c r="J153" t="s">
        <v>16775</v>
      </c>
      <c r="K153" s="7">
        <v>6</v>
      </c>
    </row>
    <row r="154" spans="1:11" x14ac:dyDescent="0.25">
      <c r="A154" s="4" t="s">
        <v>154</v>
      </c>
      <c r="B154" t="str">
        <f>VLOOKUP(Tabla6[[#This Row],[Protein_name]],raw!$A$2:$F$5391,6,FALSE)</f>
        <v>T4</v>
      </c>
      <c r="C154" t="str">
        <f>VLOOKUP(Tabla6[[#This Row],[Protein_name]],raw!$A$2:$F$5391,4,FALSE)</f>
        <v>Q9Y2Z4</v>
      </c>
      <c r="D154" t="str">
        <f>VLOOKUP(Tabla6[[#This Row],[Protein_name]],raw!$A$2:$F$5391,2,FALSE)</f>
        <v>tyrosine--trna ligase, mitochondrial (ec 6.1.1.1) (tyrosyl-trna synthetase) (tyrrs)</v>
      </c>
      <c r="E154" t="str">
        <f>VLOOKUP(Tabla6[[#This Row],[Protein_name]],raw!$A$2:$F$5391,5,FALSE)</f>
        <v>SINGLE PROTEIN</v>
      </c>
      <c r="F154">
        <f>VLOOKUP(Tabla6[[#This Row],[Protein_name]],raw!$A$2:$F$5391,3,FALSE)</f>
        <v>0</v>
      </c>
      <c r="G154">
        <f>VLOOKUP(Tabla6[[#This Row],[Protein_name]],T4_metrics!$A$2:$G$693,4,FALSE)</f>
        <v>21.140999999999998</v>
      </c>
      <c r="H154">
        <f>VLOOKUP(Tabla6[[#This Row],[Protein_name]],T4_metrics!$A$2:$G$693,5,FALSE)</f>
        <v>0.44400000000000001</v>
      </c>
      <c r="I154" s="5">
        <f>VLOOKUP(Tabla6[[#This Row],[Protein_name]],T4_metrics!$A$2:$G$693,6,FALSE)</f>
        <v>0.63953811193057664</v>
      </c>
      <c r="J154" t="s">
        <v>16775</v>
      </c>
      <c r="K154" s="5">
        <v>6</v>
      </c>
    </row>
    <row r="155" spans="1:11" x14ac:dyDescent="0.25">
      <c r="A155" s="6" t="s">
        <v>155</v>
      </c>
      <c r="B155" t="str">
        <f>VLOOKUP(Tabla6[[#This Row],[Protein_name]],raw!$A$2:$F$5391,6,FALSE)</f>
        <v>T4</v>
      </c>
      <c r="C155" t="str">
        <f>VLOOKUP(Tabla6[[#This Row],[Protein_name]],raw!$A$2:$F$5391,4,FALSE)</f>
        <v>Q5JTZ9</v>
      </c>
      <c r="D155" t="str">
        <f>VLOOKUP(Tabla6[[#This Row],[Protein_name]],raw!$A$2:$F$5391,2,FALSE)</f>
        <v>alanine--trna ligase, mitochondrial (ec 6.1.1.7) (alanyl-trna synthetase) (alars)</v>
      </c>
      <c r="E155" t="str">
        <f>VLOOKUP(Tabla6[[#This Row],[Protein_name]],raw!$A$2:$F$5391,5,FALSE)</f>
        <v>SINGLE PROTEIN</v>
      </c>
      <c r="F155">
        <f>VLOOKUP(Tabla6[[#This Row],[Protein_name]],raw!$A$2:$F$5391,3,FALSE)</f>
        <v>0</v>
      </c>
      <c r="G155">
        <f>VLOOKUP(Tabla6[[#This Row],[Protein_name]],T4_metrics!$A$2:$G$693,4,FALSE)</f>
        <v>20.862999999999989</v>
      </c>
      <c r="H155">
        <f>VLOOKUP(Tabla6[[#This Row],[Protein_name]],T4_metrics!$A$2:$G$693,5,FALSE)</f>
        <v>0.40200000000000002</v>
      </c>
      <c r="I155" s="5">
        <f>VLOOKUP(Tabla6[[#This Row],[Protein_name]],T4_metrics!$A$2:$G$693,6,FALSE)</f>
        <v>0.63983487859514421</v>
      </c>
      <c r="J155" t="s">
        <v>16775</v>
      </c>
      <c r="K155" s="7">
        <v>6</v>
      </c>
    </row>
    <row r="156" spans="1:11" x14ac:dyDescent="0.25">
      <c r="A156" s="4" t="s">
        <v>106</v>
      </c>
      <c r="B156" t="str">
        <f>VLOOKUP(Tabla6[[#This Row],[Protein_name]],raw!$A$2:$F$5391,6,FALSE)</f>
        <v>T4</v>
      </c>
      <c r="C156" t="str">
        <f>VLOOKUP(Tabla6[[#This Row],[Protein_name]],raw!$A$2:$F$5391,4,FALSE)</f>
        <v>Q5JPH6</v>
      </c>
      <c r="D156" t="str">
        <f>VLOOKUP(Tabla6[[#This Row],[Protein_name]],raw!$A$2:$F$5391,2,FALSE)</f>
        <v>nondiscriminating glutamyl-trna synthetase ears2, mitochondrial (ec 6.1.1.24) (glutamate--trna(gln) ligase ears2, mitochondrial) (ec 6.1.1.17) (glutamyl-trna synthetase) (glurs) (mitochondrial glutamyl-trna synthetase) (mtglurs)</v>
      </c>
      <c r="E156" t="str">
        <f>VLOOKUP(Tabla6[[#This Row],[Protein_name]],raw!$A$2:$F$5391,5,FALSE)</f>
        <v>SINGLE PROTEIN</v>
      </c>
      <c r="F156">
        <f>VLOOKUP(Tabla6[[#This Row],[Protein_name]],raw!$A$2:$F$5391,3,FALSE)</f>
        <v>0</v>
      </c>
      <c r="G156">
        <f>VLOOKUP(Tabla6[[#This Row],[Protein_name]],T4_metrics!$A$2:$G$693,4,FALSE)</f>
        <v>20.82</v>
      </c>
      <c r="H156">
        <f>VLOOKUP(Tabla6[[#This Row],[Protein_name]],T4_metrics!$A$2:$G$693,5,FALSE)</f>
        <v>4.0960000000000001</v>
      </c>
      <c r="I156" s="5">
        <f>VLOOKUP(Tabla6[[#This Row],[Protein_name]],T4_metrics!$A$2:$G$693,6,FALSE)</f>
        <v>0.60041917359136232</v>
      </c>
      <c r="J156" t="s">
        <v>16775</v>
      </c>
      <c r="K156" s="5">
        <v>6</v>
      </c>
    </row>
    <row r="157" spans="1:11" x14ac:dyDescent="0.25">
      <c r="A157" s="6" t="s">
        <v>42</v>
      </c>
      <c r="B157" t="str">
        <f>VLOOKUP(Tabla6[[#This Row],[Protein_name]],raw!$A$2:$F$5391,6,FALSE)</f>
        <v>T4</v>
      </c>
      <c r="C157" t="str">
        <f>VLOOKUP(Tabla6[[#This Row],[Protein_name]],raw!$A$2:$F$5391,4,FALSE)</f>
        <v>O00330, P08559, P10515, P11177, P09622</v>
      </c>
      <c r="D157" t="str">
        <f>VLOOKUP(Tabla6[[#This Row],[Protein_name]],raw!$A$2:$F$5391,2,FALSE)</f>
        <v>dihydrolipoyl dehydrogenase, mitochondrial (ec 1.8.1.4) (dihydrolipoamide dehydrogenase) (glycine cleavage system l protein)</v>
      </c>
      <c r="E157" t="str">
        <f>VLOOKUP(Tabla6[[#This Row],[Protein_name]],raw!$A$2:$F$5391,5,FALSE)</f>
        <v>PROTEIN COMPLEX</v>
      </c>
      <c r="F157" t="str">
        <f>VLOOKUP(Tabla6[[#This Row],[Protein_name]],raw!$A$2:$F$5391,3,FALSE)</f>
        <v>PDHX,PDHA1,DLAT,PDHB,DLD</v>
      </c>
      <c r="G157">
        <f>VLOOKUP(Tabla6[[#This Row],[Protein_name]],T4_metrics!$A$2:$G$693,4,FALSE)</f>
        <v>34.512999999999998</v>
      </c>
      <c r="H157">
        <f>VLOOKUP(Tabla6[[#This Row],[Protein_name]],T4_metrics!$A$2:$G$693,5,FALSE)</f>
        <v>5.5759999999999987</v>
      </c>
      <c r="I157" s="5">
        <f>VLOOKUP(Tabla6[[#This Row],[Protein_name]],T4_metrics!$A$2:$G$693,6,FALSE)</f>
        <v>0.82447679374696181</v>
      </c>
      <c r="J157" t="s">
        <v>16775</v>
      </c>
      <c r="K157" s="7">
        <v>7</v>
      </c>
    </row>
    <row r="158" spans="1:11" x14ac:dyDescent="0.25">
      <c r="A158" s="4" t="s">
        <v>146</v>
      </c>
      <c r="B158" t="str">
        <f>VLOOKUP(Tabla6[[#This Row],[Protein_name]],raw!$A$2:$F$5391,6,FALSE)</f>
        <v>T4</v>
      </c>
      <c r="C158" t="str">
        <f>VLOOKUP(Tabla6[[#This Row],[Protein_name]],raw!$A$2:$F$5391,4,FALSE)</f>
        <v>P30084</v>
      </c>
      <c r="D158" t="str">
        <f>VLOOKUP(Tabla6[[#This Row],[Protein_name]],raw!$A$2:$F$5391,2,FALSE)</f>
        <v>enoyl-coa hydratase, mitochondrial (mech) (mech1) (ec 4.2.1.17) (ec 5.3.3.8) (enoyl-coa hydratase 1) (echs1) (short-chain enoyl-coa hydratase) (sceh)</v>
      </c>
      <c r="E158" t="str">
        <f>VLOOKUP(Tabla6[[#This Row],[Protein_name]],raw!$A$2:$F$5391,5,FALSE)</f>
        <v>SINGLE PROTEIN</v>
      </c>
      <c r="F158">
        <f>VLOOKUP(Tabla6[[#This Row],[Protein_name]],raw!$A$2:$F$5391,3,FALSE)</f>
        <v>0</v>
      </c>
      <c r="G158">
        <f>VLOOKUP(Tabla6[[#This Row],[Protein_name]],T4_metrics!$A$2:$G$693,4,FALSE)</f>
        <v>28.841999999999999</v>
      </c>
      <c r="H158">
        <f>VLOOKUP(Tabla6[[#This Row],[Protein_name]],T4_metrics!$A$2:$G$693,5,FALSE)</f>
        <v>0</v>
      </c>
      <c r="I158" s="5">
        <f>VLOOKUP(Tabla6[[#This Row],[Protein_name]],T4_metrics!$A$2:$G$693,6,FALSE)</f>
        <v>0.70355168291368719</v>
      </c>
      <c r="J158" t="s">
        <v>16775</v>
      </c>
      <c r="K158" s="5">
        <v>7</v>
      </c>
    </row>
    <row r="159" spans="1:11" x14ac:dyDescent="0.25">
      <c r="A159" s="6" t="s">
        <v>99</v>
      </c>
      <c r="B159" t="str">
        <f>VLOOKUP(Tabla6[[#This Row],[Protein_name]],raw!$A$2:$F$5391,6,FALSE)</f>
        <v>T4</v>
      </c>
      <c r="C159" t="str">
        <f>VLOOKUP(Tabla6[[#This Row],[Protein_name]],raw!$A$2:$F$5391,4,FALSE)</f>
        <v>P53597, Q96I99</v>
      </c>
      <c r="D159" t="str">
        <f>VLOOKUP(Tabla6[[#This Row],[Protein_name]],raw!$A$2:$F$5391,2,FALSE)</f>
        <v>succinate--coa ligase [adp/gdp-forming] subunit alpha, mitochondrial (ec 6.2.1.4) (ec 6.2.1.5) (succinyl-coa synthetase subunit alpha) (scs-alpha)</v>
      </c>
      <c r="E159" t="str">
        <f>VLOOKUP(Tabla6[[#This Row],[Protein_name]],raw!$A$2:$F$5391,5,FALSE)</f>
        <v>PROTEIN COMPLEX</v>
      </c>
      <c r="F159" t="str">
        <f>VLOOKUP(Tabla6[[#This Row],[Protein_name]],raw!$A$2:$F$5391,3,FALSE)</f>
        <v>SUCLG1,SUCLG2</v>
      </c>
      <c r="G159">
        <f>VLOOKUP(Tabla6[[#This Row],[Protein_name]],T4_metrics!$A$2:$G$693,4,FALSE)</f>
        <v>27.344000000000001</v>
      </c>
      <c r="H159">
        <f>VLOOKUP(Tabla6[[#This Row],[Protein_name]],T4_metrics!$A$2:$G$693,5,FALSE)</f>
        <v>6.851</v>
      </c>
      <c r="I159" s="5">
        <f>VLOOKUP(Tabla6[[#This Row],[Protein_name]],T4_metrics!$A$2:$G$693,6,FALSE)</f>
        <v>0.67262586931366697</v>
      </c>
      <c r="J159" t="s">
        <v>16775</v>
      </c>
      <c r="K159" s="7">
        <v>7</v>
      </c>
    </row>
    <row r="160" spans="1:11" x14ac:dyDescent="0.25">
      <c r="A160" s="4" t="s">
        <v>147</v>
      </c>
      <c r="B160" t="str">
        <f>VLOOKUP(Tabla6[[#This Row],[Protein_name]],raw!$A$2:$F$5391,6,FALSE)</f>
        <v>T4</v>
      </c>
      <c r="C160" t="str">
        <f>VLOOKUP(Tabla6[[#This Row],[Protein_name]],raw!$A$2:$F$5391,4,FALSE)</f>
        <v>P35914</v>
      </c>
      <c r="D160" t="str">
        <f>VLOOKUP(Tabla6[[#This Row],[Protein_name]],raw!$A$2:$F$5391,2,FALSE)</f>
        <v>hydroxymethylglutaryl-coa lyase, mitochondrial (hl) (hmg-coa lyase) (ec 4.1.3.4) (3-hydroxy-3-methylglutarate-coa lyase)</v>
      </c>
      <c r="E160" t="str">
        <f>VLOOKUP(Tabla6[[#This Row],[Protein_name]],raw!$A$2:$F$5391,5,FALSE)</f>
        <v>SINGLE PROTEIN</v>
      </c>
      <c r="F160">
        <f>VLOOKUP(Tabla6[[#This Row],[Protein_name]],raw!$A$2:$F$5391,3,FALSE)</f>
        <v>0</v>
      </c>
      <c r="G160">
        <f>VLOOKUP(Tabla6[[#This Row],[Protein_name]],T4_metrics!$A$2:$G$693,4,FALSE)</f>
        <v>26.664999999999999</v>
      </c>
      <c r="H160">
        <f>VLOOKUP(Tabla6[[#This Row],[Protein_name]],T4_metrics!$A$2:$G$693,5,FALSE)</f>
        <v>0</v>
      </c>
      <c r="I160" s="5">
        <f>VLOOKUP(Tabla6[[#This Row],[Protein_name]],T4_metrics!$A$2:$G$693,6,FALSE)</f>
        <v>0.64758469557500342</v>
      </c>
      <c r="J160" t="s">
        <v>16775</v>
      </c>
      <c r="K160" s="5">
        <v>7</v>
      </c>
    </row>
    <row r="161" spans="1:11" x14ac:dyDescent="0.25">
      <c r="A161" s="6" t="s">
        <v>100</v>
      </c>
      <c r="B161" t="str">
        <f>VLOOKUP(Tabla6[[#This Row],[Protein_name]],raw!$A$2:$F$5391,6,FALSE)</f>
        <v>T4</v>
      </c>
      <c r="C161" t="str">
        <f>VLOOKUP(Tabla6[[#This Row],[Protein_name]],raw!$A$2:$F$5391,4,FALSE)</f>
        <v>P00367</v>
      </c>
      <c r="D161" t="str">
        <f>VLOOKUP(Tabla6[[#This Row],[Protein_name]],raw!$A$2:$F$5391,2,FALSE)</f>
        <v>glutamate dehydrogenase 1, mitochondrial (gdh 1) (ec 1.4.1.3)</v>
      </c>
      <c r="E161" t="str">
        <f>VLOOKUP(Tabla6[[#This Row],[Protein_name]],raw!$A$2:$F$5391,5,FALSE)</f>
        <v>SINGLE PROTEIN</v>
      </c>
      <c r="F161">
        <f>VLOOKUP(Tabla6[[#This Row],[Protein_name]],raw!$A$2:$F$5391,3,FALSE)</f>
        <v>0</v>
      </c>
      <c r="G161">
        <f>VLOOKUP(Tabla6[[#This Row],[Protein_name]],T4_metrics!$A$2:$G$693,4,FALSE)</f>
        <v>25.658000000000001</v>
      </c>
      <c r="H161">
        <f>VLOOKUP(Tabla6[[#This Row],[Protein_name]],T4_metrics!$A$2:$G$693,5,FALSE)</f>
        <v>5.3109999999999999</v>
      </c>
      <c r="I161" s="5">
        <f>VLOOKUP(Tabla6[[#This Row],[Protein_name]],T4_metrics!$A$2:$G$693,6,FALSE)</f>
        <v>0.7033548917209963</v>
      </c>
      <c r="J161" t="s">
        <v>16775</v>
      </c>
      <c r="K161" s="7">
        <v>7</v>
      </c>
    </row>
    <row r="162" spans="1:11" x14ac:dyDescent="0.25">
      <c r="A162" s="4" t="s">
        <v>135</v>
      </c>
      <c r="B162" t="str">
        <f>VLOOKUP(Tabla6[[#This Row],[Protein_name]],raw!$A$2:$F$5391,6,FALSE)</f>
        <v>T4</v>
      </c>
      <c r="C162" t="str">
        <f>VLOOKUP(Tabla6[[#This Row],[Protein_name]],raw!$A$2:$F$5391,4,FALSE)</f>
        <v>P20908, P05997</v>
      </c>
      <c r="D162" t="str">
        <f>VLOOKUP(Tabla6[[#This Row],[Protein_name]],raw!$A$2:$F$5391,2,FALSE)</f>
        <v>collagen alpha-1(v) chain</v>
      </c>
      <c r="E162" t="str">
        <f>VLOOKUP(Tabla6[[#This Row],[Protein_name]],raw!$A$2:$F$5391,5,FALSE)</f>
        <v>PROTEIN COMPLEX</v>
      </c>
      <c r="F162" t="str">
        <f>VLOOKUP(Tabla6[[#This Row],[Protein_name]],raw!$A$2:$F$5391,3,FALSE)</f>
        <v>COL5A1,COL5A2</v>
      </c>
      <c r="G162">
        <f>VLOOKUP(Tabla6[[#This Row],[Protein_name]],T4_metrics!$A$2:$G$693,4,FALSE)</f>
        <v>31.43399999999999</v>
      </c>
      <c r="H162">
        <f>VLOOKUP(Tabla6[[#This Row],[Protein_name]],T4_metrics!$A$2:$G$693,5,FALSE)</f>
        <v>0.441</v>
      </c>
      <c r="I162" s="5">
        <f>VLOOKUP(Tabla6[[#This Row],[Protein_name]],T4_metrics!$A$2:$G$693,6,FALSE)</f>
        <v>0.71417725470807736</v>
      </c>
      <c r="J162" t="s">
        <v>16775</v>
      </c>
      <c r="K162" s="5">
        <v>8</v>
      </c>
    </row>
    <row r="163" spans="1:11" x14ac:dyDescent="0.25">
      <c r="A163" s="6" t="s">
        <v>136</v>
      </c>
      <c r="B163" t="str">
        <f>VLOOKUP(Tabla6[[#This Row],[Protein_name]],raw!$A$2:$F$5391,6,FALSE)</f>
        <v>T4</v>
      </c>
      <c r="C163" t="str">
        <f>VLOOKUP(Tabla6[[#This Row],[Protein_name]],raw!$A$2:$F$5391,4,FALSE)</f>
        <v>P05997, P25940, P20908</v>
      </c>
      <c r="D163" t="str">
        <f>VLOOKUP(Tabla6[[#This Row],[Protein_name]],raw!$A$2:$F$5391,2,FALSE)</f>
        <v>collagen alpha-1(v) chain</v>
      </c>
      <c r="E163" t="str">
        <f>VLOOKUP(Tabla6[[#This Row],[Protein_name]],raw!$A$2:$F$5391,5,FALSE)</f>
        <v>PROTEIN COMPLEX</v>
      </c>
      <c r="F163" t="str">
        <f>VLOOKUP(Tabla6[[#This Row],[Protein_name]],raw!$A$2:$F$5391,3,FALSE)</f>
        <v>COL5A2,COL5A3,COL5A1</v>
      </c>
      <c r="G163">
        <f>VLOOKUP(Tabla6[[#This Row],[Protein_name]],T4_metrics!$A$2:$G$693,4,FALSE)</f>
        <v>31.43399999999999</v>
      </c>
      <c r="H163">
        <f>VLOOKUP(Tabla6[[#This Row],[Protein_name]],T4_metrics!$A$2:$G$693,5,FALSE)</f>
        <v>0.441</v>
      </c>
      <c r="I163" s="5">
        <f>VLOOKUP(Tabla6[[#This Row],[Protein_name]],T4_metrics!$A$2:$G$693,6,FALSE)</f>
        <v>0.71459675670500911</v>
      </c>
      <c r="J163" t="s">
        <v>16775</v>
      </c>
      <c r="K163" s="7">
        <v>8</v>
      </c>
    </row>
    <row r="164" spans="1:11" x14ac:dyDescent="0.25">
      <c r="A164" s="4" t="s">
        <v>137</v>
      </c>
      <c r="B164" t="str">
        <f>VLOOKUP(Tabla6[[#This Row],[Protein_name]],raw!$A$2:$F$5391,6,FALSE)</f>
        <v>T4</v>
      </c>
      <c r="C164" t="str">
        <f>VLOOKUP(Tabla6[[#This Row],[Protein_name]],raw!$A$2:$F$5391,4,FALSE)</f>
        <v>P20908</v>
      </c>
      <c r="D164" t="str">
        <f>VLOOKUP(Tabla6[[#This Row],[Protein_name]],raw!$A$2:$F$5391,2,FALSE)</f>
        <v>collagen alpha-1(v) chain</v>
      </c>
      <c r="E164" t="str">
        <f>VLOOKUP(Tabla6[[#This Row],[Protein_name]],raw!$A$2:$F$5391,5,FALSE)</f>
        <v>PROTEIN COMPLEX</v>
      </c>
      <c r="F164" t="str">
        <f>VLOOKUP(Tabla6[[#This Row],[Protein_name]],raw!$A$2:$F$5391,3,FALSE)</f>
        <v>COL5A1</v>
      </c>
      <c r="G164">
        <f>VLOOKUP(Tabla6[[#This Row],[Protein_name]],T4_metrics!$A$2:$G$693,4,FALSE)</f>
        <v>31.22999999999999</v>
      </c>
      <c r="H164">
        <f>VLOOKUP(Tabla6[[#This Row],[Protein_name]],T4_metrics!$A$2:$G$693,5,FALSE)</f>
        <v>0.441</v>
      </c>
      <c r="I164" s="5">
        <f>VLOOKUP(Tabla6[[#This Row],[Protein_name]],T4_metrics!$A$2:$G$693,6,FALSE)</f>
        <v>0.70784319741645063</v>
      </c>
      <c r="J164" t="s">
        <v>16775</v>
      </c>
      <c r="K164" s="5">
        <v>8</v>
      </c>
    </row>
    <row r="165" spans="1:11" x14ac:dyDescent="0.25">
      <c r="A165" s="6" t="s">
        <v>138</v>
      </c>
      <c r="B165" t="str">
        <f>VLOOKUP(Tabla6[[#This Row],[Protein_name]],raw!$A$2:$F$5391,6,FALSE)</f>
        <v>T4</v>
      </c>
      <c r="C165" t="str">
        <f>VLOOKUP(Tabla6[[#This Row],[Protein_name]],raw!$A$2:$F$5391,4,FALSE)</f>
        <v>P12110, P12109, P12111</v>
      </c>
      <c r="D165" t="str">
        <f>VLOOKUP(Tabla6[[#This Row],[Protein_name]],raw!$A$2:$F$5391,2,FALSE)</f>
        <v>collagen alpha-1(vi) chain</v>
      </c>
      <c r="E165" t="str">
        <f>VLOOKUP(Tabla6[[#This Row],[Protein_name]],raw!$A$2:$F$5391,5,FALSE)</f>
        <v>PROTEIN COMPLEX</v>
      </c>
      <c r="F165" t="str">
        <f>VLOOKUP(Tabla6[[#This Row],[Protein_name]],raw!$A$2:$F$5391,3,FALSE)</f>
        <v>COL6A2,COL6A1,COL6A3</v>
      </c>
      <c r="G165">
        <f>VLOOKUP(Tabla6[[#This Row],[Protein_name]],T4_metrics!$A$2:$G$693,4,FALSE)</f>
        <v>30.146000000000001</v>
      </c>
      <c r="H165">
        <f>VLOOKUP(Tabla6[[#This Row],[Protein_name]],T4_metrics!$A$2:$G$693,5,FALSE)</f>
        <v>3.694</v>
      </c>
      <c r="I165" s="5">
        <f>VLOOKUP(Tabla6[[#This Row],[Protein_name]],T4_metrics!$A$2:$G$693,6,FALSE)</f>
        <v>0.62438178853742787</v>
      </c>
      <c r="J165" t="s">
        <v>16775</v>
      </c>
      <c r="K165" s="7">
        <v>8</v>
      </c>
    </row>
    <row r="166" spans="1:11" x14ac:dyDescent="0.25">
      <c r="A166" s="4" t="s">
        <v>139</v>
      </c>
      <c r="B166" t="str">
        <f>VLOOKUP(Tabla6[[#This Row],[Protein_name]],raw!$A$2:$F$5391,6,FALSE)</f>
        <v>T4</v>
      </c>
      <c r="C166" t="str">
        <f>VLOOKUP(Tabla6[[#This Row],[Protein_name]],raw!$A$2:$F$5391,4,FALSE)</f>
        <v>P08572, P02462</v>
      </c>
      <c r="D166" t="str">
        <f>VLOOKUP(Tabla6[[#This Row],[Protein_name]],raw!$A$2:$F$5391,2,FALSE)</f>
        <v>collagen alpha-1(iv) chain [cleaved into: arresten]</v>
      </c>
      <c r="E166" t="str">
        <f>VLOOKUP(Tabla6[[#This Row],[Protein_name]],raw!$A$2:$F$5391,5,FALSE)</f>
        <v>PROTEIN COMPLEX</v>
      </c>
      <c r="F166" t="str">
        <f>VLOOKUP(Tabla6[[#This Row],[Protein_name]],raw!$A$2:$F$5391,3,FALSE)</f>
        <v>COL4A2,COL4A1</v>
      </c>
      <c r="G166">
        <f>VLOOKUP(Tabla6[[#This Row],[Protein_name]],T4_metrics!$A$2:$G$693,4,FALSE)</f>
        <v>28.885999999999999</v>
      </c>
      <c r="H166">
        <f>VLOOKUP(Tabla6[[#This Row],[Protein_name]],T4_metrics!$A$2:$G$693,5,FALSE)</f>
        <v>1.2669999999999999</v>
      </c>
      <c r="I166" s="5">
        <f>VLOOKUP(Tabla6[[#This Row],[Protein_name]],T4_metrics!$A$2:$G$693,6,FALSE)</f>
        <v>0.67268019804363288</v>
      </c>
      <c r="J166" t="s">
        <v>16775</v>
      </c>
      <c r="K166" s="5">
        <v>8</v>
      </c>
    </row>
    <row r="167" spans="1:11" x14ac:dyDescent="0.25">
      <c r="A167" s="6" t="s">
        <v>91</v>
      </c>
      <c r="B167" t="str">
        <f>VLOOKUP(Tabla6[[#This Row],[Protein_name]],raw!$A$2:$F$5391,6,FALSE)</f>
        <v>T4</v>
      </c>
      <c r="C167" t="str">
        <f>VLOOKUP(Tabla6[[#This Row],[Protein_name]],raw!$A$2:$F$5391,4,FALSE)</f>
        <v>P13232</v>
      </c>
      <c r="D167" t="str">
        <f>VLOOKUP(Tabla6[[#This Row],[Protein_name]],raw!$A$2:$F$5391,2,FALSE)</f>
        <v>interleukin-7 (il-7)</v>
      </c>
      <c r="E167" t="str">
        <f>VLOOKUP(Tabla6[[#This Row],[Protein_name]],raw!$A$2:$F$5391,5,FALSE)</f>
        <v>SINGLE PROTEIN</v>
      </c>
      <c r="F167">
        <f>VLOOKUP(Tabla6[[#This Row],[Protein_name]],raw!$A$2:$F$5391,3,FALSE)</f>
        <v>0</v>
      </c>
      <c r="G167">
        <f>VLOOKUP(Tabla6[[#This Row],[Protein_name]],T4_metrics!$A$2:$G$693,4,FALSE)</f>
        <v>28.994</v>
      </c>
      <c r="H167">
        <f>VLOOKUP(Tabla6[[#This Row],[Protein_name]],T4_metrics!$A$2:$G$693,5,FALSE)</f>
        <v>19.469999999999992</v>
      </c>
      <c r="I167" s="5">
        <f>VLOOKUP(Tabla6[[#This Row],[Protein_name]],T4_metrics!$A$2:$G$693,6,FALSE)</f>
        <v>0.85194058125700756</v>
      </c>
      <c r="J167" t="s">
        <v>16775</v>
      </c>
      <c r="K167" s="7">
        <v>9</v>
      </c>
    </row>
    <row r="168" spans="1:11" x14ac:dyDescent="0.25">
      <c r="A168" s="4" t="s">
        <v>140</v>
      </c>
      <c r="B168" t="str">
        <f>VLOOKUP(Tabla6[[#This Row],[Protein_name]],raw!$A$2:$F$5391,6,FALSE)</f>
        <v>T4</v>
      </c>
      <c r="C168" t="str">
        <f>VLOOKUP(Tabla6[[#This Row],[Protein_name]],raw!$A$2:$F$5391,4,FALSE)</f>
        <v>Q14765</v>
      </c>
      <c r="D168" t="str">
        <f>VLOOKUP(Tabla6[[#This Row],[Protein_name]],raw!$A$2:$F$5391,2,FALSE)</f>
        <v>signal transducer and activator of transcription 4</v>
      </c>
      <c r="E168" t="str">
        <f>VLOOKUP(Tabla6[[#This Row],[Protein_name]],raw!$A$2:$F$5391,5,FALSE)</f>
        <v>PROTEIN COMPLEX</v>
      </c>
      <c r="F168" t="str">
        <f>VLOOKUP(Tabla6[[#This Row],[Protein_name]],raw!$A$2:$F$5391,3,FALSE)</f>
        <v>STAT4</v>
      </c>
      <c r="G168">
        <f>VLOOKUP(Tabla6[[#This Row],[Protein_name]],T4_metrics!$A$2:$G$693,4,FALSE)</f>
        <v>26.018999999999981</v>
      </c>
      <c r="H168">
        <f>VLOOKUP(Tabla6[[#This Row],[Protein_name]],T4_metrics!$A$2:$G$693,5,FALSE)</f>
        <v>0.72399999999999998</v>
      </c>
      <c r="I168" s="5">
        <f>VLOOKUP(Tabla6[[#This Row],[Protein_name]],T4_metrics!$A$2:$G$693,6,FALSE)</f>
        <v>0.86278589758122126</v>
      </c>
      <c r="J168" t="s">
        <v>16775</v>
      </c>
      <c r="K168" s="5">
        <v>9</v>
      </c>
    </row>
    <row r="169" spans="1:11" x14ac:dyDescent="0.25">
      <c r="A169" s="6" t="s">
        <v>28</v>
      </c>
      <c r="B169" t="str">
        <f>VLOOKUP(Tabla6[[#This Row],[Protein_name]],raw!$A$2:$F$5391,6,FALSE)</f>
        <v>T4</v>
      </c>
      <c r="C169" t="str">
        <f>VLOOKUP(Tabla6[[#This Row],[Protein_name]],raw!$A$2:$F$5391,4,FALSE)</f>
        <v>Q9HBE4, Q9HBE5, P31785, P23458, P52333</v>
      </c>
      <c r="D169" t="str">
        <f>VLOOKUP(Tabla6[[#This Row],[Protein_name]],raw!$A$2:$F$5391,2,FALSE)</f>
        <v>cytokine receptor common subunit gamma (interleukin-2 receptor subunit gamma) (il-2 receptor subunit gamma) (il-2r subunit gamma) (il-2rg) (gammac) (p64) (cd antigen cd132)</v>
      </c>
      <c r="E169" t="str">
        <f>VLOOKUP(Tabla6[[#This Row],[Protein_name]],raw!$A$2:$F$5391,5,FALSE)</f>
        <v>PROTEIN COMPLEX</v>
      </c>
      <c r="F169" t="str">
        <f>VLOOKUP(Tabla6[[#This Row],[Protein_name]],raw!$A$2:$F$5391,3,FALSE)</f>
        <v>IL21,IL21R,IL2RG,JAK1,JAK3</v>
      </c>
      <c r="G169">
        <f>VLOOKUP(Tabla6[[#This Row],[Protein_name]],T4_metrics!$A$2:$G$693,4,FALSE)</f>
        <v>25.03400000000001</v>
      </c>
      <c r="H169">
        <f>VLOOKUP(Tabla6[[#This Row],[Protein_name]],T4_metrics!$A$2:$G$693,5,FALSE)</f>
        <v>3.870000000000001</v>
      </c>
      <c r="I169" s="5">
        <f>VLOOKUP(Tabla6[[#This Row],[Protein_name]],T4_metrics!$A$2:$G$693,6,FALSE)</f>
        <v>0.94596168804308189</v>
      </c>
      <c r="J169" t="s">
        <v>16775</v>
      </c>
      <c r="K169" s="7">
        <v>9</v>
      </c>
    </row>
    <row r="170" spans="1:11" x14ac:dyDescent="0.25">
      <c r="A170" s="4" t="s">
        <v>141</v>
      </c>
      <c r="B170" t="str">
        <f>VLOOKUP(Tabla6[[#This Row],[Protein_name]],raw!$A$2:$F$5391,6,FALSE)</f>
        <v>T4</v>
      </c>
      <c r="C170" t="str">
        <f>VLOOKUP(Tabla6[[#This Row],[Protein_name]],raw!$A$2:$F$5391,4,FALSE)</f>
        <v>P29597, O60674, P29460, Q9NPF7, Q5VWK5, P42701</v>
      </c>
      <c r="D170" t="str">
        <f>VLOOKUP(Tabla6[[#This Row],[Protein_name]],raw!$A$2:$F$5391,2,FALSE)</f>
        <v>interleukin-12 receptor subunit beta-1 (il-12 receptor subunit beta-1) (il-12r subunit beta-1) (il-12r-beta-1) (il-12rb1) (il-12 receptor beta component) (cd antigen cd212)</v>
      </c>
      <c r="E170" t="str">
        <f>VLOOKUP(Tabla6[[#This Row],[Protein_name]],raw!$A$2:$F$5391,5,FALSE)</f>
        <v>PROTEIN COMPLEX</v>
      </c>
      <c r="F170" t="str">
        <f>VLOOKUP(Tabla6[[#This Row],[Protein_name]],raw!$A$2:$F$5391,3,FALSE)</f>
        <v>TYK2,JAK2,P29460-PRO_0000010930,Q9NPF7-PRO_0000259488,Q5VWK5-PRO_0000268662,P42701-PRO_0000010917</v>
      </c>
      <c r="G170">
        <f>VLOOKUP(Tabla6[[#This Row],[Protein_name]],T4_metrics!$A$2:$G$693,4,FALSE)</f>
        <v>24.863999999999979</v>
      </c>
      <c r="H170">
        <f>VLOOKUP(Tabla6[[#This Row],[Protein_name]],T4_metrics!$A$2:$G$693,5,FALSE)</f>
        <v>0</v>
      </c>
      <c r="I170" s="5">
        <f>VLOOKUP(Tabla6[[#This Row],[Protein_name]],T4_metrics!$A$2:$G$693,6,FALSE)</f>
        <v>0.81985086410967678</v>
      </c>
      <c r="J170" t="s">
        <v>16775</v>
      </c>
      <c r="K170" s="5">
        <v>9</v>
      </c>
    </row>
    <row r="171" spans="1:11" x14ac:dyDescent="0.25">
      <c r="A171" s="6" t="s">
        <v>142</v>
      </c>
      <c r="B171" t="str">
        <f>VLOOKUP(Tabla6[[#This Row],[Protein_name]],raw!$A$2:$F$5391,6,FALSE)</f>
        <v>T4</v>
      </c>
      <c r="C171" t="str">
        <f>VLOOKUP(Tabla6[[#This Row],[Protein_name]],raw!$A$2:$F$5391,4,FALSE)</f>
        <v>P29597, O60674, P29460, P29459, P42701, Q99665</v>
      </c>
      <c r="D171" t="str">
        <f>VLOOKUP(Tabla6[[#This Row],[Protein_name]],raw!$A$2:$F$5391,2,FALSE)</f>
        <v>interleukin-12 receptor subunit beta-1 (il-12 receptor subunit beta-1) (il-12r subunit beta-1) (il-12r-beta-1) (il-12rb1) (il-12 receptor beta component) (cd antigen cd212)</v>
      </c>
      <c r="E171" t="str">
        <f>VLOOKUP(Tabla6[[#This Row],[Protein_name]],raw!$A$2:$F$5391,5,FALSE)</f>
        <v>PROTEIN COMPLEX</v>
      </c>
      <c r="F171" t="str">
        <f>VLOOKUP(Tabla6[[#This Row],[Protein_name]],raw!$A$2:$F$5391,3,FALSE)</f>
        <v>TYK2,JAK2,P29460-PRO_0000010930,P29459-PRO_0000015604,P42701-PRO_0000010917,Q99665-PRO_0000010920</v>
      </c>
      <c r="G171">
        <f>VLOOKUP(Tabla6[[#This Row],[Protein_name]],T4_metrics!$A$2:$G$693,4,FALSE)</f>
        <v>24.13199999999998</v>
      </c>
      <c r="H171">
        <f>VLOOKUP(Tabla6[[#This Row],[Protein_name]],T4_metrics!$A$2:$G$693,5,FALSE)</f>
        <v>0</v>
      </c>
      <c r="I171" s="5">
        <f>VLOOKUP(Tabla6[[#This Row],[Protein_name]],T4_metrics!$A$2:$G$693,6,FALSE)</f>
        <v>0.80121206463126737</v>
      </c>
      <c r="J171" t="s">
        <v>16775</v>
      </c>
      <c r="K171" s="7">
        <v>9</v>
      </c>
    </row>
    <row r="172" spans="1:11" x14ac:dyDescent="0.25">
      <c r="A172" s="4" t="s">
        <v>9</v>
      </c>
      <c r="B172" t="str">
        <f>VLOOKUP(Tabla6[[#This Row],[Protein_name]],raw!$A$2:$F$5391,6,FALSE)</f>
        <v>T4</v>
      </c>
      <c r="C172" t="str">
        <f>VLOOKUP(Tabla6[[#This Row],[Protein_name]],raw!$A$2:$F$5391,4,FALSE)</f>
        <v>Q92784, O94805, P60709, O14497, P51531, Q12824, Q92922, Q8TAQ2, Q96GM5, Q92782, Q6STE5, Q969G3</v>
      </c>
      <c r="D172" t="str">
        <f>VLOOKUP(Tabla6[[#This Row],[Protein_name]],raw!$A$2:$F$5391,2,FALSE)</f>
        <v>actin, cytoplasmic 1 (ec 3.6.4.-) (beta-actin) [cleaved into: actin, cytoplasmic 1, n-terminally processed]</v>
      </c>
      <c r="E172" t="str">
        <f>VLOOKUP(Tabla6[[#This Row],[Protein_name]],raw!$A$2:$F$5391,5,FALSE)</f>
        <v>PROTEIN COMPLEX</v>
      </c>
      <c r="F172" t="str">
        <f>VLOOKUP(Tabla6[[#This Row],[Protein_name]],raw!$A$2:$F$5391,3,FALSE)</f>
        <v>DPF3,ACTL6B,ACTB,ARID1A,SMARCA2,SMARCB1,SMARCC1,SMARCC2,SMARCD1,DPF1,SMARCD3,SMARCE1</v>
      </c>
      <c r="G172">
        <f>VLOOKUP(Tabla6[[#This Row],[Protein_name]],T4_metrics!$A$2:$G$693,4,FALSE)</f>
        <v>39.644000000000013</v>
      </c>
      <c r="H172">
        <f>VLOOKUP(Tabla6[[#This Row],[Protein_name]],T4_metrics!$A$2:$G$693,5,FALSE)</f>
        <v>169.11399999999989</v>
      </c>
      <c r="I172" s="5">
        <f>VLOOKUP(Tabla6[[#This Row],[Protein_name]],T4_metrics!$A$2:$G$693,6,FALSE)</f>
        <v>1.417851338290637</v>
      </c>
      <c r="J172" t="s">
        <v>16775</v>
      </c>
      <c r="K172" s="5">
        <v>10</v>
      </c>
    </row>
    <row r="173" spans="1:11" x14ac:dyDescent="0.25">
      <c r="A173" s="6" t="s">
        <v>121</v>
      </c>
      <c r="B173" t="str">
        <f>VLOOKUP(Tabla6[[#This Row],[Protein_name]],raw!$A$2:$F$5391,6,FALSE)</f>
        <v>T4</v>
      </c>
      <c r="C173" t="str">
        <f>VLOOKUP(Tabla6[[#This Row],[Protein_name]],raw!$A$2:$F$5391,4,FALSE)</f>
        <v>O96019, P60709, O14497, P51531, Q12824, Q92922, Q8TAQ2, Q96GM5, Q92925, Q6STE5, Q969G3, Q92784</v>
      </c>
      <c r="D173" t="str">
        <f>VLOOKUP(Tabla6[[#This Row],[Protein_name]],raw!$A$2:$F$5391,2,FALSE)</f>
        <v>actin, cytoplasmic 1 (ec 3.6.4.-) (beta-actin) [cleaved into: actin, cytoplasmic 1, n-terminally processed]</v>
      </c>
      <c r="E173" t="str">
        <f>VLOOKUP(Tabla6[[#This Row],[Protein_name]],raw!$A$2:$F$5391,5,FALSE)</f>
        <v>PROTEIN COMPLEX</v>
      </c>
      <c r="F173" t="str">
        <f>VLOOKUP(Tabla6[[#This Row],[Protein_name]],raw!$A$2:$F$5391,3,FALSE)</f>
        <v>ACTL6A,ACTB,ARID1A,SMARCA2,SMARCB1,SMARCC1,SMARCC2,SMARCD1,SMARCD2,SMARCD3,SMARCE1,DPF3</v>
      </c>
      <c r="G173">
        <f>VLOOKUP(Tabla6[[#This Row],[Protein_name]],T4_metrics!$A$2:$G$693,4,FALSE)</f>
        <v>39.644000000000013</v>
      </c>
      <c r="H173">
        <f>VLOOKUP(Tabla6[[#This Row],[Protein_name]],T4_metrics!$A$2:$G$693,5,FALSE)</f>
        <v>167.12599999999989</v>
      </c>
      <c r="I173" s="5">
        <f>VLOOKUP(Tabla6[[#This Row],[Protein_name]],T4_metrics!$A$2:$G$693,6,FALSE)</f>
        <v>1.181774599048681</v>
      </c>
      <c r="J173" t="s">
        <v>16775</v>
      </c>
      <c r="K173" s="7">
        <v>10</v>
      </c>
    </row>
    <row r="174" spans="1:11" x14ac:dyDescent="0.25">
      <c r="A174" s="4" t="s">
        <v>122</v>
      </c>
      <c r="B174" t="str">
        <f>VLOOKUP(Tabla6[[#This Row],[Protein_name]],raw!$A$2:$F$5391,6,FALSE)</f>
        <v>T4</v>
      </c>
      <c r="C174" t="str">
        <f>VLOOKUP(Tabla6[[#This Row],[Protein_name]],raw!$A$2:$F$5391,4,FALSE)</f>
        <v>O94805, P60709, O14497, P51531, Q12824, Q92922, Q8TAQ2, Q96GM5, Q92925, Q6STE5, Q969G3, Q92784</v>
      </c>
      <c r="D174" t="str">
        <f>VLOOKUP(Tabla6[[#This Row],[Protein_name]],raw!$A$2:$F$5391,2,FALSE)</f>
        <v>actin, cytoplasmic 1 (ec 3.6.4.-) (beta-actin) [cleaved into: actin, cytoplasmic 1, n-terminally processed]</v>
      </c>
      <c r="E174" t="str">
        <f>VLOOKUP(Tabla6[[#This Row],[Protein_name]],raw!$A$2:$F$5391,5,FALSE)</f>
        <v>PROTEIN COMPLEX</v>
      </c>
      <c r="F174" t="str">
        <f>VLOOKUP(Tabla6[[#This Row],[Protein_name]],raw!$A$2:$F$5391,3,FALSE)</f>
        <v>ACTL6B,ACTB,ARID1A,SMARCA2,SMARCB1,SMARCC1,SMARCC2,SMARCD1,SMARCD2,SMARCD3,SMARCE1,DPF3</v>
      </c>
      <c r="G174">
        <f>VLOOKUP(Tabla6[[#This Row],[Protein_name]],T4_metrics!$A$2:$G$693,4,FALSE)</f>
        <v>39.644000000000013</v>
      </c>
      <c r="H174">
        <f>VLOOKUP(Tabla6[[#This Row],[Protein_name]],T4_metrics!$A$2:$G$693,5,FALSE)</f>
        <v>169.11399999999989</v>
      </c>
      <c r="I174" s="5">
        <f>VLOOKUP(Tabla6[[#This Row],[Protein_name]],T4_metrics!$A$2:$G$693,6,FALSE)</f>
        <v>1.3056945198666019</v>
      </c>
      <c r="J174" t="s">
        <v>16775</v>
      </c>
      <c r="K174" s="5">
        <v>10</v>
      </c>
    </row>
    <row r="175" spans="1:11" x14ac:dyDescent="0.25">
      <c r="A175" s="6" t="s">
        <v>123</v>
      </c>
      <c r="B175" t="str">
        <f>VLOOKUP(Tabla6[[#This Row],[Protein_name]],raw!$A$2:$F$5391,6,FALSE)</f>
        <v>T4</v>
      </c>
      <c r="C175" t="str">
        <f>VLOOKUP(Tabla6[[#This Row],[Protein_name]],raw!$A$2:$F$5391,4,FALSE)</f>
        <v>O94805, P60709, O14497, P51531, Q12824, Q92922, Q8TAQ2, Q96GM5, Q92925, Q6STE5, Q969G3</v>
      </c>
      <c r="D175" t="str">
        <f>VLOOKUP(Tabla6[[#This Row],[Protein_name]],raw!$A$2:$F$5391,2,FALSE)</f>
        <v>actin, cytoplasmic 1 (ec 3.6.4.-) (beta-actin) [cleaved into: actin, cytoplasmic 1, n-terminally processed]</v>
      </c>
      <c r="E175" t="str">
        <f>VLOOKUP(Tabla6[[#This Row],[Protein_name]],raw!$A$2:$F$5391,5,FALSE)</f>
        <v>PROTEIN COMPLEX</v>
      </c>
      <c r="F175" t="str">
        <f>VLOOKUP(Tabla6[[#This Row],[Protein_name]],raw!$A$2:$F$5391,3,FALSE)</f>
        <v>ACTL6B,ACTB,ARID1A,SMARCA2,SMARCB1,SMARCC1,SMARCC2,SMARCD1,SMARCD2,SMARCD3,SMARCE1</v>
      </c>
      <c r="G175">
        <f>VLOOKUP(Tabla6[[#This Row],[Protein_name]],T4_metrics!$A$2:$G$693,4,FALSE)</f>
        <v>39.644000000000013</v>
      </c>
      <c r="H175">
        <f>VLOOKUP(Tabla6[[#This Row],[Protein_name]],T4_metrics!$A$2:$G$693,5,FALSE)</f>
        <v>169.11399999999989</v>
      </c>
      <c r="I175" s="5">
        <f>VLOOKUP(Tabla6[[#This Row],[Protein_name]],T4_metrics!$A$2:$G$693,6,FALSE)</f>
        <v>1.3056945198666019</v>
      </c>
      <c r="J175" t="s">
        <v>16775</v>
      </c>
      <c r="K175" s="7">
        <v>10</v>
      </c>
    </row>
    <row r="176" spans="1:11" x14ac:dyDescent="0.25">
      <c r="A176" s="4" t="s">
        <v>124</v>
      </c>
      <c r="B176" t="str">
        <f>VLOOKUP(Tabla6[[#This Row],[Protein_name]],raw!$A$2:$F$5391,6,FALSE)</f>
        <v>T4</v>
      </c>
      <c r="C176" t="str">
        <f>VLOOKUP(Tabla6[[#This Row],[Protein_name]],raw!$A$2:$F$5391,4,FALSE)</f>
        <v>O94805, P60709, O14497, P51531, Q12824, Q8TAQ2, Q92925, Q969G3</v>
      </c>
      <c r="D176" t="str">
        <f>VLOOKUP(Tabla6[[#This Row],[Protein_name]],raw!$A$2:$F$5391,2,FALSE)</f>
        <v>actin, cytoplasmic 1 (ec 3.6.4.-) (beta-actin) [cleaved into: actin, cytoplasmic 1, n-terminally processed]</v>
      </c>
      <c r="E176" t="str">
        <f>VLOOKUP(Tabla6[[#This Row],[Protein_name]],raw!$A$2:$F$5391,5,FALSE)</f>
        <v>PROTEIN COMPLEX</v>
      </c>
      <c r="F176" t="str">
        <f>VLOOKUP(Tabla6[[#This Row],[Protein_name]],raw!$A$2:$F$5391,3,FALSE)</f>
        <v>ACTL6B,ACTB,ARID1A,SMARCA2,SMARCB1,SMARCC2,SMARCD2,SMARCE1</v>
      </c>
      <c r="G176">
        <f>VLOOKUP(Tabla6[[#This Row],[Protein_name]],T4_metrics!$A$2:$G$693,4,FALSE)</f>
        <v>39.644000000000013</v>
      </c>
      <c r="H176">
        <f>VLOOKUP(Tabla6[[#This Row],[Protein_name]],T4_metrics!$A$2:$G$693,5,FALSE)</f>
        <v>169.11399999999989</v>
      </c>
      <c r="I176" s="5">
        <f>VLOOKUP(Tabla6[[#This Row],[Protein_name]],T4_metrics!$A$2:$G$693,6,FALSE)</f>
        <v>1.305148192929712</v>
      </c>
      <c r="J176" t="s">
        <v>16775</v>
      </c>
      <c r="K176" s="5">
        <v>10</v>
      </c>
    </row>
    <row r="177" spans="1:11" x14ac:dyDescent="0.25">
      <c r="A177" s="6" t="s">
        <v>125</v>
      </c>
      <c r="B177" t="str">
        <f>VLOOKUP(Tabla6[[#This Row],[Protein_name]],raw!$A$2:$F$5391,6,FALSE)</f>
        <v>T4</v>
      </c>
      <c r="C177" t="str">
        <f>VLOOKUP(Tabla6[[#This Row],[Protein_name]],raw!$A$2:$F$5391,4,FALSE)</f>
        <v>P35227, Q99496, O95503, P78364</v>
      </c>
      <c r="D177" t="str">
        <f>VLOOKUP(Tabla6[[#This Row],[Protein_name]],raw!$A$2:$F$5391,2,FALSE)</f>
        <v>e3 ubiquitin-protein ligase ring2 (ec 2.3.2.27) (huntingtin-interacting protein 2-interacting protein 3) (hip2-interacting protein 3) (protein ding) (ring finger protein 1b) (ring1b) (ring finger protein 2) (ring finger protein bap-1) (ring-type e3 ubiquitin transferase ring2)</v>
      </c>
      <c r="E177" t="str">
        <f>VLOOKUP(Tabla6[[#This Row],[Protein_name]],raw!$A$2:$F$5391,5,FALSE)</f>
        <v>PROTEIN COMPLEX</v>
      </c>
      <c r="F177" t="str">
        <f>VLOOKUP(Tabla6[[#This Row],[Protein_name]],raw!$A$2:$F$5391,3,FALSE)</f>
        <v>PCGF2,RNF2,CBX6,PHC1</v>
      </c>
      <c r="G177">
        <f>VLOOKUP(Tabla6[[#This Row],[Protein_name]],T4_metrics!$A$2:$G$693,4,FALSE)</f>
        <v>109.0949999999999</v>
      </c>
      <c r="H177">
        <f>VLOOKUP(Tabla6[[#This Row],[Protein_name]],T4_metrics!$A$2:$G$693,5,FALSE)</f>
        <v>40.809000000000047</v>
      </c>
      <c r="I177" s="5">
        <f>VLOOKUP(Tabla6[[#This Row],[Protein_name]],T4_metrics!$A$2:$G$693,6,FALSE)</f>
        <v>0.93004015610527424</v>
      </c>
      <c r="J177" t="s">
        <v>16775</v>
      </c>
      <c r="K177" s="7">
        <v>11</v>
      </c>
    </row>
    <row r="178" spans="1:11" x14ac:dyDescent="0.25">
      <c r="A178" s="4" t="s">
        <v>126</v>
      </c>
      <c r="B178" t="str">
        <f>VLOOKUP(Tabla6[[#This Row],[Protein_name]],raw!$A$2:$F$5391,6,FALSE)</f>
        <v>T4</v>
      </c>
      <c r="C178" t="str">
        <f>VLOOKUP(Tabla6[[#This Row],[Protein_name]],raw!$A$2:$F$5391,4,FALSE)</f>
        <v>P35227, Q99496, O95931, P78364</v>
      </c>
      <c r="D178" t="str">
        <f>VLOOKUP(Tabla6[[#This Row],[Protein_name]],raw!$A$2:$F$5391,2,FALSE)</f>
        <v>e3 ubiquitin-protein ligase ring2 (ec 2.3.2.27) (huntingtin-interacting protein 2-interacting protein 3) (hip2-interacting protein 3) (protein ding) (ring finger protein 1b) (ring1b) (ring finger protein 2) (ring finger protein bap-1) (ring-type e3 ubiquitin transferase ring2)</v>
      </c>
      <c r="E178" t="str">
        <f>VLOOKUP(Tabla6[[#This Row],[Protein_name]],raw!$A$2:$F$5391,5,FALSE)</f>
        <v>PROTEIN COMPLEX</v>
      </c>
      <c r="F178" t="str">
        <f>VLOOKUP(Tabla6[[#This Row],[Protein_name]],raw!$A$2:$F$5391,3,FALSE)</f>
        <v>PCGF2,RNF2,CBX7,PHC1</v>
      </c>
      <c r="G178">
        <f>VLOOKUP(Tabla6[[#This Row],[Protein_name]],T4_metrics!$A$2:$G$693,4,FALSE)</f>
        <v>109.0949999999999</v>
      </c>
      <c r="H178">
        <f>VLOOKUP(Tabla6[[#This Row],[Protein_name]],T4_metrics!$A$2:$G$693,5,FALSE)</f>
        <v>40.809000000000047</v>
      </c>
      <c r="I178" s="5">
        <f>VLOOKUP(Tabla6[[#This Row],[Protein_name]],T4_metrics!$A$2:$G$693,6,FALSE)</f>
        <v>0.93004015610527424</v>
      </c>
      <c r="J178" t="s">
        <v>16775</v>
      </c>
      <c r="K178" s="5">
        <v>11</v>
      </c>
    </row>
    <row r="179" spans="1:11" x14ac:dyDescent="0.25">
      <c r="A179" s="6" t="s">
        <v>127</v>
      </c>
      <c r="B179" t="str">
        <f>VLOOKUP(Tabla6[[#This Row],[Protein_name]],raw!$A$2:$F$5391,6,FALSE)</f>
        <v>T4</v>
      </c>
      <c r="C179" t="str">
        <f>VLOOKUP(Tabla6[[#This Row],[Protein_name]],raw!$A$2:$F$5391,4,FALSE)</f>
        <v>P35227, Q99496, P78364, Q9HC52</v>
      </c>
      <c r="D179" t="str">
        <f>VLOOKUP(Tabla6[[#This Row],[Protein_name]],raw!$A$2:$F$5391,2,FALSE)</f>
        <v>e3 ubiquitin-protein ligase ring2 (ec 2.3.2.27) (huntingtin-interacting protein 2-interacting protein 3) (hip2-interacting protein 3) (protein ding) (ring finger protein 1b) (ring1b) (ring finger protein 2) (ring finger protein bap-1) (ring-type e3 ubiquitin transferase ring2)</v>
      </c>
      <c r="E179" t="str">
        <f>VLOOKUP(Tabla6[[#This Row],[Protein_name]],raw!$A$2:$F$5391,5,FALSE)</f>
        <v>PROTEIN COMPLEX</v>
      </c>
      <c r="F179" t="str">
        <f>VLOOKUP(Tabla6[[#This Row],[Protein_name]],raw!$A$2:$F$5391,3,FALSE)</f>
        <v>PCGF2,RNF2,PHC1,CBX8</v>
      </c>
      <c r="G179">
        <f>VLOOKUP(Tabla6[[#This Row],[Protein_name]],T4_metrics!$A$2:$G$693,4,FALSE)</f>
        <v>109.0949999999999</v>
      </c>
      <c r="H179">
        <f>VLOOKUP(Tabla6[[#This Row],[Protein_name]],T4_metrics!$A$2:$G$693,5,FALSE)</f>
        <v>40.809000000000047</v>
      </c>
      <c r="I179" s="5">
        <f>VLOOKUP(Tabla6[[#This Row],[Protein_name]],T4_metrics!$A$2:$G$693,6,FALSE)</f>
        <v>0.93004015610527424</v>
      </c>
      <c r="J179" t="s">
        <v>16775</v>
      </c>
      <c r="K179" s="7">
        <v>11</v>
      </c>
    </row>
    <row r="180" spans="1:11" x14ac:dyDescent="0.25">
      <c r="A180" s="4" t="s">
        <v>128</v>
      </c>
      <c r="B180" t="str">
        <f>VLOOKUP(Tabla6[[#This Row],[Protein_name]],raw!$A$2:$F$5391,6,FALSE)</f>
        <v>T4</v>
      </c>
      <c r="C180" t="str">
        <f>VLOOKUP(Tabla6[[#This Row],[Protein_name]],raw!$A$2:$F$5391,4,FALSE)</f>
        <v>P35227, P78364, Q99496, O00257</v>
      </c>
      <c r="D180" t="str">
        <f>VLOOKUP(Tabla6[[#This Row],[Protein_name]],raw!$A$2:$F$5391,2,FALSE)</f>
        <v>e3 ubiquitin-protein ligase ring2 (ec 2.3.2.27) (huntingtin-interacting protein 2-interacting protein 3) (hip2-interacting protein 3) (protein ding) (ring finger protein 1b) (ring1b) (ring finger protein 2) (ring finger protein bap-1) (ring-type e3 ubiquitin transferase ring2)</v>
      </c>
      <c r="E180" t="str">
        <f>VLOOKUP(Tabla6[[#This Row],[Protein_name]],raw!$A$2:$F$5391,5,FALSE)</f>
        <v>PROTEIN COMPLEX</v>
      </c>
      <c r="F180" t="str">
        <f>VLOOKUP(Tabla6[[#This Row],[Protein_name]],raw!$A$2:$F$5391,3,FALSE)</f>
        <v>PCGF2,PHC1,RNF2,CBX4</v>
      </c>
      <c r="G180">
        <f>VLOOKUP(Tabla6[[#This Row],[Protein_name]],T4_metrics!$A$2:$G$693,4,FALSE)</f>
        <v>109.0949999999999</v>
      </c>
      <c r="H180">
        <f>VLOOKUP(Tabla6[[#This Row],[Protein_name]],T4_metrics!$A$2:$G$693,5,FALSE)</f>
        <v>40.809000000000047</v>
      </c>
      <c r="I180" s="5">
        <f>VLOOKUP(Tabla6[[#This Row],[Protein_name]],T4_metrics!$A$2:$G$693,6,FALSE)</f>
        <v>0.93004015610527424</v>
      </c>
      <c r="J180" t="s">
        <v>16775</v>
      </c>
      <c r="K180" s="5">
        <v>11</v>
      </c>
    </row>
    <row r="181" spans="1:11" x14ac:dyDescent="0.25">
      <c r="A181" s="8" t="s">
        <v>129</v>
      </c>
      <c r="B181" t="str">
        <f>VLOOKUP(Tabla6[[#This Row],[Protein_name]],raw!$A$2:$F$5391,6,FALSE)</f>
        <v>T4</v>
      </c>
      <c r="C181" t="str">
        <f>VLOOKUP(Tabla6[[#This Row],[Protein_name]],raw!$A$2:$F$5391,4,FALSE)</f>
        <v>P35227, Q99496, Q14781, P78364</v>
      </c>
      <c r="D181" t="str">
        <f>VLOOKUP(Tabla6[[#This Row],[Protein_name]],raw!$A$2:$F$5391,2,FALSE)</f>
        <v>chromobox protein homolog 2</v>
      </c>
      <c r="E181" t="str">
        <f>VLOOKUP(Tabla6[[#This Row],[Protein_name]],raw!$A$2:$F$5391,5,FALSE)</f>
        <v>PROTEIN COMPLEX</v>
      </c>
      <c r="F181" t="str">
        <f>VLOOKUP(Tabla6[[#This Row],[Protein_name]],raw!$A$2:$F$5391,3,FALSE)</f>
        <v>PCGF2,RNF2,CBX2,PHC1</v>
      </c>
      <c r="G181">
        <f>VLOOKUP(Tabla6[[#This Row],[Protein_name]],T4_metrics!$A$2:$G$693,4,FALSE)</f>
        <v>108.9159999999999</v>
      </c>
      <c r="H181">
        <f>VLOOKUP(Tabla6[[#This Row],[Protein_name]],T4_metrics!$A$2:$G$693,5,FALSE)</f>
        <v>40.809000000000047</v>
      </c>
      <c r="I181" s="5">
        <f>VLOOKUP(Tabla6[[#This Row],[Protein_name]],T4_metrics!$A$2:$G$693,6,FALSE)</f>
        <v>0.93053891468753891</v>
      </c>
      <c r="J181" t="s">
        <v>16775</v>
      </c>
      <c r="K181" s="9">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workbookViewId="0">
      <selection activeCell="A2" sqref="A2"/>
    </sheetView>
  </sheetViews>
  <sheetFormatPr baseColWidth="10" defaultColWidth="9.140625" defaultRowHeight="15" x14ac:dyDescent="0.25"/>
  <cols>
    <col min="1" max="1" width="15.7109375" customWidth="1"/>
    <col min="2" max="2" width="9.42578125" customWidth="1"/>
    <col min="3" max="3" width="19.7109375" customWidth="1"/>
    <col min="4" max="4" width="43.5703125" bestFit="1" customWidth="1"/>
  </cols>
  <sheetData>
    <row r="1" spans="1:4" x14ac:dyDescent="0.25">
      <c r="A1" s="3" t="s">
        <v>0</v>
      </c>
      <c r="B1" s="3" t="s">
        <v>1</v>
      </c>
      <c r="C1" s="3" t="s">
        <v>2</v>
      </c>
      <c r="D1" s="3" t="s">
        <v>3</v>
      </c>
    </row>
    <row r="2" spans="1:4" x14ac:dyDescent="0.25">
      <c r="A2" t="s">
        <v>70</v>
      </c>
      <c r="B2">
        <v>0</v>
      </c>
      <c r="C2">
        <v>0.74878414882734801</v>
      </c>
      <c r="D2" t="s">
        <v>71</v>
      </c>
    </row>
    <row r="3" spans="1:4" x14ac:dyDescent="0.25">
      <c r="A3" t="s">
        <v>72</v>
      </c>
      <c r="B3">
        <v>0</v>
      </c>
      <c r="C3">
        <v>0.72258046303535584</v>
      </c>
      <c r="D3" t="s">
        <v>71</v>
      </c>
    </row>
    <row r="4" spans="1:4" x14ac:dyDescent="0.25">
      <c r="A4" t="s">
        <v>73</v>
      </c>
      <c r="B4">
        <v>0</v>
      </c>
      <c r="C4">
        <v>0.70894845932647121</v>
      </c>
      <c r="D4" t="s">
        <v>71</v>
      </c>
    </row>
    <row r="5" spans="1:4" x14ac:dyDescent="0.25">
      <c r="A5" t="s">
        <v>74</v>
      </c>
      <c r="B5">
        <v>0</v>
      </c>
      <c r="C5">
        <v>0.70880052010698535</v>
      </c>
      <c r="D5" t="s">
        <v>71</v>
      </c>
    </row>
    <row r="6" spans="1:4" x14ac:dyDescent="0.25">
      <c r="A6" t="s">
        <v>75</v>
      </c>
      <c r="B6">
        <v>0</v>
      </c>
      <c r="C6">
        <v>0.67904409702558732</v>
      </c>
      <c r="D6" t="s">
        <v>71</v>
      </c>
    </row>
    <row r="7" spans="1:4" x14ac:dyDescent="0.25">
      <c r="A7" t="s">
        <v>46</v>
      </c>
      <c r="B7">
        <v>1</v>
      </c>
      <c r="C7">
        <v>1.547513575461847</v>
      </c>
      <c r="D7" t="s">
        <v>47</v>
      </c>
    </row>
    <row r="8" spans="1:4" x14ac:dyDescent="0.25">
      <c r="A8" t="s">
        <v>48</v>
      </c>
      <c r="B8">
        <v>1</v>
      </c>
      <c r="C8">
        <v>1.4572378698571229</v>
      </c>
      <c r="D8" t="s">
        <v>47</v>
      </c>
    </row>
    <row r="9" spans="1:4" x14ac:dyDescent="0.25">
      <c r="A9" t="s">
        <v>49</v>
      </c>
      <c r="B9">
        <v>1</v>
      </c>
      <c r="C9">
        <v>1.455847655803046</v>
      </c>
      <c r="D9" t="s">
        <v>47</v>
      </c>
    </row>
    <row r="10" spans="1:4" x14ac:dyDescent="0.25">
      <c r="A10" t="s">
        <v>50</v>
      </c>
      <c r="B10">
        <v>1</v>
      </c>
      <c r="C10">
        <v>1.3763837713861911</v>
      </c>
      <c r="D10" t="s">
        <v>47</v>
      </c>
    </row>
    <row r="11" spans="1:4" x14ac:dyDescent="0.25">
      <c r="A11" t="s">
        <v>51</v>
      </c>
      <c r="B11">
        <v>1</v>
      </c>
      <c r="C11">
        <v>1.3505542065429459</v>
      </c>
      <c r="D11" t="s">
        <v>47</v>
      </c>
    </row>
    <row r="12" spans="1:4" x14ac:dyDescent="0.25">
      <c r="A12" t="s">
        <v>34</v>
      </c>
      <c r="B12">
        <v>2</v>
      </c>
      <c r="C12">
        <v>0.77451373873931195</v>
      </c>
      <c r="D12" t="s">
        <v>35</v>
      </c>
    </row>
    <row r="13" spans="1:4" x14ac:dyDescent="0.25">
      <c r="A13" t="s">
        <v>36</v>
      </c>
      <c r="B13">
        <v>2</v>
      </c>
      <c r="C13">
        <v>0.73510788840895225</v>
      </c>
      <c r="D13" t="s">
        <v>35</v>
      </c>
    </row>
    <row r="14" spans="1:4" x14ac:dyDescent="0.25">
      <c r="A14" t="s">
        <v>37</v>
      </c>
      <c r="B14">
        <v>2</v>
      </c>
      <c r="C14">
        <v>0.71756784113047223</v>
      </c>
      <c r="D14" t="s">
        <v>35</v>
      </c>
    </row>
    <row r="15" spans="1:4" x14ac:dyDescent="0.25">
      <c r="A15" t="s">
        <v>38</v>
      </c>
      <c r="B15">
        <v>2</v>
      </c>
      <c r="C15">
        <v>0.70814587418032182</v>
      </c>
      <c r="D15" t="s">
        <v>35</v>
      </c>
    </row>
    <row r="16" spans="1:4" x14ac:dyDescent="0.25">
      <c r="A16" t="s">
        <v>39</v>
      </c>
      <c r="B16">
        <v>2</v>
      </c>
      <c r="C16">
        <v>0.70477392063035937</v>
      </c>
      <c r="D16" t="s">
        <v>35</v>
      </c>
    </row>
    <row r="17" spans="1:4" x14ac:dyDescent="0.25">
      <c r="A17" t="s">
        <v>64</v>
      </c>
      <c r="B17">
        <v>3</v>
      </c>
      <c r="C17">
        <v>0.68463592741490398</v>
      </c>
      <c r="D17" t="s">
        <v>65</v>
      </c>
    </row>
    <row r="18" spans="1:4" x14ac:dyDescent="0.25">
      <c r="A18" t="s">
        <v>66</v>
      </c>
      <c r="B18">
        <v>3</v>
      </c>
      <c r="C18">
        <v>0.63661044130040878</v>
      </c>
      <c r="D18" t="s">
        <v>65</v>
      </c>
    </row>
    <row r="19" spans="1:4" x14ac:dyDescent="0.25">
      <c r="A19" t="s">
        <v>67</v>
      </c>
      <c r="B19">
        <v>3</v>
      </c>
      <c r="C19">
        <v>0.60134285901391371</v>
      </c>
      <c r="D19" t="s">
        <v>65</v>
      </c>
    </row>
    <row r="20" spans="1:4" x14ac:dyDescent="0.25">
      <c r="A20" t="s">
        <v>68</v>
      </c>
      <c r="B20">
        <v>3</v>
      </c>
      <c r="C20">
        <v>0.57143786172617261</v>
      </c>
      <c r="D20" t="s">
        <v>65</v>
      </c>
    </row>
    <row r="21" spans="1:4" x14ac:dyDescent="0.25">
      <c r="A21" t="s">
        <v>69</v>
      </c>
      <c r="B21">
        <v>3</v>
      </c>
      <c r="C21">
        <v>0.57058331257138784</v>
      </c>
      <c r="D21" t="s">
        <v>65</v>
      </c>
    </row>
    <row r="22" spans="1:4" x14ac:dyDescent="0.25">
      <c r="A22" t="s">
        <v>58</v>
      </c>
      <c r="B22">
        <v>4</v>
      </c>
      <c r="C22">
        <v>0.99655038348063152</v>
      </c>
      <c r="D22" t="s">
        <v>59</v>
      </c>
    </row>
    <row r="23" spans="1:4" x14ac:dyDescent="0.25">
      <c r="A23" t="s">
        <v>60</v>
      </c>
      <c r="B23">
        <v>4</v>
      </c>
      <c r="C23">
        <v>0.98423563930899083</v>
      </c>
      <c r="D23" t="s">
        <v>59</v>
      </c>
    </row>
    <row r="24" spans="1:4" x14ac:dyDescent="0.25">
      <c r="A24" t="s">
        <v>61</v>
      </c>
      <c r="B24">
        <v>4</v>
      </c>
      <c r="C24">
        <v>0.97474883067091311</v>
      </c>
      <c r="D24" t="s">
        <v>59</v>
      </c>
    </row>
    <row r="25" spans="1:4" x14ac:dyDescent="0.25">
      <c r="A25" t="s">
        <v>62</v>
      </c>
      <c r="B25">
        <v>4</v>
      </c>
      <c r="C25">
        <v>0.9602640257558287</v>
      </c>
      <c r="D25" t="s">
        <v>59</v>
      </c>
    </row>
    <row r="26" spans="1:4" x14ac:dyDescent="0.25">
      <c r="A26" t="s">
        <v>63</v>
      </c>
      <c r="B26">
        <v>4</v>
      </c>
      <c r="C26">
        <v>0.93697902662478594</v>
      </c>
      <c r="D26" t="s">
        <v>59</v>
      </c>
    </row>
    <row r="27" spans="1:4" x14ac:dyDescent="0.25">
      <c r="A27" t="s">
        <v>16</v>
      </c>
      <c r="B27">
        <v>5</v>
      </c>
      <c r="C27">
        <v>2.4132162425187982</v>
      </c>
      <c r="D27" t="s">
        <v>17</v>
      </c>
    </row>
    <row r="28" spans="1:4" x14ac:dyDescent="0.25">
      <c r="A28" t="s">
        <v>18</v>
      </c>
      <c r="B28">
        <v>5</v>
      </c>
      <c r="C28">
        <v>2.404533852601165</v>
      </c>
      <c r="D28" t="s">
        <v>17</v>
      </c>
    </row>
    <row r="29" spans="1:4" x14ac:dyDescent="0.25">
      <c r="A29" t="s">
        <v>19</v>
      </c>
      <c r="B29">
        <v>5</v>
      </c>
      <c r="C29">
        <v>2.404533852601165</v>
      </c>
      <c r="D29" t="s">
        <v>17</v>
      </c>
    </row>
    <row r="30" spans="1:4" x14ac:dyDescent="0.25">
      <c r="A30" t="s">
        <v>20</v>
      </c>
      <c r="B30">
        <v>5</v>
      </c>
      <c r="C30">
        <v>1.1804867896026141</v>
      </c>
      <c r="D30" t="s">
        <v>17</v>
      </c>
    </row>
    <row r="31" spans="1:4" x14ac:dyDescent="0.25">
      <c r="A31" t="s">
        <v>21</v>
      </c>
      <c r="B31">
        <v>5</v>
      </c>
      <c r="C31">
        <v>0.9623076990254058</v>
      </c>
      <c r="D31" t="s">
        <v>17</v>
      </c>
    </row>
    <row r="32" spans="1:4" x14ac:dyDescent="0.25">
      <c r="A32" t="s">
        <v>52</v>
      </c>
      <c r="B32">
        <v>6</v>
      </c>
      <c r="C32">
        <v>0.7011680891119948</v>
      </c>
      <c r="D32" t="s">
        <v>53</v>
      </c>
    </row>
    <row r="33" spans="1:4" x14ac:dyDescent="0.25">
      <c r="A33" t="s">
        <v>54</v>
      </c>
      <c r="B33">
        <v>6</v>
      </c>
      <c r="C33">
        <v>0.67959307550342618</v>
      </c>
      <c r="D33" t="s">
        <v>53</v>
      </c>
    </row>
    <row r="34" spans="1:4" x14ac:dyDescent="0.25">
      <c r="A34" t="s">
        <v>55</v>
      </c>
      <c r="B34">
        <v>6</v>
      </c>
      <c r="C34">
        <v>0.67380262055185358</v>
      </c>
      <c r="D34" t="s">
        <v>53</v>
      </c>
    </row>
    <row r="35" spans="1:4" x14ac:dyDescent="0.25">
      <c r="A35" t="s">
        <v>56</v>
      </c>
      <c r="B35">
        <v>6</v>
      </c>
      <c r="C35">
        <v>0.66902376820237908</v>
      </c>
      <c r="D35" t="s">
        <v>53</v>
      </c>
    </row>
    <row r="36" spans="1:4" x14ac:dyDescent="0.25">
      <c r="A36" t="s">
        <v>57</v>
      </c>
      <c r="B36">
        <v>6</v>
      </c>
      <c r="C36">
        <v>0.66774889774678181</v>
      </c>
      <c r="D36" t="s">
        <v>53</v>
      </c>
    </row>
    <row r="37" spans="1:4" x14ac:dyDescent="0.25">
      <c r="A37" t="s">
        <v>40</v>
      </c>
      <c r="B37">
        <v>7</v>
      </c>
      <c r="C37">
        <v>1.5434419425088099</v>
      </c>
      <c r="D37" t="s">
        <v>41</v>
      </c>
    </row>
    <row r="38" spans="1:4" x14ac:dyDescent="0.25">
      <c r="A38" t="s">
        <v>42</v>
      </c>
      <c r="B38">
        <v>7</v>
      </c>
      <c r="C38">
        <v>0.82447679374696181</v>
      </c>
      <c r="D38" t="s">
        <v>41</v>
      </c>
    </row>
    <row r="39" spans="1:4" x14ac:dyDescent="0.25">
      <c r="A39" t="s">
        <v>43</v>
      </c>
      <c r="B39">
        <v>7</v>
      </c>
      <c r="C39">
        <v>0.78117911868158152</v>
      </c>
      <c r="D39" t="s">
        <v>41</v>
      </c>
    </row>
    <row r="40" spans="1:4" x14ac:dyDescent="0.25">
      <c r="A40" t="s">
        <v>44</v>
      </c>
      <c r="B40">
        <v>7</v>
      </c>
      <c r="C40">
        <v>0.73696135121391282</v>
      </c>
      <c r="D40" t="s">
        <v>41</v>
      </c>
    </row>
    <row r="41" spans="1:4" x14ac:dyDescent="0.25">
      <c r="A41" t="s">
        <v>45</v>
      </c>
      <c r="B41">
        <v>7</v>
      </c>
      <c r="C41">
        <v>0.73538322505446152</v>
      </c>
      <c r="D41" t="s">
        <v>41</v>
      </c>
    </row>
    <row r="42" spans="1:4" x14ac:dyDescent="0.25">
      <c r="A42" t="s">
        <v>22</v>
      </c>
      <c r="B42">
        <v>8</v>
      </c>
      <c r="C42">
        <v>0.79154129518351635</v>
      </c>
      <c r="D42" t="s">
        <v>23</v>
      </c>
    </row>
    <row r="43" spans="1:4" x14ac:dyDescent="0.25">
      <c r="A43" t="s">
        <v>24</v>
      </c>
      <c r="B43">
        <v>8</v>
      </c>
      <c r="C43">
        <v>0.79154129518351635</v>
      </c>
      <c r="D43" t="s">
        <v>23</v>
      </c>
    </row>
    <row r="44" spans="1:4" x14ac:dyDescent="0.25">
      <c r="A44" t="s">
        <v>25</v>
      </c>
      <c r="B44">
        <v>8</v>
      </c>
      <c r="C44">
        <v>0.78305022213565167</v>
      </c>
      <c r="D44" t="s">
        <v>23</v>
      </c>
    </row>
    <row r="45" spans="1:4" x14ac:dyDescent="0.25">
      <c r="A45" t="s">
        <v>26</v>
      </c>
      <c r="B45">
        <v>8</v>
      </c>
      <c r="C45">
        <v>0.77912057183343864</v>
      </c>
      <c r="D45" t="s">
        <v>23</v>
      </c>
    </row>
    <row r="46" spans="1:4" x14ac:dyDescent="0.25">
      <c r="A46" t="s">
        <v>27</v>
      </c>
      <c r="B46">
        <v>8</v>
      </c>
      <c r="C46">
        <v>0.76441693546479428</v>
      </c>
      <c r="D46" t="s">
        <v>23</v>
      </c>
    </row>
    <row r="47" spans="1:4" x14ac:dyDescent="0.25">
      <c r="A47" t="s">
        <v>28</v>
      </c>
      <c r="B47">
        <v>9</v>
      </c>
      <c r="C47">
        <v>0.94596168804308189</v>
      </c>
      <c r="D47" t="s">
        <v>29</v>
      </c>
    </row>
    <row r="48" spans="1:4" x14ac:dyDescent="0.25">
      <c r="A48" t="s">
        <v>30</v>
      </c>
      <c r="B48">
        <v>9</v>
      </c>
      <c r="C48">
        <v>0.90396973781283085</v>
      </c>
      <c r="D48" t="s">
        <v>29</v>
      </c>
    </row>
    <row r="49" spans="1:4" x14ac:dyDescent="0.25">
      <c r="A49" t="s">
        <v>31</v>
      </c>
      <c r="B49">
        <v>9</v>
      </c>
      <c r="C49">
        <v>0.86550843616247264</v>
      </c>
      <c r="D49" t="s">
        <v>29</v>
      </c>
    </row>
    <row r="50" spans="1:4" x14ac:dyDescent="0.25">
      <c r="A50" t="s">
        <v>32</v>
      </c>
      <c r="B50">
        <v>9</v>
      </c>
      <c r="C50">
        <v>0.86501267961775841</v>
      </c>
      <c r="D50" t="s">
        <v>29</v>
      </c>
    </row>
    <row r="51" spans="1:4" x14ac:dyDescent="0.25">
      <c r="A51" t="s">
        <v>33</v>
      </c>
      <c r="B51">
        <v>9</v>
      </c>
      <c r="C51">
        <v>0.86501267961775841</v>
      </c>
      <c r="D51" t="s">
        <v>29</v>
      </c>
    </row>
    <row r="52" spans="1:4" x14ac:dyDescent="0.25">
      <c r="A52" t="s">
        <v>4</v>
      </c>
      <c r="B52">
        <v>10</v>
      </c>
      <c r="C52">
        <v>1.433302218020021</v>
      </c>
      <c r="D52" t="s">
        <v>5</v>
      </c>
    </row>
    <row r="53" spans="1:4" x14ac:dyDescent="0.25">
      <c r="A53" t="s">
        <v>6</v>
      </c>
      <c r="B53">
        <v>10</v>
      </c>
      <c r="C53">
        <v>1.4332762975683939</v>
      </c>
      <c r="D53" t="s">
        <v>5</v>
      </c>
    </row>
    <row r="54" spans="1:4" x14ac:dyDescent="0.25">
      <c r="A54" t="s">
        <v>7</v>
      </c>
      <c r="B54">
        <v>10</v>
      </c>
      <c r="C54">
        <v>1.432837571208645</v>
      </c>
      <c r="D54" t="s">
        <v>5</v>
      </c>
    </row>
    <row r="55" spans="1:4" x14ac:dyDescent="0.25">
      <c r="A55" t="s">
        <v>8</v>
      </c>
      <c r="B55">
        <v>10</v>
      </c>
      <c r="C55">
        <v>1.418466983956167</v>
      </c>
      <c r="D55" t="s">
        <v>5</v>
      </c>
    </row>
    <row r="56" spans="1:4" x14ac:dyDescent="0.25">
      <c r="A56" t="s">
        <v>9</v>
      </c>
      <c r="B56">
        <v>10</v>
      </c>
      <c r="C56">
        <v>1.417851338290637</v>
      </c>
      <c r="D56" t="s">
        <v>5</v>
      </c>
    </row>
    <row r="57" spans="1:4" x14ac:dyDescent="0.25">
      <c r="A57" t="s">
        <v>10</v>
      </c>
      <c r="B57">
        <v>11</v>
      </c>
      <c r="C57">
        <v>1.1329941480372441</v>
      </c>
      <c r="D57" t="s">
        <v>11</v>
      </c>
    </row>
    <row r="58" spans="1:4" x14ac:dyDescent="0.25">
      <c r="A58" t="s">
        <v>12</v>
      </c>
      <c r="B58">
        <v>11</v>
      </c>
      <c r="C58">
        <v>1.131875236158072</v>
      </c>
      <c r="D58" t="s">
        <v>11</v>
      </c>
    </row>
    <row r="59" spans="1:4" x14ac:dyDescent="0.25">
      <c r="A59" t="s">
        <v>13</v>
      </c>
      <c r="B59">
        <v>11</v>
      </c>
      <c r="C59">
        <v>1.0383803715931099</v>
      </c>
      <c r="D59" t="s">
        <v>11</v>
      </c>
    </row>
    <row r="60" spans="1:4" x14ac:dyDescent="0.25">
      <c r="A60" t="s">
        <v>14</v>
      </c>
      <c r="B60">
        <v>11</v>
      </c>
      <c r="C60">
        <v>1.032756201482022</v>
      </c>
      <c r="D60" t="s">
        <v>11</v>
      </c>
    </row>
    <row r="61" spans="1:4" x14ac:dyDescent="0.25">
      <c r="A61" t="s">
        <v>15</v>
      </c>
      <c r="B61">
        <v>11</v>
      </c>
      <c r="C61">
        <v>1.0316846578304071</v>
      </c>
      <c r="D61" t="s">
        <v>11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C75EB-1492-44B7-A73B-37F5885DFD7E}">
  <dimension ref="A1:D61"/>
  <sheetViews>
    <sheetView workbookViewId="0">
      <selection activeCell="B2" sqref="B2:B61"/>
    </sheetView>
  </sheetViews>
  <sheetFormatPr baseColWidth="10" defaultColWidth="9.140625" defaultRowHeight="15" x14ac:dyDescent="0.25"/>
  <cols>
    <col min="1" max="1" width="15.7109375" customWidth="1"/>
    <col min="2" max="2" width="9.42578125" customWidth="1"/>
    <col min="3" max="3" width="27.5703125" customWidth="1"/>
    <col min="4" max="4" width="43.5703125" bestFit="1" customWidth="1"/>
  </cols>
  <sheetData>
    <row r="1" spans="1:4" x14ac:dyDescent="0.25">
      <c r="A1" s="3" t="s">
        <v>0</v>
      </c>
      <c r="B1" s="3" t="s">
        <v>1</v>
      </c>
      <c r="C1" s="3" t="s">
        <v>76</v>
      </c>
      <c r="D1" s="3" t="s">
        <v>3</v>
      </c>
    </row>
    <row r="2" spans="1:4" x14ac:dyDescent="0.25">
      <c r="A2" t="s">
        <v>70</v>
      </c>
      <c r="B2">
        <v>0</v>
      </c>
      <c r="C2">
        <v>1.5980000000000001</v>
      </c>
      <c r="D2" t="s">
        <v>71</v>
      </c>
    </row>
    <row r="3" spans="1:4" x14ac:dyDescent="0.25">
      <c r="A3" t="s">
        <v>116</v>
      </c>
      <c r="B3">
        <v>0</v>
      </c>
      <c r="C3">
        <v>1.1579999999999999</v>
      </c>
      <c r="D3" t="s">
        <v>71</v>
      </c>
    </row>
    <row r="4" spans="1:4" x14ac:dyDescent="0.25">
      <c r="A4" t="s">
        <v>117</v>
      </c>
      <c r="B4">
        <v>0</v>
      </c>
      <c r="C4">
        <v>1.0309999999999999</v>
      </c>
      <c r="D4" t="s">
        <v>71</v>
      </c>
    </row>
    <row r="5" spans="1:4" x14ac:dyDescent="0.25">
      <c r="A5" t="s">
        <v>118</v>
      </c>
      <c r="B5">
        <v>0</v>
      </c>
      <c r="C5">
        <v>0.871</v>
      </c>
      <c r="D5" t="s">
        <v>71</v>
      </c>
    </row>
    <row r="6" spans="1:4" x14ac:dyDescent="0.25">
      <c r="A6" t="s">
        <v>119</v>
      </c>
      <c r="B6">
        <v>0</v>
      </c>
      <c r="C6">
        <v>0.46300000000000002</v>
      </c>
      <c r="D6" t="s">
        <v>71</v>
      </c>
    </row>
    <row r="7" spans="1:4" x14ac:dyDescent="0.25">
      <c r="A7" t="s">
        <v>50</v>
      </c>
      <c r="B7">
        <v>1</v>
      </c>
      <c r="C7">
        <v>4.1260000000000003</v>
      </c>
      <c r="D7" t="s">
        <v>47</v>
      </c>
    </row>
    <row r="8" spans="1:4" x14ac:dyDescent="0.25">
      <c r="A8" t="s">
        <v>102</v>
      </c>
      <c r="B8">
        <v>1</v>
      </c>
      <c r="C8">
        <v>4.0859999999999994</v>
      </c>
      <c r="D8" t="s">
        <v>47</v>
      </c>
    </row>
    <row r="9" spans="1:4" x14ac:dyDescent="0.25">
      <c r="A9" t="s">
        <v>103</v>
      </c>
      <c r="B9">
        <v>1</v>
      </c>
      <c r="C9">
        <v>2.9489999999999998</v>
      </c>
      <c r="D9" t="s">
        <v>47</v>
      </c>
    </row>
    <row r="10" spans="1:4" x14ac:dyDescent="0.25">
      <c r="A10" t="s">
        <v>104</v>
      </c>
      <c r="B10">
        <v>1</v>
      </c>
      <c r="C10">
        <v>1.8740000000000001</v>
      </c>
      <c r="D10" t="s">
        <v>47</v>
      </c>
    </row>
    <row r="11" spans="1:4" x14ac:dyDescent="0.25">
      <c r="A11" t="s">
        <v>105</v>
      </c>
      <c r="B11">
        <v>1</v>
      </c>
      <c r="C11">
        <v>1.6180000000000001</v>
      </c>
      <c r="D11" t="s">
        <v>47</v>
      </c>
    </row>
    <row r="12" spans="1:4" x14ac:dyDescent="0.25">
      <c r="A12" t="s">
        <v>93</v>
      </c>
      <c r="B12">
        <v>2</v>
      </c>
      <c r="C12">
        <v>17.32</v>
      </c>
      <c r="D12" t="s">
        <v>35</v>
      </c>
    </row>
    <row r="13" spans="1:4" x14ac:dyDescent="0.25">
      <c r="A13" t="s">
        <v>94</v>
      </c>
      <c r="B13">
        <v>2</v>
      </c>
      <c r="C13">
        <v>11.183999999999999</v>
      </c>
      <c r="D13" t="s">
        <v>35</v>
      </c>
    </row>
    <row r="14" spans="1:4" x14ac:dyDescent="0.25">
      <c r="A14" t="s">
        <v>95</v>
      </c>
      <c r="B14">
        <v>2</v>
      </c>
      <c r="C14">
        <v>8.7920000000000016</v>
      </c>
      <c r="D14" t="s">
        <v>35</v>
      </c>
    </row>
    <row r="15" spans="1:4" x14ac:dyDescent="0.25">
      <c r="A15" t="s">
        <v>96</v>
      </c>
      <c r="B15">
        <v>2</v>
      </c>
      <c r="C15">
        <v>8.5129999999999999</v>
      </c>
      <c r="D15" t="s">
        <v>35</v>
      </c>
    </row>
    <row r="16" spans="1:4" x14ac:dyDescent="0.25">
      <c r="A16" t="s">
        <v>97</v>
      </c>
      <c r="B16">
        <v>2</v>
      </c>
      <c r="C16">
        <v>7.8819999999999988</v>
      </c>
      <c r="D16" t="s">
        <v>35</v>
      </c>
    </row>
    <row r="17" spans="1:4" x14ac:dyDescent="0.25">
      <c r="A17" t="s">
        <v>112</v>
      </c>
      <c r="B17">
        <v>3</v>
      </c>
      <c r="C17">
        <v>2.9569999999999999</v>
      </c>
      <c r="D17" t="s">
        <v>65</v>
      </c>
    </row>
    <row r="18" spans="1:4" x14ac:dyDescent="0.25">
      <c r="A18" t="s">
        <v>113</v>
      </c>
      <c r="B18">
        <v>3</v>
      </c>
      <c r="C18">
        <v>2.5649999999999999</v>
      </c>
      <c r="D18" t="s">
        <v>65</v>
      </c>
    </row>
    <row r="19" spans="1:4" x14ac:dyDescent="0.25">
      <c r="A19" t="s">
        <v>114</v>
      </c>
      <c r="B19">
        <v>3</v>
      </c>
      <c r="C19">
        <v>2.54</v>
      </c>
      <c r="D19" t="s">
        <v>65</v>
      </c>
    </row>
    <row r="20" spans="1:4" x14ac:dyDescent="0.25">
      <c r="A20" t="s">
        <v>69</v>
      </c>
      <c r="B20">
        <v>3</v>
      </c>
      <c r="C20">
        <v>2.4140000000000001</v>
      </c>
      <c r="D20" t="s">
        <v>65</v>
      </c>
    </row>
    <row r="21" spans="1:4" x14ac:dyDescent="0.25">
      <c r="A21" t="s">
        <v>115</v>
      </c>
      <c r="B21">
        <v>3</v>
      </c>
      <c r="C21">
        <v>2.3010000000000002</v>
      </c>
      <c r="D21" t="s">
        <v>65</v>
      </c>
    </row>
    <row r="22" spans="1:4" x14ac:dyDescent="0.25">
      <c r="A22" t="s">
        <v>109</v>
      </c>
      <c r="B22">
        <v>4</v>
      </c>
      <c r="C22">
        <v>3.1739999999999999</v>
      </c>
      <c r="D22" t="s">
        <v>59</v>
      </c>
    </row>
    <row r="23" spans="1:4" x14ac:dyDescent="0.25">
      <c r="A23" t="s">
        <v>61</v>
      </c>
      <c r="B23">
        <v>4</v>
      </c>
      <c r="C23">
        <v>2.258</v>
      </c>
      <c r="D23" t="s">
        <v>59</v>
      </c>
    </row>
    <row r="24" spans="1:4" x14ac:dyDescent="0.25">
      <c r="A24" t="s">
        <v>110</v>
      </c>
      <c r="B24">
        <v>4</v>
      </c>
      <c r="C24">
        <v>2.1989999999999998</v>
      </c>
      <c r="D24" t="s">
        <v>59</v>
      </c>
    </row>
    <row r="25" spans="1:4" x14ac:dyDescent="0.25">
      <c r="A25" t="s">
        <v>62</v>
      </c>
      <c r="B25">
        <v>4</v>
      </c>
      <c r="C25">
        <v>1.978</v>
      </c>
      <c r="D25" t="s">
        <v>59</v>
      </c>
    </row>
    <row r="26" spans="1:4" x14ac:dyDescent="0.25">
      <c r="A26" t="s">
        <v>111</v>
      </c>
      <c r="B26">
        <v>4</v>
      </c>
      <c r="C26">
        <v>1.403</v>
      </c>
      <c r="D26" t="s">
        <v>59</v>
      </c>
    </row>
    <row r="27" spans="1:4" x14ac:dyDescent="0.25">
      <c r="A27" t="s">
        <v>84</v>
      </c>
      <c r="B27">
        <v>5</v>
      </c>
      <c r="C27">
        <v>51.461999999999946</v>
      </c>
      <c r="D27" t="s">
        <v>17</v>
      </c>
    </row>
    <row r="28" spans="1:4" x14ac:dyDescent="0.25">
      <c r="A28" t="s">
        <v>85</v>
      </c>
      <c r="B28">
        <v>5</v>
      </c>
      <c r="C28">
        <v>51.332999999999949</v>
      </c>
      <c r="D28" t="s">
        <v>17</v>
      </c>
    </row>
    <row r="29" spans="1:4" x14ac:dyDescent="0.25">
      <c r="A29" t="s">
        <v>86</v>
      </c>
      <c r="B29">
        <v>5</v>
      </c>
      <c r="C29">
        <v>51.332999999999949</v>
      </c>
      <c r="D29" t="s">
        <v>17</v>
      </c>
    </row>
    <row r="30" spans="1:4" x14ac:dyDescent="0.25">
      <c r="A30" t="s">
        <v>20</v>
      </c>
      <c r="B30">
        <v>5</v>
      </c>
      <c r="C30">
        <v>47.522000000000041</v>
      </c>
      <c r="D30" t="s">
        <v>17</v>
      </c>
    </row>
    <row r="31" spans="1:4" x14ac:dyDescent="0.25">
      <c r="A31" t="s">
        <v>19</v>
      </c>
      <c r="B31">
        <v>5</v>
      </c>
      <c r="C31">
        <v>47.522000000000041</v>
      </c>
      <c r="D31" t="s">
        <v>17</v>
      </c>
    </row>
    <row r="32" spans="1:4" x14ac:dyDescent="0.25">
      <c r="A32" t="s">
        <v>106</v>
      </c>
      <c r="B32">
        <v>6</v>
      </c>
      <c r="C32">
        <v>4.0960000000000001</v>
      </c>
      <c r="D32" t="s">
        <v>53</v>
      </c>
    </row>
    <row r="33" spans="1:4" x14ac:dyDescent="0.25">
      <c r="A33" t="s">
        <v>107</v>
      </c>
      <c r="B33">
        <v>6</v>
      </c>
      <c r="C33">
        <v>3.5569999999999999</v>
      </c>
      <c r="D33" t="s">
        <v>53</v>
      </c>
    </row>
    <row r="34" spans="1:4" x14ac:dyDescent="0.25">
      <c r="A34" t="s">
        <v>57</v>
      </c>
      <c r="B34">
        <v>6</v>
      </c>
      <c r="C34">
        <v>2.339</v>
      </c>
      <c r="D34" t="s">
        <v>53</v>
      </c>
    </row>
    <row r="35" spans="1:4" x14ac:dyDescent="0.25">
      <c r="A35" t="s">
        <v>108</v>
      </c>
      <c r="B35">
        <v>6</v>
      </c>
      <c r="C35">
        <v>2.2759999999999998</v>
      </c>
      <c r="D35" t="s">
        <v>53</v>
      </c>
    </row>
    <row r="36" spans="1:4" x14ac:dyDescent="0.25">
      <c r="A36" t="s">
        <v>52</v>
      </c>
      <c r="B36">
        <v>6</v>
      </c>
      <c r="C36">
        <v>1.7350000000000001</v>
      </c>
      <c r="D36" t="s">
        <v>53</v>
      </c>
    </row>
    <row r="37" spans="1:4" x14ac:dyDescent="0.25">
      <c r="A37" t="s">
        <v>98</v>
      </c>
      <c r="B37">
        <v>7</v>
      </c>
      <c r="C37">
        <v>7.6239999999999979</v>
      </c>
      <c r="D37" t="s">
        <v>41</v>
      </c>
    </row>
    <row r="38" spans="1:4" x14ac:dyDescent="0.25">
      <c r="A38" t="s">
        <v>99</v>
      </c>
      <c r="B38">
        <v>7</v>
      </c>
      <c r="C38">
        <v>6.851</v>
      </c>
      <c r="D38" t="s">
        <v>41</v>
      </c>
    </row>
    <row r="39" spans="1:4" x14ac:dyDescent="0.25">
      <c r="A39" t="s">
        <v>42</v>
      </c>
      <c r="B39">
        <v>7</v>
      </c>
      <c r="C39">
        <v>5.5759999999999987</v>
      </c>
      <c r="D39" t="s">
        <v>41</v>
      </c>
    </row>
    <row r="40" spans="1:4" x14ac:dyDescent="0.25">
      <c r="A40" t="s">
        <v>100</v>
      </c>
      <c r="B40">
        <v>7</v>
      </c>
      <c r="C40">
        <v>5.3109999999999999</v>
      </c>
      <c r="D40" t="s">
        <v>41</v>
      </c>
    </row>
    <row r="41" spans="1:4" x14ac:dyDescent="0.25">
      <c r="A41" t="s">
        <v>101</v>
      </c>
      <c r="B41">
        <v>7</v>
      </c>
      <c r="C41">
        <v>4.6580000000000004</v>
      </c>
      <c r="D41" t="s">
        <v>41</v>
      </c>
    </row>
    <row r="42" spans="1:4" x14ac:dyDescent="0.25">
      <c r="A42" t="s">
        <v>25</v>
      </c>
      <c r="B42">
        <v>8</v>
      </c>
      <c r="C42">
        <v>39.789000000000001</v>
      </c>
      <c r="D42" t="s">
        <v>23</v>
      </c>
    </row>
    <row r="43" spans="1:4" x14ac:dyDescent="0.25">
      <c r="A43" t="s">
        <v>87</v>
      </c>
      <c r="B43">
        <v>8</v>
      </c>
      <c r="C43">
        <v>4.5990000000000002</v>
      </c>
      <c r="D43" t="s">
        <v>23</v>
      </c>
    </row>
    <row r="44" spans="1:4" x14ac:dyDescent="0.25">
      <c r="A44" t="s">
        <v>88</v>
      </c>
      <c r="B44">
        <v>8</v>
      </c>
      <c r="C44">
        <v>4.4349999999999996</v>
      </c>
      <c r="D44" t="s">
        <v>23</v>
      </c>
    </row>
    <row r="45" spans="1:4" x14ac:dyDescent="0.25">
      <c r="A45" t="s">
        <v>89</v>
      </c>
      <c r="B45">
        <v>8</v>
      </c>
      <c r="C45">
        <v>4.3819999999999997</v>
      </c>
      <c r="D45" t="s">
        <v>23</v>
      </c>
    </row>
    <row r="46" spans="1:4" x14ac:dyDescent="0.25">
      <c r="A46" t="s">
        <v>26</v>
      </c>
      <c r="B46">
        <v>8</v>
      </c>
      <c r="C46">
        <v>4.0469999999999997</v>
      </c>
      <c r="D46" t="s">
        <v>23</v>
      </c>
    </row>
    <row r="47" spans="1:4" x14ac:dyDescent="0.25">
      <c r="A47" t="s">
        <v>30</v>
      </c>
      <c r="B47">
        <v>9</v>
      </c>
      <c r="C47">
        <v>25.24799999999999</v>
      </c>
      <c r="D47" t="s">
        <v>29</v>
      </c>
    </row>
    <row r="48" spans="1:4" x14ac:dyDescent="0.25">
      <c r="A48" t="s">
        <v>31</v>
      </c>
      <c r="B48">
        <v>9</v>
      </c>
      <c r="C48">
        <v>24.484999999999999</v>
      </c>
      <c r="D48" t="s">
        <v>29</v>
      </c>
    </row>
    <row r="49" spans="1:4" x14ac:dyDescent="0.25">
      <c r="A49" t="s">
        <v>90</v>
      </c>
      <c r="B49">
        <v>9</v>
      </c>
      <c r="C49">
        <v>21.473999999999979</v>
      </c>
      <c r="D49" t="s">
        <v>29</v>
      </c>
    </row>
    <row r="50" spans="1:4" x14ac:dyDescent="0.25">
      <c r="A50" t="s">
        <v>91</v>
      </c>
      <c r="B50">
        <v>9</v>
      </c>
      <c r="C50">
        <v>19.469999999999992</v>
      </c>
      <c r="D50" t="s">
        <v>29</v>
      </c>
    </row>
    <row r="51" spans="1:4" x14ac:dyDescent="0.25">
      <c r="A51" t="s">
        <v>92</v>
      </c>
      <c r="B51">
        <v>9</v>
      </c>
      <c r="C51">
        <v>18.152000000000001</v>
      </c>
      <c r="D51" t="s">
        <v>29</v>
      </c>
    </row>
    <row r="52" spans="1:4" x14ac:dyDescent="0.25">
      <c r="A52" t="s">
        <v>77</v>
      </c>
      <c r="B52">
        <v>10</v>
      </c>
      <c r="C52">
        <v>169.22300000000041</v>
      </c>
      <c r="D52" t="s">
        <v>5</v>
      </c>
    </row>
    <row r="53" spans="1:4" x14ac:dyDescent="0.25">
      <c r="A53" t="s">
        <v>7</v>
      </c>
      <c r="B53">
        <v>10</v>
      </c>
      <c r="C53">
        <v>169.22300000000041</v>
      </c>
      <c r="D53" t="s">
        <v>5</v>
      </c>
    </row>
    <row r="54" spans="1:4" x14ac:dyDescent="0.25">
      <c r="A54" t="s">
        <v>78</v>
      </c>
      <c r="B54">
        <v>10</v>
      </c>
      <c r="C54">
        <v>169.22300000000041</v>
      </c>
      <c r="D54" t="s">
        <v>5</v>
      </c>
    </row>
    <row r="55" spans="1:4" x14ac:dyDescent="0.25">
      <c r="A55" t="s">
        <v>79</v>
      </c>
      <c r="B55">
        <v>10</v>
      </c>
      <c r="C55">
        <v>169.22300000000041</v>
      </c>
      <c r="D55" t="s">
        <v>5</v>
      </c>
    </row>
    <row r="56" spans="1:4" x14ac:dyDescent="0.25">
      <c r="A56" t="s">
        <v>9</v>
      </c>
      <c r="B56">
        <v>10</v>
      </c>
      <c r="C56">
        <v>169.11399999999989</v>
      </c>
      <c r="D56" t="s">
        <v>5</v>
      </c>
    </row>
    <row r="57" spans="1:4" x14ac:dyDescent="0.25">
      <c r="A57" t="s">
        <v>80</v>
      </c>
      <c r="B57">
        <v>11</v>
      </c>
      <c r="C57">
        <v>128.98899999999949</v>
      </c>
      <c r="D57" t="s">
        <v>11</v>
      </c>
    </row>
    <row r="58" spans="1:4" x14ac:dyDescent="0.25">
      <c r="A58" t="s">
        <v>81</v>
      </c>
      <c r="B58">
        <v>11</v>
      </c>
      <c r="C58">
        <v>52.12800000000005</v>
      </c>
      <c r="D58" t="s">
        <v>11</v>
      </c>
    </row>
    <row r="59" spans="1:4" x14ac:dyDescent="0.25">
      <c r="A59" t="s">
        <v>82</v>
      </c>
      <c r="B59">
        <v>11</v>
      </c>
      <c r="C59">
        <v>52.12800000000005</v>
      </c>
      <c r="D59" t="s">
        <v>11</v>
      </c>
    </row>
    <row r="60" spans="1:4" x14ac:dyDescent="0.25">
      <c r="A60" t="s">
        <v>15</v>
      </c>
      <c r="B60">
        <v>11</v>
      </c>
      <c r="C60">
        <v>52.12800000000005</v>
      </c>
      <c r="D60" t="s">
        <v>11</v>
      </c>
    </row>
    <row r="61" spans="1:4" x14ac:dyDescent="0.25">
      <c r="A61" t="s">
        <v>83</v>
      </c>
      <c r="B61">
        <v>11</v>
      </c>
      <c r="C61">
        <v>52.12800000000005</v>
      </c>
      <c r="D61" t="s">
        <v>11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92BC2-7042-467F-A304-98B9D3E7AD77}">
  <dimension ref="A1:D61"/>
  <sheetViews>
    <sheetView topLeftCell="A26" workbookViewId="0">
      <selection activeCell="B2" sqref="B2:B61"/>
    </sheetView>
  </sheetViews>
  <sheetFormatPr baseColWidth="10" defaultColWidth="9.140625" defaultRowHeight="15" x14ac:dyDescent="0.25"/>
  <cols>
    <col min="1" max="1" width="15.7109375" customWidth="1"/>
    <col min="2" max="2" width="9.42578125" customWidth="1"/>
    <col min="3" max="3" width="27.42578125" customWidth="1"/>
    <col min="4" max="4" width="43.5703125" bestFit="1" customWidth="1"/>
  </cols>
  <sheetData>
    <row r="1" spans="1:4" x14ac:dyDescent="0.25">
      <c r="A1" s="3" t="s">
        <v>0</v>
      </c>
      <c r="B1" s="3" t="s">
        <v>1</v>
      </c>
      <c r="C1" s="3" t="s">
        <v>120</v>
      </c>
      <c r="D1" s="3" t="s">
        <v>3</v>
      </c>
    </row>
    <row r="2" spans="1:4" x14ac:dyDescent="0.25">
      <c r="A2" t="s">
        <v>159</v>
      </c>
      <c r="B2">
        <v>0</v>
      </c>
      <c r="C2">
        <v>10.585000000000001</v>
      </c>
      <c r="D2" t="s">
        <v>71</v>
      </c>
    </row>
    <row r="3" spans="1:4" x14ac:dyDescent="0.25">
      <c r="A3" t="s">
        <v>75</v>
      </c>
      <c r="B3">
        <v>0</v>
      </c>
      <c r="C3">
        <v>10.574</v>
      </c>
      <c r="D3" t="s">
        <v>71</v>
      </c>
    </row>
    <row r="4" spans="1:4" x14ac:dyDescent="0.25">
      <c r="A4" t="s">
        <v>160</v>
      </c>
      <c r="B4">
        <v>0</v>
      </c>
      <c r="C4">
        <v>9.7580000000000009</v>
      </c>
      <c r="D4" t="s">
        <v>71</v>
      </c>
    </row>
    <row r="5" spans="1:4" x14ac:dyDescent="0.25">
      <c r="A5" t="s">
        <v>161</v>
      </c>
      <c r="B5">
        <v>0</v>
      </c>
      <c r="C5">
        <v>9.6999999999999993</v>
      </c>
      <c r="D5" t="s">
        <v>71</v>
      </c>
    </row>
    <row r="6" spans="1:4" x14ac:dyDescent="0.25">
      <c r="A6" t="s">
        <v>162</v>
      </c>
      <c r="B6">
        <v>0</v>
      </c>
      <c r="C6">
        <v>9.1950000000000003</v>
      </c>
      <c r="D6" t="s">
        <v>71</v>
      </c>
    </row>
    <row r="7" spans="1:4" x14ac:dyDescent="0.25">
      <c r="A7" t="s">
        <v>148</v>
      </c>
      <c r="B7">
        <v>1</v>
      </c>
      <c r="C7">
        <v>27.50800000000001</v>
      </c>
      <c r="D7" t="s">
        <v>47</v>
      </c>
    </row>
    <row r="8" spans="1:4" x14ac:dyDescent="0.25">
      <c r="A8" t="s">
        <v>149</v>
      </c>
      <c r="B8">
        <v>1</v>
      </c>
      <c r="C8">
        <v>26.47600000000001</v>
      </c>
      <c r="D8" t="s">
        <v>47</v>
      </c>
    </row>
    <row r="9" spans="1:4" x14ac:dyDescent="0.25">
      <c r="A9" t="s">
        <v>104</v>
      </c>
      <c r="B9">
        <v>1</v>
      </c>
      <c r="C9">
        <v>25.391999999999999</v>
      </c>
      <c r="D9" t="s">
        <v>47</v>
      </c>
    </row>
    <row r="10" spans="1:4" x14ac:dyDescent="0.25">
      <c r="A10" t="s">
        <v>150</v>
      </c>
      <c r="B10">
        <v>1</v>
      </c>
      <c r="C10">
        <v>25.253999999999991</v>
      </c>
      <c r="D10" t="s">
        <v>47</v>
      </c>
    </row>
    <row r="11" spans="1:4" x14ac:dyDescent="0.25">
      <c r="A11" t="s">
        <v>151</v>
      </c>
      <c r="B11">
        <v>1</v>
      </c>
      <c r="C11">
        <v>25.052</v>
      </c>
      <c r="D11" t="s">
        <v>47</v>
      </c>
    </row>
    <row r="12" spans="1:4" x14ac:dyDescent="0.25">
      <c r="A12" t="s">
        <v>143</v>
      </c>
      <c r="B12">
        <v>2</v>
      </c>
      <c r="C12">
        <v>37.58700000000001</v>
      </c>
      <c r="D12" t="s">
        <v>35</v>
      </c>
    </row>
    <row r="13" spans="1:4" x14ac:dyDescent="0.25">
      <c r="A13" t="s">
        <v>93</v>
      </c>
      <c r="B13">
        <v>2</v>
      </c>
      <c r="C13">
        <v>37.171999999999997</v>
      </c>
      <c r="D13" t="s">
        <v>35</v>
      </c>
    </row>
    <row r="14" spans="1:4" x14ac:dyDescent="0.25">
      <c r="A14" t="s">
        <v>144</v>
      </c>
      <c r="B14">
        <v>2</v>
      </c>
      <c r="C14">
        <v>36.792999999999999</v>
      </c>
      <c r="D14" t="s">
        <v>35</v>
      </c>
    </row>
    <row r="15" spans="1:4" x14ac:dyDescent="0.25">
      <c r="A15" t="s">
        <v>145</v>
      </c>
      <c r="B15">
        <v>2</v>
      </c>
      <c r="C15">
        <v>35.055</v>
      </c>
      <c r="D15" t="s">
        <v>35</v>
      </c>
    </row>
    <row r="16" spans="1:4" x14ac:dyDescent="0.25">
      <c r="A16" t="s">
        <v>94</v>
      </c>
      <c r="B16">
        <v>2</v>
      </c>
      <c r="C16">
        <v>34.89</v>
      </c>
      <c r="D16" t="s">
        <v>35</v>
      </c>
    </row>
    <row r="17" spans="1:4" x14ac:dyDescent="0.25">
      <c r="A17" t="s">
        <v>156</v>
      </c>
      <c r="B17">
        <v>3</v>
      </c>
      <c r="C17">
        <v>19.239999999999998</v>
      </c>
      <c r="D17" t="s">
        <v>65</v>
      </c>
    </row>
    <row r="18" spans="1:4" x14ac:dyDescent="0.25">
      <c r="A18" t="s">
        <v>157</v>
      </c>
      <c r="B18">
        <v>3</v>
      </c>
      <c r="C18">
        <v>17.577999999999999</v>
      </c>
      <c r="D18" t="s">
        <v>65</v>
      </c>
    </row>
    <row r="19" spans="1:4" x14ac:dyDescent="0.25">
      <c r="A19" t="s">
        <v>68</v>
      </c>
      <c r="B19">
        <v>3</v>
      </c>
      <c r="C19">
        <v>17.416</v>
      </c>
      <c r="D19" t="s">
        <v>65</v>
      </c>
    </row>
    <row r="20" spans="1:4" x14ac:dyDescent="0.25">
      <c r="A20" t="s">
        <v>158</v>
      </c>
      <c r="B20">
        <v>3</v>
      </c>
      <c r="C20">
        <v>17.190000000000001</v>
      </c>
      <c r="D20" t="s">
        <v>65</v>
      </c>
    </row>
    <row r="21" spans="1:4" x14ac:dyDescent="0.25">
      <c r="A21" t="s">
        <v>112</v>
      </c>
      <c r="B21">
        <v>3</v>
      </c>
      <c r="C21">
        <v>16.024999999999999</v>
      </c>
      <c r="D21" t="s">
        <v>65</v>
      </c>
    </row>
    <row r="22" spans="1:4" x14ac:dyDescent="0.25">
      <c r="A22" t="s">
        <v>60</v>
      </c>
      <c r="B22">
        <v>4</v>
      </c>
      <c r="C22">
        <v>32.701000000000001</v>
      </c>
      <c r="D22" t="s">
        <v>59</v>
      </c>
    </row>
    <row r="23" spans="1:4" x14ac:dyDescent="0.25">
      <c r="A23" t="s">
        <v>61</v>
      </c>
      <c r="B23">
        <v>4</v>
      </c>
      <c r="C23">
        <v>22.561</v>
      </c>
      <c r="D23" t="s">
        <v>59</v>
      </c>
    </row>
    <row r="24" spans="1:4" x14ac:dyDescent="0.25">
      <c r="A24" t="s">
        <v>111</v>
      </c>
      <c r="B24">
        <v>4</v>
      </c>
      <c r="C24">
        <v>19.850000000000001</v>
      </c>
      <c r="D24" t="s">
        <v>59</v>
      </c>
    </row>
    <row r="25" spans="1:4" x14ac:dyDescent="0.25">
      <c r="A25" t="s">
        <v>58</v>
      </c>
      <c r="B25">
        <v>4</v>
      </c>
      <c r="C25">
        <v>19.079999999999998</v>
      </c>
      <c r="D25" t="s">
        <v>59</v>
      </c>
    </row>
    <row r="26" spans="1:4" x14ac:dyDescent="0.25">
      <c r="A26" t="s">
        <v>110</v>
      </c>
      <c r="B26">
        <v>4</v>
      </c>
      <c r="C26">
        <v>18.641999999999999</v>
      </c>
      <c r="D26" t="s">
        <v>59</v>
      </c>
    </row>
    <row r="27" spans="1:4" x14ac:dyDescent="0.25">
      <c r="A27" t="s">
        <v>130</v>
      </c>
      <c r="B27">
        <v>5</v>
      </c>
      <c r="C27">
        <v>145.80299999999991</v>
      </c>
      <c r="D27" t="s">
        <v>17</v>
      </c>
    </row>
    <row r="28" spans="1:4" x14ac:dyDescent="0.25">
      <c r="A28" t="s">
        <v>131</v>
      </c>
      <c r="B28">
        <v>5</v>
      </c>
      <c r="C28">
        <v>143.6639999999997</v>
      </c>
      <c r="D28" t="s">
        <v>17</v>
      </c>
    </row>
    <row r="29" spans="1:4" x14ac:dyDescent="0.25">
      <c r="A29" t="s">
        <v>132</v>
      </c>
      <c r="B29">
        <v>5</v>
      </c>
      <c r="C29">
        <v>141.107</v>
      </c>
      <c r="D29" t="s">
        <v>17</v>
      </c>
    </row>
    <row r="30" spans="1:4" x14ac:dyDescent="0.25">
      <c r="A30" t="s">
        <v>133</v>
      </c>
      <c r="B30">
        <v>5</v>
      </c>
      <c r="C30">
        <v>141.0199999999997</v>
      </c>
      <c r="D30" t="s">
        <v>17</v>
      </c>
    </row>
    <row r="31" spans="1:4" x14ac:dyDescent="0.25">
      <c r="A31" t="s">
        <v>134</v>
      </c>
      <c r="B31">
        <v>5</v>
      </c>
      <c r="C31">
        <v>139.3399999999998</v>
      </c>
      <c r="D31" t="s">
        <v>17</v>
      </c>
    </row>
    <row r="32" spans="1:4" x14ac:dyDescent="0.25">
      <c r="A32" t="s">
        <v>152</v>
      </c>
      <c r="B32">
        <v>6</v>
      </c>
      <c r="C32">
        <v>22.08</v>
      </c>
      <c r="D32" t="s">
        <v>53</v>
      </c>
    </row>
    <row r="33" spans="1:4" x14ac:dyDescent="0.25">
      <c r="A33" t="s">
        <v>153</v>
      </c>
      <c r="B33">
        <v>6</v>
      </c>
      <c r="C33">
        <v>21.402999999999999</v>
      </c>
      <c r="D33" t="s">
        <v>53</v>
      </c>
    </row>
    <row r="34" spans="1:4" x14ac:dyDescent="0.25">
      <c r="A34" t="s">
        <v>154</v>
      </c>
      <c r="B34">
        <v>6</v>
      </c>
      <c r="C34">
        <v>21.140999999999998</v>
      </c>
      <c r="D34" t="s">
        <v>53</v>
      </c>
    </row>
    <row r="35" spans="1:4" x14ac:dyDescent="0.25">
      <c r="A35" t="s">
        <v>155</v>
      </c>
      <c r="B35">
        <v>6</v>
      </c>
      <c r="C35">
        <v>20.862999999999989</v>
      </c>
      <c r="D35" t="s">
        <v>53</v>
      </c>
    </row>
    <row r="36" spans="1:4" x14ac:dyDescent="0.25">
      <c r="A36" t="s">
        <v>106</v>
      </c>
      <c r="B36">
        <v>6</v>
      </c>
      <c r="C36">
        <v>20.82</v>
      </c>
      <c r="D36" t="s">
        <v>53</v>
      </c>
    </row>
    <row r="37" spans="1:4" x14ac:dyDescent="0.25">
      <c r="A37" t="s">
        <v>42</v>
      </c>
      <c r="B37">
        <v>7</v>
      </c>
      <c r="C37">
        <v>34.512999999999998</v>
      </c>
      <c r="D37" t="s">
        <v>41</v>
      </c>
    </row>
    <row r="38" spans="1:4" x14ac:dyDescent="0.25">
      <c r="A38" t="s">
        <v>146</v>
      </c>
      <c r="B38">
        <v>7</v>
      </c>
      <c r="C38">
        <v>28.841999999999999</v>
      </c>
      <c r="D38" t="s">
        <v>41</v>
      </c>
    </row>
    <row r="39" spans="1:4" x14ac:dyDescent="0.25">
      <c r="A39" t="s">
        <v>99</v>
      </c>
      <c r="B39">
        <v>7</v>
      </c>
      <c r="C39">
        <v>27.344000000000001</v>
      </c>
      <c r="D39" t="s">
        <v>41</v>
      </c>
    </row>
    <row r="40" spans="1:4" x14ac:dyDescent="0.25">
      <c r="A40" t="s">
        <v>147</v>
      </c>
      <c r="B40">
        <v>7</v>
      </c>
      <c r="C40">
        <v>26.664999999999999</v>
      </c>
      <c r="D40" t="s">
        <v>41</v>
      </c>
    </row>
    <row r="41" spans="1:4" x14ac:dyDescent="0.25">
      <c r="A41" t="s">
        <v>100</v>
      </c>
      <c r="B41">
        <v>7</v>
      </c>
      <c r="C41">
        <v>25.658000000000001</v>
      </c>
      <c r="D41" t="s">
        <v>41</v>
      </c>
    </row>
    <row r="42" spans="1:4" x14ac:dyDescent="0.25">
      <c r="A42" t="s">
        <v>135</v>
      </c>
      <c r="B42">
        <v>8</v>
      </c>
      <c r="C42">
        <v>31.43399999999999</v>
      </c>
      <c r="D42" t="s">
        <v>23</v>
      </c>
    </row>
    <row r="43" spans="1:4" x14ac:dyDescent="0.25">
      <c r="A43" t="s">
        <v>136</v>
      </c>
      <c r="B43">
        <v>8</v>
      </c>
      <c r="C43">
        <v>31.43399999999999</v>
      </c>
      <c r="D43" t="s">
        <v>23</v>
      </c>
    </row>
    <row r="44" spans="1:4" x14ac:dyDescent="0.25">
      <c r="A44" t="s">
        <v>137</v>
      </c>
      <c r="B44">
        <v>8</v>
      </c>
      <c r="C44">
        <v>31.22999999999999</v>
      </c>
      <c r="D44" t="s">
        <v>23</v>
      </c>
    </row>
    <row r="45" spans="1:4" x14ac:dyDescent="0.25">
      <c r="A45" t="s">
        <v>138</v>
      </c>
      <c r="B45">
        <v>8</v>
      </c>
      <c r="C45">
        <v>30.146000000000001</v>
      </c>
      <c r="D45" t="s">
        <v>23</v>
      </c>
    </row>
    <row r="46" spans="1:4" x14ac:dyDescent="0.25">
      <c r="A46" t="s">
        <v>139</v>
      </c>
      <c r="B46">
        <v>8</v>
      </c>
      <c r="C46">
        <v>28.885999999999999</v>
      </c>
      <c r="D46" t="s">
        <v>23</v>
      </c>
    </row>
    <row r="47" spans="1:4" x14ac:dyDescent="0.25">
      <c r="A47" t="s">
        <v>91</v>
      </c>
      <c r="B47">
        <v>9</v>
      </c>
      <c r="C47">
        <v>28.994</v>
      </c>
      <c r="D47" t="s">
        <v>29</v>
      </c>
    </row>
    <row r="48" spans="1:4" x14ac:dyDescent="0.25">
      <c r="A48" t="s">
        <v>140</v>
      </c>
      <c r="B48">
        <v>9</v>
      </c>
      <c r="C48">
        <v>26.018999999999981</v>
      </c>
      <c r="D48" t="s">
        <v>29</v>
      </c>
    </row>
    <row r="49" spans="1:4" x14ac:dyDescent="0.25">
      <c r="A49" t="s">
        <v>28</v>
      </c>
      <c r="B49">
        <v>9</v>
      </c>
      <c r="C49">
        <v>25.03400000000001</v>
      </c>
      <c r="D49" t="s">
        <v>29</v>
      </c>
    </row>
    <row r="50" spans="1:4" x14ac:dyDescent="0.25">
      <c r="A50" t="s">
        <v>141</v>
      </c>
      <c r="B50">
        <v>9</v>
      </c>
      <c r="C50">
        <v>24.863999999999979</v>
      </c>
      <c r="D50" t="s">
        <v>29</v>
      </c>
    </row>
    <row r="51" spans="1:4" x14ac:dyDescent="0.25">
      <c r="A51" t="s">
        <v>142</v>
      </c>
      <c r="B51">
        <v>9</v>
      </c>
      <c r="C51">
        <v>24.13199999999998</v>
      </c>
      <c r="D51" t="s">
        <v>29</v>
      </c>
    </row>
    <row r="52" spans="1:4" x14ac:dyDescent="0.25">
      <c r="A52" t="s">
        <v>9</v>
      </c>
      <c r="B52">
        <v>10</v>
      </c>
      <c r="C52">
        <v>39.644000000000013</v>
      </c>
      <c r="D52" t="s">
        <v>5</v>
      </c>
    </row>
    <row r="53" spans="1:4" x14ac:dyDescent="0.25">
      <c r="A53" t="s">
        <v>121</v>
      </c>
      <c r="B53">
        <v>10</v>
      </c>
      <c r="C53">
        <v>39.644000000000013</v>
      </c>
      <c r="D53" t="s">
        <v>5</v>
      </c>
    </row>
    <row r="54" spans="1:4" x14ac:dyDescent="0.25">
      <c r="A54" t="s">
        <v>122</v>
      </c>
      <c r="B54">
        <v>10</v>
      </c>
      <c r="C54">
        <v>39.644000000000013</v>
      </c>
      <c r="D54" t="s">
        <v>5</v>
      </c>
    </row>
    <row r="55" spans="1:4" x14ac:dyDescent="0.25">
      <c r="A55" t="s">
        <v>123</v>
      </c>
      <c r="B55">
        <v>10</v>
      </c>
      <c r="C55">
        <v>39.644000000000013</v>
      </c>
      <c r="D55" t="s">
        <v>5</v>
      </c>
    </row>
    <row r="56" spans="1:4" x14ac:dyDescent="0.25">
      <c r="A56" t="s">
        <v>124</v>
      </c>
      <c r="B56">
        <v>10</v>
      </c>
      <c r="C56">
        <v>39.644000000000013</v>
      </c>
      <c r="D56" t="s">
        <v>5</v>
      </c>
    </row>
    <row r="57" spans="1:4" x14ac:dyDescent="0.25">
      <c r="A57" t="s">
        <v>125</v>
      </c>
      <c r="B57">
        <v>11</v>
      </c>
      <c r="C57">
        <v>109.0949999999999</v>
      </c>
      <c r="D57" t="s">
        <v>11</v>
      </c>
    </row>
    <row r="58" spans="1:4" x14ac:dyDescent="0.25">
      <c r="A58" t="s">
        <v>126</v>
      </c>
      <c r="B58">
        <v>11</v>
      </c>
      <c r="C58">
        <v>109.0949999999999</v>
      </c>
      <c r="D58" t="s">
        <v>11</v>
      </c>
    </row>
    <row r="59" spans="1:4" x14ac:dyDescent="0.25">
      <c r="A59" t="s">
        <v>127</v>
      </c>
      <c r="B59">
        <v>11</v>
      </c>
      <c r="C59">
        <v>109.0949999999999</v>
      </c>
      <c r="D59" t="s">
        <v>11</v>
      </c>
    </row>
    <row r="60" spans="1:4" x14ac:dyDescent="0.25">
      <c r="A60" t="s">
        <v>128</v>
      </c>
      <c r="B60">
        <v>11</v>
      </c>
      <c r="C60">
        <v>109.0949999999999</v>
      </c>
      <c r="D60" t="s">
        <v>11</v>
      </c>
    </row>
    <row r="61" spans="1:4" x14ac:dyDescent="0.25">
      <c r="A61" t="s">
        <v>129</v>
      </c>
      <c r="B61">
        <v>11</v>
      </c>
      <c r="C61">
        <v>108.9159999999999</v>
      </c>
      <c r="D61" t="s">
        <v>11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73A5-9CD5-47A5-9DA5-A6BD698E660D}">
  <dimension ref="A1:K5391"/>
  <sheetViews>
    <sheetView showGridLines="0" workbookViewId="0">
      <selection activeCell="B2" sqref="B2"/>
    </sheetView>
  </sheetViews>
  <sheetFormatPr baseColWidth="10" defaultColWidth="9.140625" defaultRowHeight="15" x14ac:dyDescent="0.25"/>
  <cols>
    <col min="1" max="2" width="22.42578125" style="1" customWidth="1"/>
    <col min="3" max="3" width="10.7109375" style="1" customWidth="1"/>
    <col min="4" max="4" width="13.7109375" style="1" customWidth="1"/>
    <col min="5" max="5" width="14.85546875" style="1" customWidth="1"/>
    <col min="6" max="6" width="12.42578125" style="1" customWidth="1"/>
    <col min="7" max="7" width="20.5703125" style="1" customWidth="1"/>
    <col min="8" max="8" width="31.5703125" style="1" customWidth="1"/>
    <col min="9" max="9" width="19" style="1" customWidth="1"/>
    <col min="10" max="10" width="18.85546875" style="1" bestFit="1" customWidth="1"/>
    <col min="11" max="16384" width="9.140625" style="1"/>
  </cols>
  <sheetData>
    <row r="1" spans="1:11" x14ac:dyDescent="0.25">
      <c r="A1" s="1" t="s">
        <v>163</v>
      </c>
      <c r="B1" s="1" t="s">
        <v>164</v>
      </c>
      <c r="C1" s="1" t="s">
        <v>165</v>
      </c>
      <c r="D1" s="1" t="s">
        <v>166</v>
      </c>
      <c r="E1" s="1" t="s">
        <v>167</v>
      </c>
      <c r="F1" s="1" t="s">
        <v>168</v>
      </c>
      <c r="G1" s="1" t="s">
        <v>169</v>
      </c>
      <c r="H1" s="1" t="s">
        <v>170</v>
      </c>
      <c r="I1" s="1" t="s">
        <v>171</v>
      </c>
      <c r="J1" s="1" t="s">
        <v>172</v>
      </c>
      <c r="K1" s="1" t="s">
        <v>173</v>
      </c>
    </row>
    <row r="2" spans="1:11" x14ac:dyDescent="0.25">
      <c r="A2" s="1" t="s">
        <v>174</v>
      </c>
      <c r="B2" s="1" t="s">
        <v>175</v>
      </c>
      <c r="C2" s="1" t="s">
        <v>176</v>
      </c>
      <c r="D2" s="1" t="s">
        <v>177</v>
      </c>
      <c r="E2" s="1" t="s">
        <v>178</v>
      </c>
      <c r="F2" s="1" t="s">
        <v>179</v>
      </c>
      <c r="G2" s="1" t="s">
        <v>180</v>
      </c>
      <c r="H2" s="1">
        <v>16.100000000000001</v>
      </c>
      <c r="I2" s="1">
        <v>1</v>
      </c>
      <c r="K2" s="1" t="s">
        <v>181</v>
      </c>
    </row>
    <row r="3" spans="1:11" x14ac:dyDescent="0.25">
      <c r="A3" s="1" t="s">
        <v>182</v>
      </c>
      <c r="B3" s="1" t="s">
        <v>183</v>
      </c>
      <c r="C3" s="1" t="s">
        <v>184</v>
      </c>
      <c r="D3" s="1" t="s">
        <v>185</v>
      </c>
      <c r="E3" s="1" t="s">
        <v>178</v>
      </c>
      <c r="F3" s="1" t="s">
        <v>179</v>
      </c>
      <c r="G3" s="1" t="s">
        <v>186</v>
      </c>
      <c r="H3" s="1">
        <v>16.100000000000001</v>
      </c>
      <c r="I3" s="1">
        <v>1</v>
      </c>
      <c r="K3" s="1" t="s">
        <v>181</v>
      </c>
    </row>
    <row r="4" spans="1:11" x14ac:dyDescent="0.25">
      <c r="A4" s="1" t="s">
        <v>187</v>
      </c>
      <c r="B4" s="1" t="s">
        <v>188</v>
      </c>
      <c r="C4" s="1" t="s">
        <v>189</v>
      </c>
      <c r="D4" s="1" t="s">
        <v>190</v>
      </c>
      <c r="E4" s="1" t="s">
        <v>178</v>
      </c>
      <c r="F4" s="1" t="s">
        <v>179</v>
      </c>
      <c r="G4" s="1" t="s">
        <v>186</v>
      </c>
      <c r="H4" s="1">
        <v>16.100000000000001</v>
      </c>
      <c r="I4" s="1">
        <v>1</v>
      </c>
      <c r="K4" s="1" t="s">
        <v>181</v>
      </c>
    </row>
    <row r="5" spans="1:11" x14ac:dyDescent="0.25">
      <c r="A5" s="1" t="s">
        <v>191</v>
      </c>
      <c r="B5" s="1" t="s">
        <v>192</v>
      </c>
      <c r="C5" s="2" t="s">
        <v>193</v>
      </c>
      <c r="D5" s="1" t="s">
        <v>194</v>
      </c>
      <c r="E5" s="1" t="s">
        <v>178</v>
      </c>
      <c r="F5" s="1" t="s">
        <v>179</v>
      </c>
      <c r="G5" s="1" t="s">
        <v>180</v>
      </c>
      <c r="H5" s="1">
        <v>16.100000000000001</v>
      </c>
      <c r="I5" s="1">
        <v>1</v>
      </c>
      <c r="K5" s="1" t="s">
        <v>181</v>
      </c>
    </row>
    <row r="6" spans="1:11" x14ac:dyDescent="0.25">
      <c r="A6" s="1" t="s">
        <v>195</v>
      </c>
      <c r="B6" s="1" t="s">
        <v>196</v>
      </c>
      <c r="C6" s="1" t="s">
        <v>197</v>
      </c>
      <c r="D6" s="1" t="s">
        <v>198</v>
      </c>
      <c r="E6" s="1" t="s">
        <v>178</v>
      </c>
      <c r="F6" s="1" t="s">
        <v>179</v>
      </c>
      <c r="G6" s="1" t="s">
        <v>180</v>
      </c>
      <c r="H6" s="1">
        <v>16.100000000000001</v>
      </c>
      <c r="I6" s="1">
        <v>1</v>
      </c>
      <c r="K6" s="1" t="s">
        <v>181</v>
      </c>
    </row>
    <row r="7" spans="1:11" x14ac:dyDescent="0.25">
      <c r="A7" s="1" t="s">
        <v>199</v>
      </c>
      <c r="B7" s="1" t="s">
        <v>200</v>
      </c>
      <c r="C7" s="1" t="s">
        <v>201</v>
      </c>
      <c r="D7" s="1" t="s">
        <v>202</v>
      </c>
      <c r="E7" s="1" t="s">
        <v>178</v>
      </c>
      <c r="F7" s="1" t="s">
        <v>179</v>
      </c>
      <c r="G7" s="1" t="s">
        <v>186</v>
      </c>
      <c r="H7" s="1">
        <v>16.100000000000001</v>
      </c>
      <c r="I7" s="1">
        <v>1</v>
      </c>
      <c r="K7" s="1" t="s">
        <v>181</v>
      </c>
    </row>
    <row r="8" spans="1:11" x14ac:dyDescent="0.25">
      <c r="A8" s="1" t="s">
        <v>203</v>
      </c>
      <c r="B8" s="1" t="s">
        <v>188</v>
      </c>
      <c r="C8" s="1" t="s">
        <v>204</v>
      </c>
      <c r="D8" s="1" t="s">
        <v>205</v>
      </c>
      <c r="E8" s="1" t="s">
        <v>178</v>
      </c>
      <c r="F8" s="1" t="s">
        <v>179</v>
      </c>
      <c r="G8" s="1" t="s">
        <v>186</v>
      </c>
      <c r="H8" s="1">
        <v>16.100000000000001</v>
      </c>
      <c r="I8" s="1">
        <v>1</v>
      </c>
      <c r="K8" s="1" t="s">
        <v>181</v>
      </c>
    </row>
    <row r="9" spans="1:11" x14ac:dyDescent="0.25">
      <c r="A9" s="1" t="s">
        <v>206</v>
      </c>
      <c r="B9" s="1" t="s">
        <v>207</v>
      </c>
      <c r="D9" s="1" t="s">
        <v>208</v>
      </c>
      <c r="E9" s="1" t="s">
        <v>209</v>
      </c>
      <c r="F9" s="1" t="s">
        <v>210</v>
      </c>
      <c r="G9" s="1" t="s">
        <v>211</v>
      </c>
      <c r="H9" s="1">
        <v>16</v>
      </c>
      <c r="I9" s="1">
        <v>0.99437500000000001</v>
      </c>
      <c r="K9" s="1" t="s">
        <v>181</v>
      </c>
    </row>
    <row r="10" spans="1:11" x14ac:dyDescent="0.25">
      <c r="A10" s="1" t="s">
        <v>212</v>
      </c>
      <c r="B10" s="1" t="s">
        <v>213</v>
      </c>
      <c r="D10" s="1" t="s">
        <v>214</v>
      </c>
      <c r="E10" s="1" t="s">
        <v>209</v>
      </c>
      <c r="F10" s="1" t="s">
        <v>210</v>
      </c>
      <c r="G10" s="1" t="s">
        <v>215</v>
      </c>
      <c r="H10" s="1">
        <v>16</v>
      </c>
      <c r="I10" s="1">
        <v>0.99437500000000001</v>
      </c>
      <c r="K10" s="1" t="s">
        <v>181</v>
      </c>
    </row>
    <row r="11" spans="1:11" x14ac:dyDescent="0.25">
      <c r="A11" s="1" t="s">
        <v>216</v>
      </c>
      <c r="B11" s="1" t="s">
        <v>217</v>
      </c>
      <c r="C11" s="1" t="s">
        <v>218</v>
      </c>
      <c r="D11" s="1" t="s">
        <v>219</v>
      </c>
      <c r="E11" s="1" t="s">
        <v>178</v>
      </c>
      <c r="F11" s="1" t="s">
        <v>210</v>
      </c>
      <c r="G11" s="1" t="s">
        <v>211</v>
      </c>
      <c r="H11" s="1">
        <v>16</v>
      </c>
      <c r="I11" s="1">
        <v>0.99437500000000001</v>
      </c>
      <c r="K11" s="1" t="s">
        <v>181</v>
      </c>
    </row>
    <row r="12" spans="1:11" x14ac:dyDescent="0.25">
      <c r="A12" s="1" t="s">
        <v>220</v>
      </c>
      <c r="B12" s="1" t="s">
        <v>175</v>
      </c>
      <c r="C12" s="1" t="s">
        <v>221</v>
      </c>
      <c r="D12" s="1" t="s">
        <v>222</v>
      </c>
      <c r="E12" s="1" t="s">
        <v>178</v>
      </c>
      <c r="F12" s="1" t="s">
        <v>210</v>
      </c>
      <c r="G12" s="1" t="s">
        <v>211</v>
      </c>
      <c r="H12" s="1">
        <v>16</v>
      </c>
      <c r="I12" s="1">
        <v>0.99437500000000001</v>
      </c>
      <c r="K12" s="1" t="s">
        <v>181</v>
      </c>
    </row>
    <row r="13" spans="1:11" x14ac:dyDescent="0.25">
      <c r="A13" s="1" t="s">
        <v>223</v>
      </c>
      <c r="B13" s="1" t="s">
        <v>217</v>
      </c>
      <c r="C13" s="1" t="s">
        <v>224</v>
      </c>
      <c r="D13" s="1" t="s">
        <v>225</v>
      </c>
      <c r="E13" s="1" t="s">
        <v>178</v>
      </c>
      <c r="F13" s="1" t="s">
        <v>210</v>
      </c>
      <c r="G13" s="1" t="s">
        <v>211</v>
      </c>
      <c r="H13" s="1">
        <v>16</v>
      </c>
      <c r="I13" s="1">
        <v>0.99437500000000001</v>
      </c>
      <c r="K13" s="1" t="s">
        <v>181</v>
      </c>
    </row>
    <row r="14" spans="1:11" x14ac:dyDescent="0.25">
      <c r="A14" s="1" t="s">
        <v>226</v>
      </c>
      <c r="B14" s="1" t="s">
        <v>188</v>
      </c>
      <c r="C14" s="1" t="s">
        <v>227</v>
      </c>
      <c r="D14" s="1" t="s">
        <v>228</v>
      </c>
      <c r="E14" s="1" t="s">
        <v>178</v>
      </c>
      <c r="F14" s="1" t="s">
        <v>210</v>
      </c>
      <c r="G14" s="1" t="s">
        <v>215</v>
      </c>
      <c r="H14" s="1">
        <v>16</v>
      </c>
      <c r="I14" s="1">
        <v>0.99437500000000001</v>
      </c>
      <c r="K14" s="1" t="s">
        <v>181</v>
      </c>
    </row>
    <row r="15" spans="1:11" x14ac:dyDescent="0.25">
      <c r="A15" s="1" t="s">
        <v>229</v>
      </c>
      <c r="B15" s="1" t="s">
        <v>230</v>
      </c>
      <c r="C15" s="1" t="s">
        <v>231</v>
      </c>
      <c r="D15" s="1" t="s">
        <v>232</v>
      </c>
      <c r="E15" s="1" t="s">
        <v>178</v>
      </c>
      <c r="F15" s="1" t="s">
        <v>210</v>
      </c>
      <c r="G15" s="1" t="s">
        <v>211</v>
      </c>
      <c r="H15" s="1">
        <v>16</v>
      </c>
      <c r="I15" s="1">
        <v>0.99437500000000001</v>
      </c>
      <c r="K15" s="1" t="s">
        <v>181</v>
      </c>
    </row>
    <row r="16" spans="1:11" x14ac:dyDescent="0.25">
      <c r="A16" s="1" t="s">
        <v>233</v>
      </c>
      <c r="B16" s="1" t="s">
        <v>230</v>
      </c>
      <c r="C16" s="1" t="s">
        <v>234</v>
      </c>
      <c r="D16" s="1" t="s">
        <v>235</v>
      </c>
      <c r="E16" s="1" t="s">
        <v>178</v>
      </c>
      <c r="F16" s="1" t="s">
        <v>210</v>
      </c>
      <c r="G16" s="1" t="s">
        <v>211</v>
      </c>
      <c r="H16" s="1">
        <v>16</v>
      </c>
      <c r="I16" s="1">
        <v>0.99437500000000001</v>
      </c>
      <c r="K16" s="1" t="s">
        <v>181</v>
      </c>
    </row>
    <row r="17" spans="1:11" x14ac:dyDescent="0.25">
      <c r="A17" s="1" t="s">
        <v>236</v>
      </c>
      <c r="B17" s="1" t="s">
        <v>230</v>
      </c>
      <c r="C17" s="1" t="s">
        <v>237</v>
      </c>
      <c r="D17" s="1" t="s">
        <v>235</v>
      </c>
      <c r="E17" s="1" t="s">
        <v>178</v>
      </c>
      <c r="F17" s="1" t="s">
        <v>210</v>
      </c>
      <c r="G17" s="1" t="s">
        <v>211</v>
      </c>
      <c r="H17" s="1">
        <v>16</v>
      </c>
      <c r="I17" s="1">
        <v>0.99437500000000001</v>
      </c>
      <c r="K17" s="1" t="s">
        <v>181</v>
      </c>
    </row>
    <row r="18" spans="1:11" x14ac:dyDescent="0.25">
      <c r="A18" s="1" t="s">
        <v>238</v>
      </c>
      <c r="B18" s="1" t="s">
        <v>230</v>
      </c>
      <c r="C18" s="1" t="s">
        <v>231</v>
      </c>
      <c r="D18" s="1" t="s">
        <v>232</v>
      </c>
      <c r="E18" s="1" t="s">
        <v>178</v>
      </c>
      <c r="F18" s="1" t="s">
        <v>210</v>
      </c>
      <c r="G18" s="1" t="s">
        <v>211</v>
      </c>
      <c r="H18" s="1">
        <v>16</v>
      </c>
      <c r="I18" s="1">
        <v>0.99437500000000001</v>
      </c>
      <c r="K18" s="1" t="s">
        <v>181</v>
      </c>
    </row>
    <row r="19" spans="1:11" x14ac:dyDescent="0.25">
      <c r="A19" s="1" t="s">
        <v>239</v>
      </c>
      <c r="B19" s="1" t="s">
        <v>230</v>
      </c>
      <c r="C19" s="1" t="s">
        <v>237</v>
      </c>
      <c r="D19" s="1" t="s">
        <v>235</v>
      </c>
      <c r="E19" s="1" t="s">
        <v>178</v>
      </c>
      <c r="F19" s="1" t="s">
        <v>210</v>
      </c>
      <c r="G19" s="1" t="s">
        <v>211</v>
      </c>
      <c r="H19" s="1">
        <v>16</v>
      </c>
      <c r="I19" s="1">
        <v>0.99437500000000001</v>
      </c>
      <c r="K19" s="1" t="s">
        <v>181</v>
      </c>
    </row>
    <row r="20" spans="1:11" x14ac:dyDescent="0.25">
      <c r="A20" s="1" t="s">
        <v>240</v>
      </c>
      <c r="B20" s="1" t="s">
        <v>230</v>
      </c>
      <c r="C20" s="1" t="s">
        <v>234</v>
      </c>
      <c r="D20" s="1" t="s">
        <v>235</v>
      </c>
      <c r="E20" s="1" t="s">
        <v>178</v>
      </c>
      <c r="F20" s="1" t="s">
        <v>210</v>
      </c>
      <c r="G20" s="1" t="s">
        <v>211</v>
      </c>
      <c r="H20" s="1">
        <v>16</v>
      </c>
      <c r="I20" s="1">
        <v>0.99437500000000001</v>
      </c>
      <c r="K20" s="1" t="s">
        <v>181</v>
      </c>
    </row>
    <row r="21" spans="1:11" x14ac:dyDescent="0.25">
      <c r="A21" s="1" t="s">
        <v>241</v>
      </c>
      <c r="B21" s="1" t="s">
        <v>175</v>
      </c>
      <c r="C21" s="1" t="s">
        <v>242</v>
      </c>
      <c r="D21" s="1" t="s">
        <v>243</v>
      </c>
      <c r="E21" s="1" t="s">
        <v>178</v>
      </c>
      <c r="F21" s="1" t="s">
        <v>210</v>
      </c>
      <c r="G21" s="1" t="s">
        <v>211</v>
      </c>
      <c r="H21" s="1">
        <v>16</v>
      </c>
      <c r="I21" s="1">
        <v>0.99437500000000001</v>
      </c>
      <c r="K21" s="1" t="s">
        <v>181</v>
      </c>
    </row>
    <row r="22" spans="1:11" x14ac:dyDescent="0.25">
      <c r="A22" s="1" t="s">
        <v>244</v>
      </c>
      <c r="B22" s="1" t="s">
        <v>245</v>
      </c>
      <c r="D22" s="1" t="s">
        <v>246</v>
      </c>
      <c r="E22" s="1" t="s">
        <v>209</v>
      </c>
      <c r="F22" s="1" t="s">
        <v>210</v>
      </c>
      <c r="G22" s="1" t="s">
        <v>211</v>
      </c>
      <c r="H22" s="1">
        <v>16</v>
      </c>
      <c r="I22" s="1">
        <v>0.99437500000000001</v>
      </c>
      <c r="K22" s="1" t="s">
        <v>181</v>
      </c>
    </row>
    <row r="23" spans="1:11" x14ac:dyDescent="0.25">
      <c r="A23" s="1" t="s">
        <v>247</v>
      </c>
      <c r="B23" s="1" t="s">
        <v>248</v>
      </c>
      <c r="D23" s="1" t="s">
        <v>249</v>
      </c>
      <c r="E23" s="1" t="s">
        <v>209</v>
      </c>
      <c r="F23" s="1" t="s">
        <v>210</v>
      </c>
      <c r="G23" s="1" t="s">
        <v>215</v>
      </c>
      <c r="H23" s="1">
        <v>16</v>
      </c>
      <c r="I23" s="1">
        <v>0.99437500000000001</v>
      </c>
      <c r="K23" s="1" t="s">
        <v>181</v>
      </c>
    </row>
    <row r="24" spans="1:11" x14ac:dyDescent="0.25">
      <c r="A24" s="1" t="s">
        <v>250</v>
      </c>
      <c r="B24" s="1" t="s">
        <v>251</v>
      </c>
      <c r="D24" s="1" t="s">
        <v>252</v>
      </c>
      <c r="E24" s="1" t="s">
        <v>209</v>
      </c>
      <c r="F24" s="1" t="s">
        <v>210</v>
      </c>
      <c r="G24" s="1" t="s">
        <v>211</v>
      </c>
      <c r="H24" s="1">
        <v>16</v>
      </c>
      <c r="I24" s="1">
        <v>0.99437500000000001</v>
      </c>
      <c r="K24" s="1" t="s">
        <v>181</v>
      </c>
    </row>
    <row r="25" spans="1:11" x14ac:dyDescent="0.25">
      <c r="A25" s="1" t="s">
        <v>253</v>
      </c>
      <c r="B25" s="1" t="s">
        <v>254</v>
      </c>
      <c r="D25" s="1" t="s">
        <v>255</v>
      </c>
      <c r="E25" s="1" t="s">
        <v>209</v>
      </c>
      <c r="F25" s="1" t="s">
        <v>210</v>
      </c>
      <c r="G25" s="1" t="s">
        <v>215</v>
      </c>
      <c r="H25" s="1">
        <v>16</v>
      </c>
      <c r="I25" s="1">
        <v>0.99437500000000001</v>
      </c>
      <c r="K25" s="1" t="s">
        <v>181</v>
      </c>
    </row>
    <row r="26" spans="1:11" x14ac:dyDescent="0.25">
      <c r="A26" s="1" t="s">
        <v>256</v>
      </c>
      <c r="B26" s="1" t="s">
        <v>257</v>
      </c>
      <c r="D26" s="1" t="s">
        <v>258</v>
      </c>
      <c r="E26" s="1" t="s">
        <v>209</v>
      </c>
      <c r="F26" s="1" t="s">
        <v>210</v>
      </c>
      <c r="G26" s="1" t="s">
        <v>215</v>
      </c>
      <c r="H26" s="1">
        <v>16</v>
      </c>
      <c r="I26" s="1">
        <v>0.99437500000000001</v>
      </c>
      <c r="K26" s="1" t="s">
        <v>181</v>
      </c>
    </row>
    <row r="27" spans="1:11" x14ac:dyDescent="0.25">
      <c r="A27" s="1" t="s">
        <v>259</v>
      </c>
      <c r="B27" s="1" t="s">
        <v>260</v>
      </c>
      <c r="D27" s="1" t="s">
        <v>261</v>
      </c>
      <c r="E27" s="1" t="s">
        <v>209</v>
      </c>
      <c r="F27" s="1" t="s">
        <v>210</v>
      </c>
      <c r="G27" s="1" t="s">
        <v>211</v>
      </c>
      <c r="H27" s="1">
        <v>16</v>
      </c>
      <c r="I27" s="1">
        <v>0.99437500000000001</v>
      </c>
      <c r="K27" s="1" t="s">
        <v>181</v>
      </c>
    </row>
    <row r="28" spans="1:11" x14ac:dyDescent="0.25">
      <c r="A28" s="1" t="s">
        <v>262</v>
      </c>
      <c r="B28" s="1" t="s">
        <v>263</v>
      </c>
      <c r="D28" s="1" t="s">
        <v>264</v>
      </c>
      <c r="E28" s="1" t="s">
        <v>209</v>
      </c>
      <c r="F28" s="1" t="s">
        <v>210</v>
      </c>
      <c r="G28" s="1" t="s">
        <v>215</v>
      </c>
      <c r="H28" s="1">
        <v>16</v>
      </c>
      <c r="I28" s="1">
        <v>0.99437500000000001</v>
      </c>
      <c r="K28" s="1" t="s">
        <v>181</v>
      </c>
    </row>
    <row r="29" spans="1:11" x14ac:dyDescent="0.25">
      <c r="A29" s="1" t="s">
        <v>265</v>
      </c>
      <c r="B29" s="1" t="s">
        <v>266</v>
      </c>
      <c r="D29" s="1" t="s">
        <v>267</v>
      </c>
      <c r="E29" s="1" t="s">
        <v>209</v>
      </c>
      <c r="F29" s="1" t="s">
        <v>210</v>
      </c>
      <c r="G29" s="1" t="s">
        <v>215</v>
      </c>
      <c r="H29" s="1">
        <v>16</v>
      </c>
      <c r="I29" s="1">
        <v>0.99437500000000001</v>
      </c>
      <c r="K29" s="1" t="s">
        <v>181</v>
      </c>
    </row>
    <row r="30" spans="1:11" x14ac:dyDescent="0.25">
      <c r="A30" s="1" t="s">
        <v>268</v>
      </c>
      <c r="B30" s="1" t="s">
        <v>269</v>
      </c>
      <c r="D30" s="1" t="s">
        <v>270</v>
      </c>
      <c r="E30" s="1" t="s">
        <v>209</v>
      </c>
      <c r="F30" s="1" t="s">
        <v>210</v>
      </c>
      <c r="G30" s="1" t="s">
        <v>215</v>
      </c>
      <c r="H30" s="1">
        <v>16</v>
      </c>
      <c r="I30" s="1">
        <v>0.99437500000000001</v>
      </c>
      <c r="K30" s="1" t="s">
        <v>181</v>
      </c>
    </row>
    <row r="31" spans="1:11" x14ac:dyDescent="0.25">
      <c r="A31" s="1" t="s">
        <v>271</v>
      </c>
      <c r="B31" s="1" t="s">
        <v>272</v>
      </c>
      <c r="D31" s="1" t="s">
        <v>273</v>
      </c>
      <c r="E31" s="1" t="s">
        <v>209</v>
      </c>
      <c r="F31" s="1" t="s">
        <v>274</v>
      </c>
      <c r="G31" s="1" t="s">
        <v>211</v>
      </c>
      <c r="H31" s="1">
        <v>15</v>
      </c>
      <c r="I31" s="1">
        <v>0.93812499999999999</v>
      </c>
      <c r="K31" s="1" t="s">
        <v>181</v>
      </c>
    </row>
    <row r="32" spans="1:11" x14ac:dyDescent="0.25">
      <c r="A32" s="1" t="s">
        <v>275</v>
      </c>
      <c r="B32" s="1" t="s">
        <v>276</v>
      </c>
      <c r="C32" s="1" t="s">
        <v>277</v>
      </c>
      <c r="D32" s="1" t="s">
        <v>278</v>
      </c>
      <c r="E32" s="1" t="s">
        <v>178</v>
      </c>
      <c r="F32" s="1" t="s">
        <v>274</v>
      </c>
      <c r="G32" s="1" t="s">
        <v>215</v>
      </c>
      <c r="H32" s="1">
        <v>15</v>
      </c>
      <c r="I32" s="1">
        <v>0.93812499999999999</v>
      </c>
      <c r="K32" s="1" t="s">
        <v>181</v>
      </c>
    </row>
    <row r="33" spans="1:11" x14ac:dyDescent="0.25">
      <c r="A33" s="1" t="s">
        <v>279</v>
      </c>
      <c r="B33" s="1" t="s">
        <v>280</v>
      </c>
      <c r="D33" s="1" t="s">
        <v>281</v>
      </c>
      <c r="E33" s="1" t="s">
        <v>209</v>
      </c>
      <c r="F33" s="1" t="s">
        <v>274</v>
      </c>
      <c r="G33" s="1" t="s">
        <v>215</v>
      </c>
      <c r="H33" s="1">
        <v>15</v>
      </c>
      <c r="I33" s="1">
        <v>0.93812499999999999</v>
      </c>
      <c r="K33" s="1" t="s">
        <v>181</v>
      </c>
    </row>
    <row r="34" spans="1:11" x14ac:dyDescent="0.25">
      <c r="A34" s="1" t="s">
        <v>282</v>
      </c>
      <c r="B34" s="1" t="s">
        <v>283</v>
      </c>
      <c r="D34" s="1" t="s">
        <v>284</v>
      </c>
      <c r="E34" s="1" t="s">
        <v>209</v>
      </c>
      <c r="F34" s="1" t="s">
        <v>274</v>
      </c>
      <c r="G34" s="1" t="s">
        <v>215</v>
      </c>
      <c r="H34" s="1">
        <v>15</v>
      </c>
      <c r="I34" s="1">
        <v>0.93812499999999999</v>
      </c>
      <c r="K34" s="1" t="s">
        <v>181</v>
      </c>
    </row>
    <row r="35" spans="1:11" x14ac:dyDescent="0.25">
      <c r="A35" s="1" t="s">
        <v>285</v>
      </c>
      <c r="B35" s="1" t="s">
        <v>286</v>
      </c>
      <c r="D35" s="1" t="s">
        <v>287</v>
      </c>
      <c r="E35" s="1" t="s">
        <v>209</v>
      </c>
      <c r="F35" s="1" t="s">
        <v>274</v>
      </c>
      <c r="G35" s="1" t="s">
        <v>215</v>
      </c>
      <c r="H35" s="1">
        <v>15</v>
      </c>
      <c r="I35" s="1">
        <v>0.93812499999999999</v>
      </c>
      <c r="K35" s="1" t="s">
        <v>181</v>
      </c>
    </row>
    <row r="36" spans="1:11" x14ac:dyDescent="0.25">
      <c r="A36" s="1" t="s">
        <v>288</v>
      </c>
      <c r="B36" s="1" t="s">
        <v>289</v>
      </c>
      <c r="D36" s="1" t="s">
        <v>290</v>
      </c>
      <c r="E36" s="1" t="s">
        <v>209</v>
      </c>
      <c r="F36" s="1" t="s">
        <v>274</v>
      </c>
      <c r="G36" s="1" t="s">
        <v>215</v>
      </c>
      <c r="H36" s="1">
        <v>15</v>
      </c>
      <c r="I36" s="1">
        <v>0.93812499999999999</v>
      </c>
      <c r="K36" s="1" t="s">
        <v>181</v>
      </c>
    </row>
    <row r="37" spans="1:11" x14ac:dyDescent="0.25">
      <c r="A37" s="1" t="s">
        <v>291</v>
      </c>
      <c r="B37" s="1" t="s">
        <v>292</v>
      </c>
      <c r="D37" s="1" t="s">
        <v>293</v>
      </c>
      <c r="E37" s="1" t="s">
        <v>209</v>
      </c>
      <c r="F37" s="1" t="s">
        <v>274</v>
      </c>
      <c r="G37" s="1" t="s">
        <v>215</v>
      </c>
      <c r="H37" s="1">
        <v>15</v>
      </c>
      <c r="I37" s="1">
        <v>0.93812499999999999</v>
      </c>
      <c r="K37" s="1" t="s">
        <v>181</v>
      </c>
    </row>
    <row r="38" spans="1:11" x14ac:dyDescent="0.25">
      <c r="A38" s="1" t="s">
        <v>294</v>
      </c>
      <c r="B38" s="1" t="s">
        <v>295</v>
      </c>
      <c r="D38" s="1" t="s">
        <v>296</v>
      </c>
      <c r="E38" s="1" t="s">
        <v>209</v>
      </c>
      <c r="F38" s="1" t="s">
        <v>274</v>
      </c>
      <c r="G38" s="1" t="s">
        <v>215</v>
      </c>
      <c r="H38" s="1">
        <v>15</v>
      </c>
      <c r="I38" s="1">
        <v>0.93812499999999999</v>
      </c>
      <c r="K38" s="1" t="s">
        <v>181</v>
      </c>
    </row>
    <row r="39" spans="1:11" x14ac:dyDescent="0.25">
      <c r="A39" s="1" t="s">
        <v>297</v>
      </c>
      <c r="B39" s="1" t="s">
        <v>298</v>
      </c>
      <c r="D39" s="1" t="s">
        <v>299</v>
      </c>
      <c r="E39" s="1" t="s">
        <v>209</v>
      </c>
      <c r="F39" s="1" t="s">
        <v>274</v>
      </c>
      <c r="G39" s="1" t="s">
        <v>215</v>
      </c>
      <c r="H39" s="1">
        <v>15</v>
      </c>
      <c r="I39" s="1">
        <v>0.93812499999999999</v>
      </c>
      <c r="K39" s="1" t="s">
        <v>181</v>
      </c>
    </row>
    <row r="40" spans="1:11" x14ac:dyDescent="0.25">
      <c r="A40" s="1" t="s">
        <v>300</v>
      </c>
      <c r="B40" s="1" t="s">
        <v>301</v>
      </c>
      <c r="C40" s="1" t="s">
        <v>302</v>
      </c>
      <c r="D40" s="1" t="s">
        <v>303</v>
      </c>
      <c r="E40" s="1" t="s">
        <v>178</v>
      </c>
      <c r="F40" s="1" t="s">
        <v>304</v>
      </c>
      <c r="G40" s="1" t="s">
        <v>186</v>
      </c>
      <c r="H40" s="1">
        <v>6.1</v>
      </c>
      <c r="I40" s="1">
        <v>0.4375</v>
      </c>
      <c r="K40" s="1" t="s">
        <v>181</v>
      </c>
    </row>
    <row r="41" spans="1:11" x14ac:dyDescent="0.25">
      <c r="A41" s="1" t="s">
        <v>305</v>
      </c>
      <c r="B41" s="1" t="s">
        <v>306</v>
      </c>
      <c r="C41" s="1" t="s">
        <v>307</v>
      </c>
      <c r="D41" s="1" t="s">
        <v>308</v>
      </c>
      <c r="E41" s="1" t="s">
        <v>178</v>
      </c>
      <c r="F41" s="1" t="s">
        <v>304</v>
      </c>
      <c r="G41" s="1" t="s">
        <v>309</v>
      </c>
      <c r="H41" s="1">
        <v>6.1</v>
      </c>
      <c r="I41" s="1">
        <v>0.4375</v>
      </c>
      <c r="K41" s="1" t="s">
        <v>181</v>
      </c>
    </row>
    <row r="42" spans="1:11" x14ac:dyDescent="0.25">
      <c r="A42" s="1" t="s">
        <v>310</v>
      </c>
      <c r="B42" s="1" t="s">
        <v>311</v>
      </c>
      <c r="C42" s="1" t="s">
        <v>312</v>
      </c>
      <c r="D42" s="1" t="s">
        <v>313</v>
      </c>
      <c r="E42" s="1" t="s">
        <v>178</v>
      </c>
      <c r="F42" s="1" t="s">
        <v>304</v>
      </c>
      <c r="G42" s="1" t="s">
        <v>186</v>
      </c>
      <c r="H42" s="1">
        <v>6.1</v>
      </c>
      <c r="I42" s="1">
        <v>0.4375</v>
      </c>
      <c r="K42" s="1" t="s">
        <v>181</v>
      </c>
    </row>
    <row r="43" spans="1:11" x14ac:dyDescent="0.25">
      <c r="A43" s="1" t="s">
        <v>314</v>
      </c>
      <c r="B43" s="1" t="s">
        <v>315</v>
      </c>
      <c r="C43" s="1" t="s">
        <v>316</v>
      </c>
      <c r="D43" s="1" t="s">
        <v>317</v>
      </c>
      <c r="E43" s="1" t="s">
        <v>178</v>
      </c>
      <c r="F43" s="1" t="s">
        <v>304</v>
      </c>
      <c r="G43" s="1" t="s">
        <v>186</v>
      </c>
      <c r="H43" s="1">
        <v>6.1</v>
      </c>
      <c r="I43" s="1">
        <v>0.4375</v>
      </c>
      <c r="K43" s="1" t="s">
        <v>181</v>
      </c>
    </row>
    <row r="44" spans="1:11" x14ac:dyDescent="0.25">
      <c r="A44" s="1" t="s">
        <v>318</v>
      </c>
      <c r="B44" s="1" t="s">
        <v>319</v>
      </c>
      <c r="C44" s="1" t="s">
        <v>320</v>
      </c>
      <c r="D44" s="1" t="s">
        <v>321</v>
      </c>
      <c r="E44" s="1" t="s">
        <v>178</v>
      </c>
      <c r="F44" s="1" t="s">
        <v>304</v>
      </c>
      <c r="G44" s="1" t="s">
        <v>186</v>
      </c>
      <c r="H44" s="1">
        <v>6.1</v>
      </c>
      <c r="I44" s="1">
        <v>0.4375</v>
      </c>
      <c r="K44" s="1" t="s">
        <v>181</v>
      </c>
    </row>
    <row r="45" spans="1:11" x14ac:dyDescent="0.25">
      <c r="A45" s="1" t="s">
        <v>322</v>
      </c>
      <c r="B45" s="1" t="s">
        <v>319</v>
      </c>
      <c r="C45" s="1" t="s">
        <v>323</v>
      </c>
      <c r="D45" s="1" t="s">
        <v>324</v>
      </c>
      <c r="E45" s="1" t="s">
        <v>178</v>
      </c>
      <c r="F45" s="1" t="s">
        <v>304</v>
      </c>
      <c r="G45" s="1" t="s">
        <v>186</v>
      </c>
      <c r="H45" s="1">
        <v>6.1</v>
      </c>
      <c r="I45" s="1">
        <v>0.4375</v>
      </c>
      <c r="K45" s="1" t="s">
        <v>181</v>
      </c>
    </row>
    <row r="46" spans="1:11" x14ac:dyDescent="0.25">
      <c r="A46" s="1" t="s">
        <v>325</v>
      </c>
      <c r="B46" s="1" t="s">
        <v>315</v>
      </c>
      <c r="C46" s="1" t="s">
        <v>326</v>
      </c>
      <c r="D46" s="1" t="s">
        <v>327</v>
      </c>
      <c r="E46" s="1" t="s">
        <v>178</v>
      </c>
      <c r="F46" s="1" t="s">
        <v>304</v>
      </c>
      <c r="G46" s="1" t="s">
        <v>186</v>
      </c>
      <c r="H46" s="1">
        <v>6.1</v>
      </c>
      <c r="I46" s="1">
        <v>0.4375</v>
      </c>
      <c r="K46" s="1" t="s">
        <v>181</v>
      </c>
    </row>
    <row r="47" spans="1:11" x14ac:dyDescent="0.25">
      <c r="A47" s="1" t="s">
        <v>328</v>
      </c>
      <c r="B47" s="1" t="s">
        <v>329</v>
      </c>
      <c r="C47" s="1" t="s">
        <v>330</v>
      </c>
      <c r="D47" s="1" t="s">
        <v>331</v>
      </c>
      <c r="E47" s="1" t="s">
        <v>178</v>
      </c>
      <c r="F47" s="1" t="s">
        <v>304</v>
      </c>
      <c r="G47" s="1" t="s">
        <v>186</v>
      </c>
      <c r="H47" s="1">
        <v>6.1</v>
      </c>
      <c r="I47" s="1">
        <v>0.4375</v>
      </c>
      <c r="K47" s="1" t="s">
        <v>181</v>
      </c>
    </row>
    <row r="48" spans="1:11" x14ac:dyDescent="0.25">
      <c r="A48" s="1" t="s">
        <v>332</v>
      </c>
      <c r="B48" s="1" t="s">
        <v>311</v>
      </c>
      <c r="C48" s="1" t="s">
        <v>333</v>
      </c>
      <c r="D48" s="1" t="s">
        <v>334</v>
      </c>
      <c r="E48" s="1" t="s">
        <v>178</v>
      </c>
      <c r="F48" s="1" t="s">
        <v>304</v>
      </c>
      <c r="G48" s="1" t="s">
        <v>186</v>
      </c>
      <c r="H48" s="1">
        <v>6.1</v>
      </c>
      <c r="I48" s="1">
        <v>0.4375</v>
      </c>
      <c r="K48" s="1" t="s">
        <v>181</v>
      </c>
    </row>
    <row r="49" spans="1:11" x14ac:dyDescent="0.25">
      <c r="A49" s="1" t="s">
        <v>335</v>
      </c>
      <c r="B49" s="1" t="s">
        <v>336</v>
      </c>
      <c r="C49" s="1" t="s">
        <v>337</v>
      </c>
      <c r="D49" s="1" t="s">
        <v>338</v>
      </c>
      <c r="E49" s="1" t="s">
        <v>178</v>
      </c>
      <c r="F49" s="1" t="s">
        <v>304</v>
      </c>
      <c r="G49" s="1" t="s">
        <v>180</v>
      </c>
      <c r="H49" s="1">
        <v>6.1</v>
      </c>
      <c r="I49" s="1">
        <v>0.4375</v>
      </c>
      <c r="K49" s="1" t="s">
        <v>181</v>
      </c>
    </row>
    <row r="50" spans="1:11" x14ac:dyDescent="0.25">
      <c r="A50" s="1" t="s">
        <v>339</v>
      </c>
      <c r="B50" s="1" t="s">
        <v>311</v>
      </c>
      <c r="C50" s="1" t="s">
        <v>340</v>
      </c>
      <c r="D50" s="1" t="s">
        <v>341</v>
      </c>
      <c r="E50" s="1" t="s">
        <v>178</v>
      </c>
      <c r="F50" s="1" t="s">
        <v>304</v>
      </c>
      <c r="G50" s="1" t="s">
        <v>186</v>
      </c>
      <c r="H50" s="1">
        <v>6.1</v>
      </c>
      <c r="I50" s="1">
        <v>0.4375</v>
      </c>
      <c r="K50" s="1" t="s">
        <v>181</v>
      </c>
    </row>
    <row r="51" spans="1:11" x14ac:dyDescent="0.25">
      <c r="A51" s="1" t="s">
        <v>342</v>
      </c>
      <c r="B51" s="1" t="s">
        <v>311</v>
      </c>
      <c r="C51" s="1" t="s">
        <v>343</v>
      </c>
      <c r="D51" s="1" t="s">
        <v>344</v>
      </c>
      <c r="E51" s="1" t="s">
        <v>178</v>
      </c>
      <c r="F51" s="1" t="s">
        <v>304</v>
      </c>
      <c r="G51" s="1" t="s">
        <v>186</v>
      </c>
      <c r="H51" s="1">
        <v>6.1</v>
      </c>
      <c r="I51" s="1">
        <v>0.4375</v>
      </c>
      <c r="K51" s="1" t="s">
        <v>181</v>
      </c>
    </row>
    <row r="52" spans="1:11" x14ac:dyDescent="0.25">
      <c r="A52" s="1" t="s">
        <v>345</v>
      </c>
      <c r="B52" s="1" t="s">
        <v>346</v>
      </c>
      <c r="C52" s="1" t="s">
        <v>347</v>
      </c>
      <c r="D52" s="1" t="s">
        <v>348</v>
      </c>
      <c r="E52" s="1" t="s">
        <v>178</v>
      </c>
      <c r="F52" s="1" t="s">
        <v>304</v>
      </c>
      <c r="G52" s="1" t="s">
        <v>186</v>
      </c>
      <c r="H52" s="1">
        <v>6.1</v>
      </c>
      <c r="I52" s="1">
        <v>0.4375</v>
      </c>
      <c r="K52" s="1" t="s">
        <v>181</v>
      </c>
    </row>
    <row r="53" spans="1:11" x14ac:dyDescent="0.25">
      <c r="A53" s="1" t="s">
        <v>349</v>
      </c>
      <c r="B53" s="1" t="s">
        <v>350</v>
      </c>
      <c r="C53" s="1" t="s">
        <v>351</v>
      </c>
      <c r="D53" s="1" t="s">
        <v>352</v>
      </c>
      <c r="E53" s="1" t="s">
        <v>178</v>
      </c>
      <c r="F53" s="1" t="s">
        <v>304</v>
      </c>
      <c r="G53" s="1" t="s">
        <v>186</v>
      </c>
      <c r="H53" s="1">
        <v>6.1</v>
      </c>
      <c r="I53" s="1">
        <v>0.4375</v>
      </c>
      <c r="K53" s="1" t="s">
        <v>181</v>
      </c>
    </row>
    <row r="54" spans="1:11" x14ac:dyDescent="0.25">
      <c r="A54" s="1" t="s">
        <v>353</v>
      </c>
      <c r="B54" s="1" t="s">
        <v>354</v>
      </c>
      <c r="C54" s="1" t="s">
        <v>355</v>
      </c>
      <c r="D54" s="1" t="s">
        <v>356</v>
      </c>
      <c r="E54" s="1" t="s">
        <v>178</v>
      </c>
      <c r="F54" s="1" t="s">
        <v>304</v>
      </c>
      <c r="G54" s="1" t="s">
        <v>186</v>
      </c>
      <c r="H54" s="1">
        <v>6.1</v>
      </c>
      <c r="I54" s="1">
        <v>0.4375</v>
      </c>
      <c r="K54" s="1" t="s">
        <v>181</v>
      </c>
    </row>
    <row r="55" spans="1:11" x14ac:dyDescent="0.25">
      <c r="A55" s="1" t="s">
        <v>357</v>
      </c>
      <c r="B55" s="1" t="s">
        <v>315</v>
      </c>
      <c r="C55" s="1" t="s">
        <v>358</v>
      </c>
      <c r="D55" s="1" t="s">
        <v>359</v>
      </c>
      <c r="E55" s="1" t="s">
        <v>178</v>
      </c>
      <c r="F55" s="1" t="s">
        <v>304</v>
      </c>
      <c r="G55" s="1" t="s">
        <v>186</v>
      </c>
      <c r="H55" s="1">
        <v>6.1</v>
      </c>
      <c r="I55" s="1">
        <v>0.4375</v>
      </c>
      <c r="K55" s="1" t="s">
        <v>181</v>
      </c>
    </row>
    <row r="56" spans="1:11" x14ac:dyDescent="0.25">
      <c r="A56" s="1" t="s">
        <v>360</v>
      </c>
      <c r="B56" s="1" t="s">
        <v>315</v>
      </c>
      <c r="C56" s="1" t="s">
        <v>361</v>
      </c>
      <c r="D56" s="1" t="s">
        <v>362</v>
      </c>
      <c r="E56" s="1" t="s">
        <v>178</v>
      </c>
      <c r="F56" s="1" t="s">
        <v>304</v>
      </c>
      <c r="G56" s="1" t="s">
        <v>186</v>
      </c>
      <c r="H56" s="1">
        <v>6.1</v>
      </c>
      <c r="I56" s="1">
        <v>0.4375</v>
      </c>
      <c r="K56" s="1" t="s">
        <v>181</v>
      </c>
    </row>
    <row r="57" spans="1:11" x14ac:dyDescent="0.25">
      <c r="A57" s="1" t="s">
        <v>363</v>
      </c>
      <c r="B57" s="1" t="s">
        <v>315</v>
      </c>
      <c r="C57" s="1" t="s">
        <v>364</v>
      </c>
      <c r="D57" s="1" t="s">
        <v>365</v>
      </c>
      <c r="E57" s="1" t="s">
        <v>178</v>
      </c>
      <c r="F57" s="1" t="s">
        <v>304</v>
      </c>
      <c r="G57" s="1" t="s">
        <v>186</v>
      </c>
      <c r="H57" s="1">
        <v>6.1</v>
      </c>
      <c r="I57" s="1">
        <v>0.4375</v>
      </c>
      <c r="K57" s="1" t="s">
        <v>181</v>
      </c>
    </row>
    <row r="58" spans="1:11" x14ac:dyDescent="0.25">
      <c r="A58" s="1" t="s">
        <v>366</v>
      </c>
      <c r="B58" s="1" t="s">
        <v>367</v>
      </c>
      <c r="C58" s="1" t="s">
        <v>368</v>
      </c>
      <c r="D58" s="1" t="s">
        <v>369</v>
      </c>
      <c r="E58" s="1" t="s">
        <v>178</v>
      </c>
      <c r="F58" s="1" t="s">
        <v>304</v>
      </c>
      <c r="G58" s="1" t="s">
        <v>186</v>
      </c>
      <c r="H58" s="1">
        <v>6.1</v>
      </c>
      <c r="I58" s="1">
        <v>0.4375</v>
      </c>
      <c r="K58" s="1" t="s">
        <v>181</v>
      </c>
    </row>
    <row r="59" spans="1:11" x14ac:dyDescent="0.25">
      <c r="A59" s="1" t="s">
        <v>370</v>
      </c>
      <c r="B59" s="1" t="s">
        <v>367</v>
      </c>
      <c r="C59" s="1" t="s">
        <v>371</v>
      </c>
      <c r="D59" s="1" t="s">
        <v>372</v>
      </c>
      <c r="E59" s="1" t="s">
        <v>178</v>
      </c>
      <c r="F59" s="1" t="s">
        <v>304</v>
      </c>
      <c r="G59" s="1" t="s">
        <v>186</v>
      </c>
      <c r="H59" s="1">
        <v>6.1</v>
      </c>
      <c r="I59" s="1">
        <v>0.4375</v>
      </c>
      <c r="K59" s="1" t="s">
        <v>181</v>
      </c>
    </row>
    <row r="60" spans="1:11" x14ac:dyDescent="0.25">
      <c r="A60" s="1" t="s">
        <v>373</v>
      </c>
      <c r="B60" s="1" t="s">
        <v>367</v>
      </c>
      <c r="C60" s="1" t="s">
        <v>374</v>
      </c>
      <c r="D60" s="1" t="s">
        <v>375</v>
      </c>
      <c r="E60" s="1" t="s">
        <v>178</v>
      </c>
      <c r="F60" s="1" t="s">
        <v>304</v>
      </c>
      <c r="G60" s="1" t="s">
        <v>186</v>
      </c>
      <c r="H60" s="1">
        <v>6.1</v>
      </c>
      <c r="I60" s="1">
        <v>0.4375</v>
      </c>
      <c r="K60" s="1" t="s">
        <v>181</v>
      </c>
    </row>
    <row r="61" spans="1:11" x14ac:dyDescent="0.25">
      <c r="A61" s="1" t="s">
        <v>376</v>
      </c>
      <c r="B61" s="1" t="s">
        <v>377</v>
      </c>
      <c r="C61" s="1" t="s">
        <v>378</v>
      </c>
      <c r="D61" s="1" t="s">
        <v>379</v>
      </c>
      <c r="E61" s="1" t="s">
        <v>178</v>
      </c>
      <c r="F61" s="1" t="s">
        <v>304</v>
      </c>
      <c r="G61" s="1" t="s">
        <v>186</v>
      </c>
      <c r="H61" s="1">
        <v>6.1</v>
      </c>
      <c r="I61" s="1">
        <v>0.4375</v>
      </c>
      <c r="K61" s="1" t="s">
        <v>181</v>
      </c>
    </row>
    <row r="62" spans="1:11" x14ac:dyDescent="0.25">
      <c r="A62" s="1" t="s">
        <v>380</v>
      </c>
      <c r="B62" s="1" t="s">
        <v>381</v>
      </c>
      <c r="C62" s="1" t="s">
        <v>382</v>
      </c>
      <c r="D62" s="1" t="s">
        <v>383</v>
      </c>
      <c r="E62" s="1" t="s">
        <v>178</v>
      </c>
      <c r="F62" s="1" t="s">
        <v>304</v>
      </c>
      <c r="G62" s="1" t="s">
        <v>186</v>
      </c>
      <c r="H62" s="1">
        <v>6.1</v>
      </c>
      <c r="I62" s="1">
        <v>0.4375</v>
      </c>
      <c r="K62" s="1" t="s">
        <v>181</v>
      </c>
    </row>
    <row r="63" spans="1:11" x14ac:dyDescent="0.25">
      <c r="A63" s="1" t="s">
        <v>384</v>
      </c>
      <c r="B63" s="1" t="s">
        <v>381</v>
      </c>
      <c r="C63" s="1" t="s">
        <v>385</v>
      </c>
      <c r="D63" s="1" t="s">
        <v>386</v>
      </c>
      <c r="E63" s="1" t="s">
        <v>178</v>
      </c>
      <c r="F63" s="1" t="s">
        <v>304</v>
      </c>
      <c r="G63" s="1" t="s">
        <v>186</v>
      </c>
      <c r="H63" s="1">
        <v>6.1</v>
      </c>
      <c r="I63" s="1">
        <v>0.4375</v>
      </c>
      <c r="K63" s="1" t="s">
        <v>181</v>
      </c>
    </row>
    <row r="64" spans="1:11" x14ac:dyDescent="0.25">
      <c r="A64" s="1" t="s">
        <v>387</v>
      </c>
      <c r="B64" s="1" t="s">
        <v>388</v>
      </c>
      <c r="C64" s="1" t="s">
        <v>389</v>
      </c>
      <c r="D64" s="1" t="s">
        <v>390</v>
      </c>
      <c r="E64" s="1" t="s">
        <v>178</v>
      </c>
      <c r="F64" s="1" t="s">
        <v>304</v>
      </c>
      <c r="G64" s="1" t="s">
        <v>186</v>
      </c>
      <c r="H64" s="1">
        <v>6.1</v>
      </c>
      <c r="I64" s="1">
        <v>0.4375</v>
      </c>
      <c r="K64" s="1" t="s">
        <v>181</v>
      </c>
    </row>
    <row r="65" spans="1:11" x14ac:dyDescent="0.25">
      <c r="A65" s="1" t="s">
        <v>391</v>
      </c>
      <c r="B65" s="1" t="s">
        <v>392</v>
      </c>
      <c r="C65" s="1" t="s">
        <v>393</v>
      </c>
      <c r="D65" s="1" t="s">
        <v>394</v>
      </c>
      <c r="E65" s="1" t="s">
        <v>178</v>
      </c>
      <c r="F65" s="1" t="s">
        <v>304</v>
      </c>
      <c r="G65" s="1" t="s">
        <v>186</v>
      </c>
      <c r="H65" s="1">
        <v>6.1</v>
      </c>
      <c r="I65" s="1">
        <v>0.4375</v>
      </c>
      <c r="K65" s="1" t="s">
        <v>181</v>
      </c>
    </row>
    <row r="66" spans="1:11" x14ac:dyDescent="0.25">
      <c r="A66" s="1" t="s">
        <v>395</v>
      </c>
      <c r="B66" s="1" t="s">
        <v>392</v>
      </c>
      <c r="C66" s="1" t="s">
        <v>396</v>
      </c>
      <c r="D66" s="1" t="s">
        <v>397</v>
      </c>
      <c r="E66" s="1" t="s">
        <v>178</v>
      </c>
      <c r="F66" s="1" t="s">
        <v>304</v>
      </c>
      <c r="G66" s="1" t="s">
        <v>186</v>
      </c>
      <c r="H66" s="1">
        <v>6.1</v>
      </c>
      <c r="I66" s="1">
        <v>0.4375</v>
      </c>
      <c r="K66" s="1" t="s">
        <v>181</v>
      </c>
    </row>
    <row r="67" spans="1:11" x14ac:dyDescent="0.25">
      <c r="A67" s="1" t="s">
        <v>398</v>
      </c>
      <c r="B67" s="1" t="s">
        <v>399</v>
      </c>
      <c r="C67" s="1" t="s">
        <v>400</v>
      </c>
      <c r="D67" s="1" t="s">
        <v>401</v>
      </c>
      <c r="E67" s="1" t="s">
        <v>178</v>
      </c>
      <c r="F67" s="1" t="s">
        <v>304</v>
      </c>
      <c r="G67" s="1" t="s">
        <v>186</v>
      </c>
      <c r="H67" s="1">
        <v>6.1</v>
      </c>
      <c r="I67" s="1">
        <v>0.4375</v>
      </c>
      <c r="K67" s="1" t="s">
        <v>181</v>
      </c>
    </row>
    <row r="68" spans="1:11" x14ac:dyDescent="0.25">
      <c r="A68" s="1" t="s">
        <v>402</v>
      </c>
      <c r="B68" s="1" t="s">
        <v>403</v>
      </c>
      <c r="D68" s="1" t="s">
        <v>404</v>
      </c>
      <c r="E68" s="1" t="s">
        <v>209</v>
      </c>
      <c r="F68" s="1" t="s">
        <v>405</v>
      </c>
      <c r="G68" s="1" t="s">
        <v>215</v>
      </c>
      <c r="H68" s="1">
        <v>6</v>
      </c>
      <c r="I68" s="1">
        <v>0.43187500000000001</v>
      </c>
      <c r="K68" s="1" t="s">
        <v>181</v>
      </c>
    </row>
    <row r="69" spans="1:11" x14ac:dyDescent="0.25">
      <c r="A69" s="1" t="s">
        <v>406</v>
      </c>
      <c r="B69" s="1" t="s">
        <v>407</v>
      </c>
      <c r="D69" s="1" t="s">
        <v>408</v>
      </c>
      <c r="E69" s="1" t="s">
        <v>209</v>
      </c>
      <c r="F69" s="1" t="s">
        <v>405</v>
      </c>
      <c r="G69" s="1" t="s">
        <v>215</v>
      </c>
      <c r="H69" s="1">
        <v>6</v>
      </c>
      <c r="I69" s="1">
        <v>0.43187500000000001</v>
      </c>
      <c r="K69" s="1" t="s">
        <v>181</v>
      </c>
    </row>
    <row r="70" spans="1:11" x14ac:dyDescent="0.25">
      <c r="A70" s="1" t="s">
        <v>409</v>
      </c>
      <c r="B70" s="1" t="s">
        <v>410</v>
      </c>
      <c r="D70" s="1" t="s">
        <v>411</v>
      </c>
      <c r="E70" s="1" t="s">
        <v>209</v>
      </c>
      <c r="F70" s="1" t="s">
        <v>405</v>
      </c>
      <c r="G70" s="1" t="s">
        <v>215</v>
      </c>
      <c r="H70" s="1">
        <v>6</v>
      </c>
      <c r="I70" s="1">
        <v>0.43187500000000001</v>
      </c>
      <c r="K70" s="1" t="s">
        <v>181</v>
      </c>
    </row>
    <row r="71" spans="1:11" x14ac:dyDescent="0.25">
      <c r="A71" s="1" t="s">
        <v>412</v>
      </c>
      <c r="B71" s="1" t="s">
        <v>413</v>
      </c>
      <c r="D71" s="1" t="s">
        <v>414</v>
      </c>
      <c r="E71" s="1" t="s">
        <v>209</v>
      </c>
      <c r="F71" s="1" t="s">
        <v>405</v>
      </c>
      <c r="G71" s="1" t="s">
        <v>215</v>
      </c>
      <c r="H71" s="1">
        <v>6</v>
      </c>
      <c r="I71" s="1">
        <v>0.43187500000000001</v>
      </c>
      <c r="K71" s="1" t="s">
        <v>181</v>
      </c>
    </row>
    <row r="72" spans="1:11" x14ac:dyDescent="0.25">
      <c r="A72" s="1" t="s">
        <v>415</v>
      </c>
      <c r="B72" s="1" t="s">
        <v>416</v>
      </c>
      <c r="D72" s="1" t="s">
        <v>417</v>
      </c>
      <c r="E72" s="1" t="s">
        <v>209</v>
      </c>
      <c r="F72" s="1" t="s">
        <v>405</v>
      </c>
      <c r="G72" s="1" t="s">
        <v>215</v>
      </c>
      <c r="H72" s="1">
        <v>6</v>
      </c>
      <c r="I72" s="1">
        <v>0.43187500000000001</v>
      </c>
      <c r="K72" s="1" t="s">
        <v>181</v>
      </c>
    </row>
    <row r="73" spans="1:11" x14ac:dyDescent="0.25">
      <c r="A73" s="1" t="s">
        <v>418</v>
      </c>
      <c r="B73" s="1" t="s">
        <v>419</v>
      </c>
      <c r="D73" s="1" t="s">
        <v>420</v>
      </c>
      <c r="E73" s="1" t="s">
        <v>209</v>
      </c>
      <c r="F73" s="1" t="s">
        <v>405</v>
      </c>
      <c r="G73" s="1" t="s">
        <v>211</v>
      </c>
      <c r="H73" s="1">
        <v>6</v>
      </c>
      <c r="I73" s="1">
        <v>0.43187500000000001</v>
      </c>
      <c r="K73" s="1" t="s">
        <v>181</v>
      </c>
    </row>
    <row r="74" spans="1:11" x14ac:dyDescent="0.25">
      <c r="A74" s="1" t="s">
        <v>421</v>
      </c>
      <c r="B74" s="1" t="s">
        <v>422</v>
      </c>
      <c r="D74" s="1" t="s">
        <v>423</v>
      </c>
      <c r="E74" s="1" t="s">
        <v>209</v>
      </c>
      <c r="F74" s="1" t="s">
        <v>405</v>
      </c>
      <c r="G74" s="1" t="s">
        <v>215</v>
      </c>
      <c r="H74" s="1">
        <v>6</v>
      </c>
      <c r="I74" s="1">
        <v>0.43187500000000001</v>
      </c>
      <c r="K74" s="1" t="s">
        <v>181</v>
      </c>
    </row>
    <row r="75" spans="1:11" x14ac:dyDescent="0.25">
      <c r="A75" s="1" t="s">
        <v>424</v>
      </c>
      <c r="B75" s="1" t="s">
        <v>425</v>
      </c>
      <c r="D75" s="1" t="s">
        <v>426</v>
      </c>
      <c r="E75" s="1" t="s">
        <v>209</v>
      </c>
      <c r="F75" s="1" t="s">
        <v>405</v>
      </c>
      <c r="G75" s="1" t="s">
        <v>215</v>
      </c>
      <c r="H75" s="1">
        <v>6</v>
      </c>
      <c r="I75" s="1">
        <v>0.43187500000000001</v>
      </c>
      <c r="K75" s="1" t="s">
        <v>181</v>
      </c>
    </row>
    <row r="76" spans="1:11" x14ac:dyDescent="0.25">
      <c r="A76" s="1" t="s">
        <v>427</v>
      </c>
      <c r="B76" s="1" t="s">
        <v>428</v>
      </c>
      <c r="D76" s="1" t="s">
        <v>429</v>
      </c>
      <c r="E76" s="1" t="s">
        <v>209</v>
      </c>
      <c r="F76" s="1" t="s">
        <v>405</v>
      </c>
      <c r="G76" s="1" t="s">
        <v>215</v>
      </c>
      <c r="H76" s="1">
        <v>6</v>
      </c>
      <c r="I76" s="1">
        <v>0.43187500000000001</v>
      </c>
      <c r="K76" s="1" t="s">
        <v>181</v>
      </c>
    </row>
    <row r="77" spans="1:11" x14ac:dyDescent="0.25">
      <c r="A77" s="1" t="s">
        <v>430</v>
      </c>
      <c r="B77" s="1" t="s">
        <v>431</v>
      </c>
      <c r="D77" s="1" t="s">
        <v>432</v>
      </c>
      <c r="E77" s="1" t="s">
        <v>209</v>
      </c>
      <c r="F77" s="1" t="s">
        <v>405</v>
      </c>
      <c r="G77" s="1" t="s">
        <v>215</v>
      </c>
      <c r="H77" s="1">
        <v>6</v>
      </c>
      <c r="I77" s="1">
        <v>0.43187500000000001</v>
      </c>
      <c r="K77" s="1" t="s">
        <v>181</v>
      </c>
    </row>
    <row r="78" spans="1:11" x14ac:dyDescent="0.25">
      <c r="A78" s="1" t="s">
        <v>433</v>
      </c>
      <c r="B78" s="1" t="s">
        <v>434</v>
      </c>
      <c r="D78" s="1" t="s">
        <v>435</v>
      </c>
      <c r="E78" s="1" t="s">
        <v>209</v>
      </c>
      <c r="F78" s="1" t="s">
        <v>405</v>
      </c>
      <c r="G78" s="1" t="s">
        <v>215</v>
      </c>
      <c r="H78" s="1">
        <v>6</v>
      </c>
      <c r="I78" s="1">
        <v>0.43187500000000001</v>
      </c>
      <c r="K78" s="1" t="s">
        <v>181</v>
      </c>
    </row>
    <row r="79" spans="1:11" x14ac:dyDescent="0.25">
      <c r="A79" s="1" t="s">
        <v>436</v>
      </c>
      <c r="B79" s="1" t="s">
        <v>437</v>
      </c>
      <c r="D79" s="1" t="s">
        <v>438</v>
      </c>
      <c r="E79" s="1" t="s">
        <v>209</v>
      </c>
      <c r="F79" s="1" t="s">
        <v>405</v>
      </c>
      <c r="G79" s="1" t="s">
        <v>211</v>
      </c>
      <c r="H79" s="1">
        <v>6</v>
      </c>
      <c r="I79" s="1">
        <v>0.43187500000000001</v>
      </c>
      <c r="K79" s="1" t="s">
        <v>181</v>
      </c>
    </row>
    <row r="80" spans="1:11" x14ac:dyDescent="0.25">
      <c r="A80" s="1" t="s">
        <v>439</v>
      </c>
      <c r="B80" s="1" t="s">
        <v>440</v>
      </c>
      <c r="D80" s="1" t="s">
        <v>441</v>
      </c>
      <c r="E80" s="1" t="s">
        <v>209</v>
      </c>
      <c r="F80" s="1" t="s">
        <v>405</v>
      </c>
      <c r="G80" s="1" t="s">
        <v>215</v>
      </c>
      <c r="H80" s="1">
        <v>6</v>
      </c>
      <c r="I80" s="1">
        <v>0.43187500000000001</v>
      </c>
      <c r="K80" s="1" t="s">
        <v>181</v>
      </c>
    </row>
    <row r="81" spans="1:11" x14ac:dyDescent="0.25">
      <c r="A81" s="1" t="s">
        <v>442</v>
      </c>
      <c r="B81" s="1" t="s">
        <v>443</v>
      </c>
      <c r="D81" s="1" t="s">
        <v>444</v>
      </c>
      <c r="E81" s="1" t="s">
        <v>209</v>
      </c>
      <c r="F81" s="1" t="s">
        <v>405</v>
      </c>
      <c r="G81" s="1" t="s">
        <v>215</v>
      </c>
      <c r="H81" s="1">
        <v>6</v>
      </c>
      <c r="I81" s="1">
        <v>0.43187500000000001</v>
      </c>
      <c r="K81" s="1" t="s">
        <v>181</v>
      </c>
    </row>
    <row r="82" spans="1:11" x14ac:dyDescent="0.25">
      <c r="A82" s="1" t="s">
        <v>445</v>
      </c>
      <c r="B82" s="1" t="s">
        <v>446</v>
      </c>
      <c r="D82" s="1" t="s">
        <v>447</v>
      </c>
      <c r="E82" s="1" t="s">
        <v>209</v>
      </c>
      <c r="F82" s="1" t="s">
        <v>405</v>
      </c>
      <c r="G82" s="1" t="s">
        <v>215</v>
      </c>
      <c r="H82" s="1">
        <v>6</v>
      </c>
      <c r="I82" s="1">
        <v>0.43187500000000001</v>
      </c>
      <c r="K82" s="1" t="s">
        <v>181</v>
      </c>
    </row>
    <row r="83" spans="1:11" x14ac:dyDescent="0.25">
      <c r="A83" s="1" t="s">
        <v>448</v>
      </c>
      <c r="B83" s="1" t="s">
        <v>449</v>
      </c>
      <c r="D83" s="1" t="s">
        <v>450</v>
      </c>
      <c r="E83" s="1" t="s">
        <v>209</v>
      </c>
      <c r="F83" s="1" t="s">
        <v>405</v>
      </c>
      <c r="G83" s="1" t="s">
        <v>211</v>
      </c>
      <c r="H83" s="1">
        <v>6</v>
      </c>
      <c r="I83" s="1">
        <v>0.43187500000000001</v>
      </c>
      <c r="K83" s="1" t="s">
        <v>181</v>
      </c>
    </row>
    <row r="84" spans="1:11" x14ac:dyDescent="0.25">
      <c r="A84" s="1" t="s">
        <v>451</v>
      </c>
      <c r="B84" s="1" t="s">
        <v>452</v>
      </c>
      <c r="D84" s="1" t="s">
        <v>453</v>
      </c>
      <c r="E84" s="1" t="s">
        <v>209</v>
      </c>
      <c r="F84" s="1" t="s">
        <v>405</v>
      </c>
      <c r="G84" s="1" t="s">
        <v>215</v>
      </c>
      <c r="H84" s="1">
        <v>6</v>
      </c>
      <c r="I84" s="1">
        <v>0.43187500000000001</v>
      </c>
      <c r="K84" s="1" t="s">
        <v>181</v>
      </c>
    </row>
    <row r="85" spans="1:11" x14ac:dyDescent="0.25">
      <c r="A85" s="1" t="s">
        <v>454</v>
      </c>
      <c r="B85" s="1" t="s">
        <v>455</v>
      </c>
      <c r="D85" s="1" t="s">
        <v>456</v>
      </c>
      <c r="E85" s="1" t="s">
        <v>209</v>
      </c>
      <c r="F85" s="1" t="s">
        <v>405</v>
      </c>
      <c r="G85" s="1" t="s">
        <v>215</v>
      </c>
      <c r="H85" s="1">
        <v>6</v>
      </c>
      <c r="I85" s="1">
        <v>0.43187500000000001</v>
      </c>
      <c r="K85" s="1" t="s">
        <v>181</v>
      </c>
    </row>
    <row r="86" spans="1:11" x14ac:dyDescent="0.25">
      <c r="A86" s="1" t="s">
        <v>457</v>
      </c>
      <c r="B86" s="1" t="s">
        <v>458</v>
      </c>
      <c r="D86" s="1" t="s">
        <v>459</v>
      </c>
      <c r="E86" s="1" t="s">
        <v>209</v>
      </c>
      <c r="F86" s="1" t="s">
        <v>405</v>
      </c>
      <c r="G86" s="1" t="s">
        <v>215</v>
      </c>
      <c r="H86" s="1">
        <v>6</v>
      </c>
      <c r="I86" s="1">
        <v>0.43187500000000001</v>
      </c>
      <c r="K86" s="1" t="s">
        <v>181</v>
      </c>
    </row>
    <row r="87" spans="1:11" x14ac:dyDescent="0.25">
      <c r="A87" s="1" t="s">
        <v>460</v>
      </c>
      <c r="B87" s="1" t="s">
        <v>461</v>
      </c>
      <c r="D87" s="1" t="s">
        <v>462</v>
      </c>
      <c r="E87" s="1" t="s">
        <v>209</v>
      </c>
      <c r="F87" s="1" t="s">
        <v>405</v>
      </c>
      <c r="G87" s="1" t="s">
        <v>215</v>
      </c>
      <c r="H87" s="1">
        <v>6</v>
      </c>
      <c r="I87" s="1">
        <v>0.43187500000000001</v>
      </c>
      <c r="K87" s="1" t="s">
        <v>181</v>
      </c>
    </row>
    <row r="88" spans="1:11" x14ac:dyDescent="0.25">
      <c r="A88" s="1" t="s">
        <v>463</v>
      </c>
      <c r="B88" s="1" t="s">
        <v>464</v>
      </c>
      <c r="D88" s="1" t="s">
        <v>465</v>
      </c>
      <c r="E88" s="1" t="s">
        <v>209</v>
      </c>
      <c r="F88" s="1" t="s">
        <v>405</v>
      </c>
      <c r="G88" s="1" t="s">
        <v>215</v>
      </c>
      <c r="H88" s="1">
        <v>6</v>
      </c>
      <c r="I88" s="1">
        <v>0.43187500000000001</v>
      </c>
      <c r="K88" s="1" t="s">
        <v>181</v>
      </c>
    </row>
    <row r="89" spans="1:11" x14ac:dyDescent="0.25">
      <c r="A89" s="1" t="s">
        <v>466</v>
      </c>
      <c r="B89" s="1" t="s">
        <v>467</v>
      </c>
      <c r="D89" s="1" t="s">
        <v>468</v>
      </c>
      <c r="E89" s="1" t="s">
        <v>209</v>
      </c>
      <c r="F89" s="1" t="s">
        <v>405</v>
      </c>
      <c r="G89" s="1" t="s">
        <v>215</v>
      </c>
      <c r="H89" s="1">
        <v>6</v>
      </c>
      <c r="I89" s="1">
        <v>0.43187500000000001</v>
      </c>
      <c r="K89" s="1" t="s">
        <v>181</v>
      </c>
    </row>
    <row r="90" spans="1:11" x14ac:dyDescent="0.25">
      <c r="A90" s="1" t="s">
        <v>469</v>
      </c>
      <c r="B90" s="1" t="s">
        <v>470</v>
      </c>
      <c r="D90" s="1" t="s">
        <v>471</v>
      </c>
      <c r="E90" s="1" t="s">
        <v>209</v>
      </c>
      <c r="F90" s="1" t="s">
        <v>405</v>
      </c>
      <c r="G90" s="1" t="s">
        <v>215</v>
      </c>
      <c r="H90" s="1">
        <v>6</v>
      </c>
      <c r="I90" s="1">
        <v>0.43187500000000001</v>
      </c>
      <c r="K90" s="1" t="s">
        <v>181</v>
      </c>
    </row>
    <row r="91" spans="1:11" x14ac:dyDescent="0.25">
      <c r="A91" s="1" t="s">
        <v>472</v>
      </c>
      <c r="B91" s="1" t="s">
        <v>473</v>
      </c>
      <c r="D91" s="1" t="s">
        <v>474</v>
      </c>
      <c r="E91" s="1" t="s">
        <v>209</v>
      </c>
      <c r="F91" s="1" t="s">
        <v>405</v>
      </c>
      <c r="G91" s="1" t="s">
        <v>215</v>
      </c>
      <c r="H91" s="1">
        <v>6</v>
      </c>
      <c r="I91" s="1">
        <v>0.43187500000000001</v>
      </c>
      <c r="K91" s="1" t="s">
        <v>181</v>
      </c>
    </row>
    <row r="92" spans="1:11" x14ac:dyDescent="0.25">
      <c r="A92" s="1" t="s">
        <v>475</v>
      </c>
      <c r="B92" s="1" t="s">
        <v>476</v>
      </c>
      <c r="D92" s="1" t="s">
        <v>477</v>
      </c>
      <c r="E92" s="1" t="s">
        <v>209</v>
      </c>
      <c r="F92" s="1" t="s">
        <v>405</v>
      </c>
      <c r="G92" s="1" t="s">
        <v>215</v>
      </c>
      <c r="H92" s="1">
        <v>6</v>
      </c>
      <c r="I92" s="1">
        <v>0.43187500000000001</v>
      </c>
      <c r="K92" s="1" t="s">
        <v>181</v>
      </c>
    </row>
    <row r="93" spans="1:11" x14ac:dyDescent="0.25">
      <c r="A93" s="1" t="s">
        <v>478</v>
      </c>
      <c r="B93" s="1" t="s">
        <v>315</v>
      </c>
      <c r="D93" s="1" t="s">
        <v>479</v>
      </c>
      <c r="E93" s="1" t="s">
        <v>209</v>
      </c>
      <c r="F93" s="1" t="s">
        <v>405</v>
      </c>
      <c r="G93" s="1" t="s">
        <v>211</v>
      </c>
      <c r="H93" s="1">
        <v>6</v>
      </c>
      <c r="I93" s="1">
        <v>0.43187500000000001</v>
      </c>
      <c r="K93" s="1" t="s">
        <v>181</v>
      </c>
    </row>
    <row r="94" spans="1:11" x14ac:dyDescent="0.25">
      <c r="A94" s="1" t="s">
        <v>480</v>
      </c>
      <c r="B94" s="1" t="s">
        <v>481</v>
      </c>
      <c r="D94" s="1" t="s">
        <v>482</v>
      </c>
      <c r="E94" s="1" t="s">
        <v>209</v>
      </c>
      <c r="F94" s="1" t="s">
        <v>405</v>
      </c>
      <c r="G94" s="1" t="s">
        <v>215</v>
      </c>
      <c r="H94" s="1">
        <v>6</v>
      </c>
      <c r="I94" s="1">
        <v>0.43187500000000001</v>
      </c>
      <c r="K94" s="1" t="s">
        <v>181</v>
      </c>
    </row>
    <row r="95" spans="1:11" x14ac:dyDescent="0.25">
      <c r="A95" s="1" t="s">
        <v>483</v>
      </c>
      <c r="B95" s="1" t="s">
        <v>484</v>
      </c>
      <c r="D95" s="1" t="s">
        <v>485</v>
      </c>
      <c r="E95" s="1" t="s">
        <v>209</v>
      </c>
      <c r="F95" s="1" t="s">
        <v>405</v>
      </c>
      <c r="G95" s="1" t="s">
        <v>215</v>
      </c>
      <c r="H95" s="1">
        <v>6</v>
      </c>
      <c r="I95" s="1">
        <v>0.43187500000000001</v>
      </c>
      <c r="K95" s="1" t="s">
        <v>181</v>
      </c>
    </row>
    <row r="96" spans="1:11" x14ac:dyDescent="0.25">
      <c r="A96" s="1" t="s">
        <v>486</v>
      </c>
      <c r="B96" s="1" t="s">
        <v>487</v>
      </c>
      <c r="D96" s="1" t="s">
        <v>488</v>
      </c>
      <c r="E96" s="1" t="s">
        <v>209</v>
      </c>
      <c r="F96" s="1" t="s">
        <v>405</v>
      </c>
      <c r="G96" s="1" t="s">
        <v>211</v>
      </c>
      <c r="H96" s="1">
        <v>6</v>
      </c>
      <c r="I96" s="1">
        <v>0.43187500000000001</v>
      </c>
      <c r="K96" s="1" t="s">
        <v>181</v>
      </c>
    </row>
    <row r="97" spans="1:11" x14ac:dyDescent="0.25">
      <c r="A97" s="1" t="s">
        <v>489</v>
      </c>
      <c r="B97" s="1" t="s">
        <v>490</v>
      </c>
      <c r="D97" s="1" t="s">
        <v>491</v>
      </c>
      <c r="E97" s="1" t="s">
        <v>209</v>
      </c>
      <c r="F97" s="1" t="s">
        <v>405</v>
      </c>
      <c r="G97" s="1" t="s">
        <v>215</v>
      </c>
      <c r="H97" s="1">
        <v>6</v>
      </c>
      <c r="I97" s="1">
        <v>0.43187500000000001</v>
      </c>
      <c r="K97" s="1" t="s">
        <v>181</v>
      </c>
    </row>
    <row r="98" spans="1:11" x14ac:dyDescent="0.25">
      <c r="A98" s="1" t="s">
        <v>492</v>
      </c>
      <c r="B98" s="1" t="s">
        <v>493</v>
      </c>
      <c r="D98" s="1" t="s">
        <v>494</v>
      </c>
      <c r="E98" s="1" t="s">
        <v>209</v>
      </c>
      <c r="F98" s="1" t="s">
        <v>405</v>
      </c>
      <c r="G98" s="1" t="s">
        <v>215</v>
      </c>
      <c r="H98" s="1">
        <v>6</v>
      </c>
      <c r="I98" s="1">
        <v>0.43187500000000001</v>
      </c>
      <c r="K98" s="1" t="s">
        <v>181</v>
      </c>
    </row>
    <row r="99" spans="1:11" x14ac:dyDescent="0.25">
      <c r="A99" s="1" t="s">
        <v>495</v>
      </c>
      <c r="B99" s="1" t="s">
        <v>496</v>
      </c>
      <c r="D99" s="1" t="s">
        <v>497</v>
      </c>
      <c r="E99" s="1" t="s">
        <v>209</v>
      </c>
      <c r="F99" s="1" t="s">
        <v>405</v>
      </c>
      <c r="G99" s="1" t="s">
        <v>215</v>
      </c>
      <c r="H99" s="1">
        <v>6</v>
      </c>
      <c r="I99" s="1">
        <v>0.43187500000000001</v>
      </c>
      <c r="K99" s="1" t="s">
        <v>181</v>
      </c>
    </row>
    <row r="100" spans="1:11" x14ac:dyDescent="0.25">
      <c r="A100" s="1" t="s">
        <v>498</v>
      </c>
      <c r="B100" s="1" t="s">
        <v>499</v>
      </c>
      <c r="D100" s="1" t="s">
        <v>500</v>
      </c>
      <c r="E100" s="1" t="s">
        <v>209</v>
      </c>
      <c r="F100" s="1" t="s">
        <v>405</v>
      </c>
      <c r="G100" s="1" t="s">
        <v>215</v>
      </c>
      <c r="H100" s="1">
        <v>6</v>
      </c>
      <c r="I100" s="1">
        <v>0.43187500000000001</v>
      </c>
      <c r="K100" s="1" t="s">
        <v>181</v>
      </c>
    </row>
    <row r="101" spans="1:11" x14ac:dyDescent="0.25">
      <c r="A101" s="1" t="s">
        <v>501</v>
      </c>
      <c r="B101" s="1" t="s">
        <v>502</v>
      </c>
      <c r="D101" s="1" t="s">
        <v>503</v>
      </c>
      <c r="E101" s="1" t="s">
        <v>209</v>
      </c>
      <c r="F101" s="1" t="s">
        <v>405</v>
      </c>
      <c r="G101" s="1" t="s">
        <v>211</v>
      </c>
      <c r="H101" s="1">
        <v>6</v>
      </c>
      <c r="I101" s="1">
        <v>0.43187500000000001</v>
      </c>
      <c r="K101" s="1" t="s">
        <v>181</v>
      </c>
    </row>
    <row r="102" spans="1:11" x14ac:dyDescent="0.25">
      <c r="A102" s="1" t="s">
        <v>504</v>
      </c>
      <c r="B102" s="1" t="s">
        <v>505</v>
      </c>
      <c r="D102" s="1" t="s">
        <v>506</v>
      </c>
      <c r="E102" s="1" t="s">
        <v>209</v>
      </c>
      <c r="F102" s="1" t="s">
        <v>405</v>
      </c>
      <c r="G102" s="1" t="s">
        <v>211</v>
      </c>
      <c r="H102" s="1">
        <v>6</v>
      </c>
      <c r="I102" s="1">
        <v>0.43187500000000001</v>
      </c>
      <c r="K102" s="1" t="s">
        <v>181</v>
      </c>
    </row>
    <row r="103" spans="1:11" x14ac:dyDescent="0.25">
      <c r="A103" s="1" t="s">
        <v>507</v>
      </c>
      <c r="B103" s="1" t="s">
        <v>508</v>
      </c>
      <c r="D103" s="1" t="s">
        <v>509</v>
      </c>
      <c r="E103" s="1" t="s">
        <v>209</v>
      </c>
      <c r="F103" s="1" t="s">
        <v>405</v>
      </c>
      <c r="G103" s="1" t="s">
        <v>211</v>
      </c>
      <c r="H103" s="1">
        <v>6</v>
      </c>
      <c r="I103" s="1">
        <v>0.43187500000000001</v>
      </c>
      <c r="K103" s="1" t="s">
        <v>181</v>
      </c>
    </row>
    <row r="104" spans="1:11" x14ac:dyDescent="0.25">
      <c r="A104" s="1" t="s">
        <v>510</v>
      </c>
      <c r="B104" s="1" t="s">
        <v>511</v>
      </c>
      <c r="D104" s="1" t="s">
        <v>512</v>
      </c>
      <c r="E104" s="1" t="s">
        <v>209</v>
      </c>
      <c r="F104" s="1" t="s">
        <v>405</v>
      </c>
      <c r="G104" s="1" t="s">
        <v>215</v>
      </c>
      <c r="H104" s="1">
        <v>6</v>
      </c>
      <c r="I104" s="1">
        <v>0.43187500000000001</v>
      </c>
      <c r="K104" s="1" t="s">
        <v>181</v>
      </c>
    </row>
    <row r="105" spans="1:11" x14ac:dyDescent="0.25">
      <c r="A105" s="1" t="s">
        <v>513</v>
      </c>
      <c r="B105" s="1" t="s">
        <v>514</v>
      </c>
      <c r="D105" s="1" t="s">
        <v>515</v>
      </c>
      <c r="E105" s="1" t="s">
        <v>209</v>
      </c>
      <c r="F105" s="1" t="s">
        <v>405</v>
      </c>
      <c r="G105" s="1" t="s">
        <v>211</v>
      </c>
      <c r="H105" s="1">
        <v>6</v>
      </c>
      <c r="I105" s="1">
        <v>0.43187500000000001</v>
      </c>
      <c r="K105" s="1" t="s">
        <v>181</v>
      </c>
    </row>
    <row r="106" spans="1:11" x14ac:dyDescent="0.25">
      <c r="A106" s="1" t="s">
        <v>516</v>
      </c>
      <c r="B106" s="1" t="s">
        <v>517</v>
      </c>
      <c r="D106" s="1" t="s">
        <v>518</v>
      </c>
      <c r="E106" s="1" t="s">
        <v>209</v>
      </c>
      <c r="F106" s="1" t="s">
        <v>405</v>
      </c>
      <c r="G106" s="1" t="s">
        <v>215</v>
      </c>
      <c r="H106" s="1">
        <v>6</v>
      </c>
      <c r="I106" s="1">
        <v>0.43187500000000001</v>
      </c>
      <c r="K106" s="1" t="s">
        <v>181</v>
      </c>
    </row>
    <row r="107" spans="1:11" x14ac:dyDescent="0.25">
      <c r="A107" s="1" t="s">
        <v>519</v>
      </c>
      <c r="B107" s="1" t="s">
        <v>520</v>
      </c>
      <c r="D107" s="1" t="s">
        <v>521</v>
      </c>
      <c r="E107" s="1" t="s">
        <v>209</v>
      </c>
      <c r="F107" s="1" t="s">
        <v>405</v>
      </c>
      <c r="G107" s="1" t="s">
        <v>215</v>
      </c>
      <c r="H107" s="1">
        <v>6</v>
      </c>
      <c r="I107" s="1">
        <v>0.43187500000000001</v>
      </c>
      <c r="K107" s="1" t="s">
        <v>181</v>
      </c>
    </row>
    <row r="108" spans="1:11" x14ac:dyDescent="0.25">
      <c r="A108" s="1" t="s">
        <v>522</v>
      </c>
      <c r="B108" s="1" t="s">
        <v>350</v>
      </c>
      <c r="C108" s="1" t="s">
        <v>523</v>
      </c>
      <c r="D108" s="1" t="s">
        <v>524</v>
      </c>
      <c r="E108" s="1" t="s">
        <v>178</v>
      </c>
      <c r="F108" s="1" t="s">
        <v>405</v>
      </c>
      <c r="G108" s="1" t="s">
        <v>215</v>
      </c>
      <c r="H108" s="1">
        <v>6</v>
      </c>
      <c r="I108" s="1">
        <v>0.43187500000000001</v>
      </c>
      <c r="K108" s="1" t="s">
        <v>181</v>
      </c>
    </row>
    <row r="109" spans="1:11" x14ac:dyDescent="0.25">
      <c r="A109" s="1" t="s">
        <v>525</v>
      </c>
      <c r="B109" s="1" t="s">
        <v>526</v>
      </c>
      <c r="C109" s="1" t="s">
        <v>527</v>
      </c>
      <c r="D109" s="1" t="s">
        <v>528</v>
      </c>
      <c r="E109" s="1" t="s">
        <v>178</v>
      </c>
      <c r="F109" s="1" t="s">
        <v>405</v>
      </c>
      <c r="G109" s="1" t="s">
        <v>211</v>
      </c>
      <c r="H109" s="1">
        <v>6</v>
      </c>
      <c r="I109" s="1">
        <v>0.43187500000000001</v>
      </c>
      <c r="K109" s="1" t="s">
        <v>181</v>
      </c>
    </row>
    <row r="110" spans="1:11" x14ac:dyDescent="0.25">
      <c r="A110" s="1" t="s">
        <v>529</v>
      </c>
      <c r="B110" s="1" t="s">
        <v>530</v>
      </c>
      <c r="C110" s="1" t="s">
        <v>531</v>
      </c>
      <c r="D110" s="1" t="s">
        <v>532</v>
      </c>
      <c r="E110" s="1" t="s">
        <v>178</v>
      </c>
      <c r="F110" s="1" t="s">
        <v>405</v>
      </c>
      <c r="G110" s="1" t="s">
        <v>211</v>
      </c>
      <c r="H110" s="1">
        <v>6</v>
      </c>
      <c r="I110" s="1">
        <v>0.43187500000000001</v>
      </c>
      <c r="K110" s="1" t="s">
        <v>181</v>
      </c>
    </row>
    <row r="111" spans="1:11" x14ac:dyDescent="0.25">
      <c r="A111" s="1" t="s">
        <v>533</v>
      </c>
      <c r="B111" s="1" t="s">
        <v>534</v>
      </c>
      <c r="C111" s="1" t="s">
        <v>535</v>
      </c>
      <c r="D111" s="1" t="s">
        <v>536</v>
      </c>
      <c r="E111" s="1" t="s">
        <v>178</v>
      </c>
      <c r="F111" s="1" t="s">
        <v>405</v>
      </c>
      <c r="G111" s="1" t="s">
        <v>215</v>
      </c>
      <c r="H111" s="1">
        <v>6</v>
      </c>
      <c r="I111" s="1">
        <v>0.43187500000000001</v>
      </c>
      <c r="K111" s="1" t="s">
        <v>181</v>
      </c>
    </row>
    <row r="112" spans="1:11" x14ac:dyDescent="0.25">
      <c r="A112" s="1" t="s">
        <v>537</v>
      </c>
      <c r="B112" s="1" t="s">
        <v>534</v>
      </c>
      <c r="C112" s="1" t="s">
        <v>538</v>
      </c>
      <c r="D112" s="1" t="s">
        <v>539</v>
      </c>
      <c r="E112" s="1" t="s">
        <v>178</v>
      </c>
      <c r="F112" s="1" t="s">
        <v>405</v>
      </c>
      <c r="G112" s="1" t="s">
        <v>215</v>
      </c>
      <c r="H112" s="1">
        <v>6</v>
      </c>
      <c r="I112" s="1">
        <v>0.43187500000000001</v>
      </c>
      <c r="K112" s="1" t="s">
        <v>181</v>
      </c>
    </row>
    <row r="113" spans="1:11" x14ac:dyDescent="0.25">
      <c r="A113" s="1" t="s">
        <v>540</v>
      </c>
      <c r="B113" s="1" t="s">
        <v>534</v>
      </c>
      <c r="C113" s="1" t="s">
        <v>541</v>
      </c>
      <c r="D113" s="1" t="s">
        <v>542</v>
      </c>
      <c r="E113" s="1" t="s">
        <v>178</v>
      </c>
      <c r="F113" s="1" t="s">
        <v>405</v>
      </c>
      <c r="G113" s="1" t="s">
        <v>215</v>
      </c>
      <c r="H113" s="1">
        <v>6</v>
      </c>
      <c r="I113" s="1">
        <v>0.43187500000000001</v>
      </c>
      <c r="K113" s="1" t="s">
        <v>181</v>
      </c>
    </row>
    <row r="114" spans="1:11" x14ac:dyDescent="0.25">
      <c r="A114" s="1" t="s">
        <v>543</v>
      </c>
      <c r="B114" s="1" t="s">
        <v>534</v>
      </c>
      <c r="C114" s="1" t="s">
        <v>544</v>
      </c>
      <c r="D114" s="1" t="s">
        <v>545</v>
      </c>
      <c r="E114" s="1" t="s">
        <v>178</v>
      </c>
      <c r="F114" s="1" t="s">
        <v>405</v>
      </c>
      <c r="G114" s="1" t="s">
        <v>215</v>
      </c>
      <c r="H114" s="1">
        <v>6</v>
      </c>
      <c r="I114" s="1">
        <v>0.43187500000000001</v>
      </c>
      <c r="K114" s="1" t="s">
        <v>181</v>
      </c>
    </row>
    <row r="115" spans="1:11" x14ac:dyDescent="0.25">
      <c r="A115" s="1" t="s">
        <v>546</v>
      </c>
      <c r="B115" s="1" t="s">
        <v>547</v>
      </c>
      <c r="C115" s="1" t="s">
        <v>548</v>
      </c>
      <c r="D115" s="1" t="s">
        <v>549</v>
      </c>
      <c r="E115" s="1" t="s">
        <v>178</v>
      </c>
      <c r="F115" s="1" t="s">
        <v>405</v>
      </c>
      <c r="G115" s="1" t="s">
        <v>215</v>
      </c>
      <c r="H115" s="1">
        <v>6</v>
      </c>
      <c r="I115" s="1">
        <v>0.43187500000000001</v>
      </c>
      <c r="K115" s="1" t="s">
        <v>181</v>
      </c>
    </row>
    <row r="116" spans="1:11" x14ac:dyDescent="0.25">
      <c r="A116" s="1" t="s">
        <v>550</v>
      </c>
      <c r="B116" s="1" t="s">
        <v>547</v>
      </c>
      <c r="C116" s="1" t="s">
        <v>551</v>
      </c>
      <c r="D116" s="1" t="s">
        <v>552</v>
      </c>
      <c r="E116" s="1" t="s">
        <v>178</v>
      </c>
      <c r="F116" s="1" t="s">
        <v>405</v>
      </c>
      <c r="G116" s="1" t="s">
        <v>215</v>
      </c>
      <c r="H116" s="1">
        <v>6</v>
      </c>
      <c r="I116" s="1">
        <v>0.43187500000000001</v>
      </c>
      <c r="K116" s="1" t="s">
        <v>181</v>
      </c>
    </row>
    <row r="117" spans="1:11" x14ac:dyDescent="0.25">
      <c r="A117" s="1" t="s">
        <v>553</v>
      </c>
      <c r="B117" s="1" t="s">
        <v>547</v>
      </c>
      <c r="C117" s="1" t="s">
        <v>554</v>
      </c>
      <c r="D117" s="1" t="s">
        <v>555</v>
      </c>
      <c r="E117" s="1" t="s">
        <v>178</v>
      </c>
      <c r="F117" s="1" t="s">
        <v>405</v>
      </c>
      <c r="G117" s="1" t="s">
        <v>215</v>
      </c>
      <c r="H117" s="1">
        <v>6</v>
      </c>
      <c r="I117" s="1">
        <v>0.43187500000000001</v>
      </c>
      <c r="K117" s="1" t="s">
        <v>181</v>
      </c>
    </row>
    <row r="118" spans="1:11" x14ac:dyDescent="0.25">
      <c r="A118" s="1" t="s">
        <v>556</v>
      </c>
      <c r="B118" s="1" t="s">
        <v>557</v>
      </c>
      <c r="C118" s="1" t="s">
        <v>558</v>
      </c>
      <c r="D118" s="1" t="s">
        <v>559</v>
      </c>
      <c r="E118" s="1" t="s">
        <v>178</v>
      </c>
      <c r="F118" s="1" t="s">
        <v>405</v>
      </c>
      <c r="G118" s="1" t="s">
        <v>215</v>
      </c>
      <c r="H118" s="1">
        <v>6</v>
      </c>
      <c r="I118" s="1">
        <v>0.43187500000000001</v>
      </c>
      <c r="K118" s="1" t="s">
        <v>181</v>
      </c>
    </row>
    <row r="119" spans="1:11" x14ac:dyDescent="0.25">
      <c r="A119" s="1" t="s">
        <v>560</v>
      </c>
      <c r="B119" s="1" t="s">
        <v>367</v>
      </c>
      <c r="C119" s="1" t="s">
        <v>561</v>
      </c>
      <c r="D119" s="1" t="s">
        <v>562</v>
      </c>
      <c r="E119" s="1" t="s">
        <v>178</v>
      </c>
      <c r="F119" s="1" t="s">
        <v>405</v>
      </c>
      <c r="G119" s="1" t="s">
        <v>215</v>
      </c>
      <c r="H119" s="1">
        <v>6</v>
      </c>
      <c r="I119" s="1">
        <v>0.43187500000000001</v>
      </c>
      <c r="K119" s="1" t="s">
        <v>181</v>
      </c>
    </row>
    <row r="120" spans="1:11" x14ac:dyDescent="0.25">
      <c r="A120" s="1" t="s">
        <v>563</v>
      </c>
      <c r="B120" s="1" t="s">
        <v>564</v>
      </c>
      <c r="C120" s="1" t="s">
        <v>565</v>
      </c>
      <c r="D120" s="1" t="s">
        <v>566</v>
      </c>
      <c r="E120" s="1" t="s">
        <v>178</v>
      </c>
      <c r="F120" s="1" t="s">
        <v>405</v>
      </c>
      <c r="G120" s="1" t="s">
        <v>215</v>
      </c>
      <c r="H120" s="1">
        <v>6</v>
      </c>
      <c r="I120" s="1">
        <v>0.43187500000000001</v>
      </c>
      <c r="K120" s="1" t="s">
        <v>181</v>
      </c>
    </row>
    <row r="121" spans="1:11" x14ac:dyDescent="0.25">
      <c r="A121" s="1" t="s">
        <v>567</v>
      </c>
      <c r="B121" s="1" t="s">
        <v>534</v>
      </c>
      <c r="C121" s="1" t="s">
        <v>568</v>
      </c>
      <c r="D121" s="1" t="s">
        <v>569</v>
      </c>
      <c r="E121" s="1" t="s">
        <v>178</v>
      </c>
      <c r="F121" s="1" t="s">
        <v>405</v>
      </c>
      <c r="G121" s="1" t="s">
        <v>215</v>
      </c>
      <c r="H121" s="1">
        <v>6</v>
      </c>
      <c r="I121" s="1">
        <v>0.43187500000000001</v>
      </c>
      <c r="K121" s="1" t="s">
        <v>181</v>
      </c>
    </row>
    <row r="122" spans="1:11" x14ac:dyDescent="0.25">
      <c r="A122" s="1" t="s">
        <v>570</v>
      </c>
      <c r="B122" s="1" t="s">
        <v>571</v>
      </c>
      <c r="C122" s="1" t="s">
        <v>572</v>
      </c>
      <c r="D122" s="1" t="s">
        <v>573</v>
      </c>
      <c r="E122" s="1" t="s">
        <v>178</v>
      </c>
      <c r="F122" s="1" t="s">
        <v>405</v>
      </c>
      <c r="G122" s="1" t="s">
        <v>574</v>
      </c>
      <c r="H122" s="1">
        <v>6</v>
      </c>
      <c r="I122" s="1">
        <v>0.43187500000000001</v>
      </c>
      <c r="K122" s="1" t="s">
        <v>181</v>
      </c>
    </row>
    <row r="123" spans="1:11" x14ac:dyDescent="0.25">
      <c r="A123" s="1" t="s">
        <v>575</v>
      </c>
      <c r="B123" s="1" t="s">
        <v>576</v>
      </c>
      <c r="C123" s="1" t="s">
        <v>577</v>
      </c>
      <c r="D123" s="1" t="s">
        <v>578</v>
      </c>
      <c r="E123" s="1" t="s">
        <v>178</v>
      </c>
      <c r="F123" s="1" t="s">
        <v>405</v>
      </c>
      <c r="G123" s="1" t="s">
        <v>215</v>
      </c>
      <c r="H123" s="1">
        <v>6</v>
      </c>
      <c r="I123" s="1">
        <v>0.43187500000000001</v>
      </c>
      <c r="K123" s="1" t="s">
        <v>181</v>
      </c>
    </row>
    <row r="124" spans="1:11" x14ac:dyDescent="0.25">
      <c r="A124" s="1" t="s">
        <v>579</v>
      </c>
      <c r="B124" s="1" t="s">
        <v>580</v>
      </c>
      <c r="C124" s="1" t="s">
        <v>581</v>
      </c>
      <c r="D124" s="1" t="s">
        <v>582</v>
      </c>
      <c r="E124" s="1" t="s">
        <v>178</v>
      </c>
      <c r="F124" s="1" t="s">
        <v>405</v>
      </c>
      <c r="G124" s="1" t="s">
        <v>215</v>
      </c>
      <c r="H124" s="1">
        <v>6</v>
      </c>
      <c r="I124" s="1">
        <v>0.43187500000000001</v>
      </c>
      <c r="K124" s="1" t="s">
        <v>181</v>
      </c>
    </row>
    <row r="125" spans="1:11" x14ac:dyDescent="0.25">
      <c r="A125" s="1" t="s">
        <v>583</v>
      </c>
      <c r="B125" s="1" t="s">
        <v>315</v>
      </c>
      <c r="C125" s="1" t="s">
        <v>584</v>
      </c>
      <c r="D125" s="1" t="s">
        <v>585</v>
      </c>
      <c r="E125" s="1" t="s">
        <v>178</v>
      </c>
      <c r="F125" s="1" t="s">
        <v>405</v>
      </c>
      <c r="G125" s="1" t="s">
        <v>215</v>
      </c>
      <c r="H125" s="1">
        <v>6</v>
      </c>
      <c r="I125" s="1">
        <v>0.43187500000000001</v>
      </c>
      <c r="K125" s="1" t="s">
        <v>181</v>
      </c>
    </row>
    <row r="126" spans="1:11" x14ac:dyDescent="0.25">
      <c r="A126" s="1" t="s">
        <v>586</v>
      </c>
      <c r="B126" s="1" t="s">
        <v>346</v>
      </c>
      <c r="C126" s="1" t="s">
        <v>587</v>
      </c>
      <c r="D126" s="1" t="s">
        <v>588</v>
      </c>
      <c r="E126" s="1" t="s">
        <v>178</v>
      </c>
      <c r="F126" s="1" t="s">
        <v>405</v>
      </c>
      <c r="G126" s="1" t="s">
        <v>215</v>
      </c>
      <c r="H126" s="1">
        <v>6</v>
      </c>
      <c r="I126" s="1">
        <v>0.43187500000000001</v>
      </c>
      <c r="K126" s="1" t="s">
        <v>181</v>
      </c>
    </row>
    <row r="127" spans="1:11" x14ac:dyDescent="0.25">
      <c r="A127" s="1" t="s">
        <v>589</v>
      </c>
      <c r="B127" s="1" t="s">
        <v>564</v>
      </c>
      <c r="C127" s="1" t="s">
        <v>590</v>
      </c>
      <c r="D127" s="1" t="s">
        <v>591</v>
      </c>
      <c r="E127" s="1" t="s">
        <v>178</v>
      </c>
      <c r="F127" s="1" t="s">
        <v>405</v>
      </c>
      <c r="G127" s="1" t="s">
        <v>215</v>
      </c>
      <c r="H127" s="1">
        <v>6</v>
      </c>
      <c r="I127" s="1">
        <v>0.43187500000000001</v>
      </c>
      <c r="K127" s="1" t="s">
        <v>181</v>
      </c>
    </row>
    <row r="128" spans="1:11" x14ac:dyDescent="0.25">
      <c r="A128" s="1" t="s">
        <v>592</v>
      </c>
      <c r="B128" s="1" t="s">
        <v>564</v>
      </c>
      <c r="C128" s="1" t="s">
        <v>593</v>
      </c>
      <c r="D128" s="1" t="s">
        <v>594</v>
      </c>
      <c r="E128" s="1" t="s">
        <v>178</v>
      </c>
      <c r="F128" s="1" t="s">
        <v>405</v>
      </c>
      <c r="G128" s="1" t="s">
        <v>215</v>
      </c>
      <c r="H128" s="1">
        <v>6</v>
      </c>
      <c r="I128" s="1">
        <v>0.43187500000000001</v>
      </c>
      <c r="K128" s="1" t="s">
        <v>181</v>
      </c>
    </row>
    <row r="129" spans="1:11" x14ac:dyDescent="0.25">
      <c r="A129" s="1" t="s">
        <v>595</v>
      </c>
      <c r="B129" s="1" t="s">
        <v>596</v>
      </c>
      <c r="C129" s="1" t="s">
        <v>597</v>
      </c>
      <c r="D129" s="1" t="s">
        <v>598</v>
      </c>
      <c r="E129" s="1" t="s">
        <v>178</v>
      </c>
      <c r="F129" s="1" t="s">
        <v>405</v>
      </c>
      <c r="G129" s="1" t="s">
        <v>211</v>
      </c>
      <c r="H129" s="1">
        <v>6</v>
      </c>
      <c r="I129" s="1">
        <v>0.43187500000000001</v>
      </c>
      <c r="K129" s="1" t="s">
        <v>181</v>
      </c>
    </row>
    <row r="130" spans="1:11" x14ac:dyDescent="0.25">
      <c r="A130" s="1" t="s">
        <v>599</v>
      </c>
      <c r="B130" s="1" t="s">
        <v>367</v>
      </c>
      <c r="C130" s="1" t="s">
        <v>600</v>
      </c>
      <c r="D130" s="1" t="s">
        <v>601</v>
      </c>
      <c r="E130" s="1" t="s">
        <v>178</v>
      </c>
      <c r="F130" s="1" t="s">
        <v>405</v>
      </c>
      <c r="G130" s="1" t="s">
        <v>215</v>
      </c>
      <c r="H130" s="1">
        <v>6</v>
      </c>
      <c r="I130" s="1">
        <v>0.43187500000000001</v>
      </c>
      <c r="K130" s="1" t="s">
        <v>181</v>
      </c>
    </row>
    <row r="131" spans="1:11" x14ac:dyDescent="0.25">
      <c r="A131" s="1" t="s">
        <v>602</v>
      </c>
      <c r="B131" s="1" t="s">
        <v>367</v>
      </c>
      <c r="C131" s="1" t="s">
        <v>603</v>
      </c>
      <c r="D131" s="1" t="s">
        <v>604</v>
      </c>
      <c r="E131" s="1" t="s">
        <v>178</v>
      </c>
      <c r="F131" s="1" t="s">
        <v>405</v>
      </c>
      <c r="G131" s="1" t="s">
        <v>215</v>
      </c>
      <c r="H131" s="1">
        <v>6</v>
      </c>
      <c r="I131" s="1">
        <v>0.43187500000000001</v>
      </c>
      <c r="K131" s="1" t="s">
        <v>181</v>
      </c>
    </row>
    <row r="132" spans="1:11" x14ac:dyDescent="0.25">
      <c r="A132" s="1" t="s">
        <v>605</v>
      </c>
      <c r="B132" s="1" t="s">
        <v>381</v>
      </c>
      <c r="C132" s="1" t="s">
        <v>606</v>
      </c>
      <c r="D132" s="1" t="s">
        <v>607</v>
      </c>
      <c r="E132" s="1" t="s">
        <v>178</v>
      </c>
      <c r="F132" s="1" t="s">
        <v>405</v>
      </c>
      <c r="G132" s="1" t="s">
        <v>215</v>
      </c>
      <c r="H132" s="1">
        <v>6</v>
      </c>
      <c r="I132" s="1">
        <v>0.43187500000000001</v>
      </c>
      <c r="K132" s="1" t="s">
        <v>181</v>
      </c>
    </row>
    <row r="133" spans="1:11" x14ac:dyDescent="0.25">
      <c r="A133" s="1" t="s">
        <v>608</v>
      </c>
      <c r="B133" s="1" t="s">
        <v>381</v>
      </c>
      <c r="C133" s="1" t="s">
        <v>609</v>
      </c>
      <c r="D133" s="1" t="s">
        <v>610</v>
      </c>
      <c r="E133" s="1" t="s">
        <v>178</v>
      </c>
      <c r="F133" s="1" t="s">
        <v>405</v>
      </c>
      <c r="G133" s="1" t="s">
        <v>215</v>
      </c>
      <c r="H133" s="1">
        <v>6</v>
      </c>
      <c r="I133" s="1">
        <v>0.43187500000000001</v>
      </c>
      <c r="K133" s="1" t="s">
        <v>181</v>
      </c>
    </row>
    <row r="134" spans="1:11" x14ac:dyDescent="0.25">
      <c r="A134" s="1" t="s">
        <v>611</v>
      </c>
      <c r="B134" s="1" t="s">
        <v>612</v>
      </c>
      <c r="C134" s="1" t="s">
        <v>613</v>
      </c>
      <c r="D134" s="1" t="s">
        <v>614</v>
      </c>
      <c r="E134" s="1" t="s">
        <v>178</v>
      </c>
      <c r="F134" s="1" t="s">
        <v>405</v>
      </c>
      <c r="G134" s="1" t="s">
        <v>215</v>
      </c>
      <c r="H134" s="1">
        <v>6</v>
      </c>
      <c r="I134" s="1">
        <v>0.43187500000000001</v>
      </c>
      <c r="K134" s="1" t="s">
        <v>181</v>
      </c>
    </row>
    <row r="135" spans="1:11" x14ac:dyDescent="0.25">
      <c r="A135" s="1" t="s">
        <v>615</v>
      </c>
      <c r="B135" s="1" t="s">
        <v>392</v>
      </c>
      <c r="C135" s="1" t="s">
        <v>616</v>
      </c>
      <c r="D135" s="1" t="s">
        <v>617</v>
      </c>
      <c r="E135" s="1" t="s">
        <v>178</v>
      </c>
      <c r="F135" s="1" t="s">
        <v>405</v>
      </c>
      <c r="G135" s="1" t="s">
        <v>215</v>
      </c>
      <c r="H135" s="1">
        <v>6</v>
      </c>
      <c r="I135" s="1">
        <v>0.43187500000000001</v>
      </c>
      <c r="K135" s="1" t="s">
        <v>181</v>
      </c>
    </row>
    <row r="136" spans="1:11" x14ac:dyDescent="0.25">
      <c r="A136" s="1" t="s">
        <v>618</v>
      </c>
      <c r="B136" s="1" t="s">
        <v>392</v>
      </c>
      <c r="C136" s="1" t="s">
        <v>619</v>
      </c>
      <c r="D136" s="1" t="s">
        <v>620</v>
      </c>
      <c r="E136" s="1" t="s">
        <v>178</v>
      </c>
      <c r="F136" s="1" t="s">
        <v>405</v>
      </c>
      <c r="G136" s="1" t="s">
        <v>215</v>
      </c>
      <c r="H136" s="1">
        <v>6</v>
      </c>
      <c r="I136" s="1">
        <v>0.43187500000000001</v>
      </c>
      <c r="K136" s="1" t="s">
        <v>181</v>
      </c>
    </row>
    <row r="137" spans="1:11" x14ac:dyDescent="0.25">
      <c r="A137" s="1" t="s">
        <v>621</v>
      </c>
      <c r="B137" s="1" t="s">
        <v>547</v>
      </c>
      <c r="C137" s="1" t="s">
        <v>622</v>
      </c>
      <c r="D137" s="1" t="s">
        <v>623</v>
      </c>
      <c r="E137" s="1" t="s">
        <v>178</v>
      </c>
      <c r="F137" s="1" t="s">
        <v>405</v>
      </c>
      <c r="G137" s="1" t="s">
        <v>215</v>
      </c>
      <c r="H137" s="1">
        <v>6</v>
      </c>
      <c r="I137" s="1">
        <v>0.43187500000000001</v>
      </c>
      <c r="K137" s="1" t="s">
        <v>181</v>
      </c>
    </row>
    <row r="138" spans="1:11" x14ac:dyDescent="0.25">
      <c r="A138" s="1" t="s">
        <v>624</v>
      </c>
      <c r="B138" s="1" t="s">
        <v>547</v>
      </c>
      <c r="C138" s="1" t="s">
        <v>625</v>
      </c>
      <c r="D138" s="1" t="s">
        <v>626</v>
      </c>
      <c r="E138" s="1" t="s">
        <v>178</v>
      </c>
      <c r="F138" s="1" t="s">
        <v>405</v>
      </c>
      <c r="G138" s="1" t="s">
        <v>215</v>
      </c>
      <c r="H138" s="1">
        <v>6</v>
      </c>
      <c r="I138" s="1">
        <v>0.43187500000000001</v>
      </c>
      <c r="K138" s="1" t="s">
        <v>181</v>
      </c>
    </row>
    <row r="139" spans="1:11" x14ac:dyDescent="0.25">
      <c r="A139" s="1" t="s">
        <v>627</v>
      </c>
      <c r="B139" s="1" t="s">
        <v>547</v>
      </c>
      <c r="C139" s="1" t="s">
        <v>628</v>
      </c>
      <c r="D139" s="1" t="s">
        <v>629</v>
      </c>
      <c r="E139" s="1" t="s">
        <v>178</v>
      </c>
      <c r="F139" s="1" t="s">
        <v>405</v>
      </c>
      <c r="G139" s="1" t="s">
        <v>215</v>
      </c>
      <c r="H139" s="1">
        <v>6</v>
      </c>
      <c r="I139" s="1">
        <v>0.43187500000000001</v>
      </c>
      <c r="K139" s="1" t="s">
        <v>181</v>
      </c>
    </row>
    <row r="140" spans="1:11" x14ac:dyDescent="0.25">
      <c r="A140" s="1" t="s">
        <v>630</v>
      </c>
      <c r="B140" s="1" t="s">
        <v>631</v>
      </c>
      <c r="C140" s="1" t="s">
        <v>632</v>
      </c>
      <c r="D140" s="1" t="s">
        <v>633</v>
      </c>
      <c r="E140" s="1" t="s">
        <v>178</v>
      </c>
      <c r="F140" s="1" t="s">
        <v>405</v>
      </c>
      <c r="G140" s="1" t="s">
        <v>215</v>
      </c>
      <c r="H140" s="1">
        <v>6</v>
      </c>
      <c r="I140" s="1">
        <v>0.43187500000000001</v>
      </c>
      <c r="K140" s="1" t="s">
        <v>181</v>
      </c>
    </row>
    <row r="141" spans="1:11" x14ac:dyDescent="0.25">
      <c r="A141" s="1" t="s">
        <v>634</v>
      </c>
      <c r="B141" s="1" t="s">
        <v>547</v>
      </c>
      <c r="C141" s="1" t="s">
        <v>635</v>
      </c>
      <c r="D141" s="1" t="s">
        <v>636</v>
      </c>
      <c r="E141" s="1" t="s">
        <v>178</v>
      </c>
      <c r="F141" s="1" t="s">
        <v>405</v>
      </c>
      <c r="G141" s="1" t="s">
        <v>215</v>
      </c>
      <c r="H141" s="1">
        <v>6</v>
      </c>
      <c r="I141" s="1">
        <v>0.43187500000000001</v>
      </c>
      <c r="K141" s="1" t="s">
        <v>181</v>
      </c>
    </row>
    <row r="142" spans="1:11" x14ac:dyDescent="0.25">
      <c r="A142" s="1" t="s">
        <v>637</v>
      </c>
      <c r="B142" s="1" t="s">
        <v>547</v>
      </c>
      <c r="C142" s="1" t="s">
        <v>638</v>
      </c>
      <c r="D142" s="1" t="s">
        <v>639</v>
      </c>
      <c r="E142" s="1" t="s">
        <v>178</v>
      </c>
      <c r="F142" s="1" t="s">
        <v>405</v>
      </c>
      <c r="G142" s="1" t="s">
        <v>215</v>
      </c>
      <c r="H142" s="1">
        <v>6</v>
      </c>
      <c r="I142" s="1">
        <v>0.43187500000000001</v>
      </c>
      <c r="K142" s="1" t="s">
        <v>181</v>
      </c>
    </row>
    <row r="143" spans="1:11" x14ac:dyDescent="0.25">
      <c r="A143" s="1" t="s">
        <v>640</v>
      </c>
      <c r="B143" s="1" t="s">
        <v>547</v>
      </c>
      <c r="C143" s="1" t="s">
        <v>641</v>
      </c>
      <c r="D143" s="1" t="s">
        <v>642</v>
      </c>
      <c r="E143" s="1" t="s">
        <v>178</v>
      </c>
      <c r="F143" s="1" t="s">
        <v>405</v>
      </c>
      <c r="G143" s="1" t="s">
        <v>215</v>
      </c>
      <c r="H143" s="1">
        <v>6</v>
      </c>
      <c r="I143" s="1">
        <v>0.43187500000000001</v>
      </c>
      <c r="K143" s="1" t="s">
        <v>181</v>
      </c>
    </row>
    <row r="144" spans="1:11" x14ac:dyDescent="0.25">
      <c r="A144" s="1" t="s">
        <v>643</v>
      </c>
      <c r="B144" s="1" t="s">
        <v>547</v>
      </c>
      <c r="C144" s="1" t="s">
        <v>644</v>
      </c>
      <c r="D144" s="1" t="s">
        <v>645</v>
      </c>
      <c r="E144" s="1" t="s">
        <v>178</v>
      </c>
      <c r="F144" s="1" t="s">
        <v>405</v>
      </c>
      <c r="G144" s="1" t="s">
        <v>215</v>
      </c>
      <c r="H144" s="1">
        <v>6</v>
      </c>
      <c r="I144" s="1">
        <v>0.43187500000000001</v>
      </c>
      <c r="K144" s="1" t="s">
        <v>181</v>
      </c>
    </row>
    <row r="145" spans="1:11" x14ac:dyDescent="0.25">
      <c r="A145" s="1" t="s">
        <v>646</v>
      </c>
      <c r="B145" s="1" t="s">
        <v>647</v>
      </c>
      <c r="C145" s="1" t="s">
        <v>648</v>
      </c>
      <c r="D145" s="1" t="s">
        <v>649</v>
      </c>
      <c r="E145" s="1" t="s">
        <v>178</v>
      </c>
      <c r="F145" s="1" t="s">
        <v>405</v>
      </c>
      <c r="G145" s="1" t="s">
        <v>215</v>
      </c>
      <c r="H145" s="1">
        <v>6</v>
      </c>
      <c r="I145" s="1">
        <v>0.43187500000000001</v>
      </c>
      <c r="K145" s="1" t="s">
        <v>181</v>
      </c>
    </row>
    <row r="146" spans="1:11" x14ac:dyDescent="0.25">
      <c r="A146" s="1" t="s">
        <v>650</v>
      </c>
      <c r="B146" s="1" t="s">
        <v>651</v>
      </c>
      <c r="C146" s="1" t="s">
        <v>652</v>
      </c>
      <c r="D146" s="1" t="s">
        <v>653</v>
      </c>
      <c r="E146" s="1" t="s">
        <v>178</v>
      </c>
      <c r="F146" s="1" t="s">
        <v>405</v>
      </c>
      <c r="G146" s="1" t="s">
        <v>215</v>
      </c>
      <c r="H146" s="1">
        <v>6</v>
      </c>
      <c r="I146" s="1">
        <v>0.43187500000000001</v>
      </c>
      <c r="K146" s="1" t="s">
        <v>181</v>
      </c>
    </row>
    <row r="147" spans="1:11" x14ac:dyDescent="0.25">
      <c r="A147" s="1" t="s">
        <v>654</v>
      </c>
      <c r="B147" s="1" t="s">
        <v>655</v>
      </c>
      <c r="C147" s="1" t="s">
        <v>656</v>
      </c>
      <c r="D147" s="1" t="s">
        <v>657</v>
      </c>
      <c r="E147" s="1" t="s">
        <v>178</v>
      </c>
      <c r="F147" s="1" t="s">
        <v>405</v>
      </c>
      <c r="G147" s="1" t="s">
        <v>215</v>
      </c>
      <c r="H147" s="1">
        <v>6</v>
      </c>
      <c r="I147" s="1">
        <v>0.43187500000000001</v>
      </c>
      <c r="K147" s="1" t="s">
        <v>181</v>
      </c>
    </row>
    <row r="148" spans="1:11" x14ac:dyDescent="0.25">
      <c r="A148" s="1" t="s">
        <v>658</v>
      </c>
      <c r="B148" s="1" t="s">
        <v>659</v>
      </c>
      <c r="C148" s="1" t="s">
        <v>660</v>
      </c>
      <c r="D148" s="1" t="s">
        <v>661</v>
      </c>
      <c r="E148" s="1" t="s">
        <v>178</v>
      </c>
      <c r="F148" s="1" t="s">
        <v>405</v>
      </c>
      <c r="G148" s="1" t="s">
        <v>215</v>
      </c>
      <c r="H148" s="1">
        <v>6</v>
      </c>
      <c r="I148" s="1">
        <v>0.43187500000000001</v>
      </c>
      <c r="K148" s="1" t="s">
        <v>181</v>
      </c>
    </row>
    <row r="149" spans="1:11" x14ac:dyDescent="0.25">
      <c r="A149" s="1" t="s">
        <v>662</v>
      </c>
      <c r="B149" s="1" t="s">
        <v>659</v>
      </c>
      <c r="C149" s="1" t="s">
        <v>663</v>
      </c>
      <c r="D149" s="1" t="s">
        <v>664</v>
      </c>
      <c r="E149" s="1" t="s">
        <v>178</v>
      </c>
      <c r="F149" s="1" t="s">
        <v>405</v>
      </c>
      <c r="G149" s="1" t="s">
        <v>215</v>
      </c>
      <c r="H149" s="1">
        <v>6</v>
      </c>
      <c r="I149" s="1">
        <v>0.43187500000000001</v>
      </c>
      <c r="K149" s="1" t="s">
        <v>181</v>
      </c>
    </row>
    <row r="150" spans="1:11" x14ac:dyDescent="0.25">
      <c r="A150" s="1" t="s">
        <v>665</v>
      </c>
      <c r="B150" s="1" t="s">
        <v>659</v>
      </c>
      <c r="C150" s="1" t="s">
        <v>660</v>
      </c>
      <c r="D150" s="1" t="s">
        <v>666</v>
      </c>
      <c r="E150" s="1" t="s">
        <v>178</v>
      </c>
      <c r="F150" s="1" t="s">
        <v>405</v>
      </c>
      <c r="G150" s="1" t="s">
        <v>215</v>
      </c>
      <c r="H150" s="1">
        <v>6</v>
      </c>
      <c r="I150" s="1">
        <v>0.43187500000000001</v>
      </c>
      <c r="K150" s="1" t="s">
        <v>181</v>
      </c>
    </row>
    <row r="151" spans="1:11" x14ac:dyDescent="0.25">
      <c r="A151" s="1" t="s">
        <v>667</v>
      </c>
      <c r="B151" s="1" t="s">
        <v>655</v>
      </c>
      <c r="C151" s="1" t="s">
        <v>668</v>
      </c>
      <c r="D151" s="1" t="s">
        <v>669</v>
      </c>
      <c r="E151" s="1" t="s">
        <v>178</v>
      </c>
      <c r="F151" s="1" t="s">
        <v>405</v>
      </c>
      <c r="G151" s="1" t="s">
        <v>215</v>
      </c>
      <c r="H151" s="1">
        <v>6</v>
      </c>
      <c r="I151" s="1">
        <v>0.43187500000000001</v>
      </c>
      <c r="K151" s="1" t="s">
        <v>181</v>
      </c>
    </row>
    <row r="152" spans="1:11" x14ac:dyDescent="0.25">
      <c r="A152" s="1" t="s">
        <v>670</v>
      </c>
      <c r="B152" s="1" t="s">
        <v>659</v>
      </c>
      <c r="C152" s="1" t="s">
        <v>663</v>
      </c>
      <c r="D152" s="1" t="s">
        <v>671</v>
      </c>
      <c r="E152" s="1" t="s">
        <v>178</v>
      </c>
      <c r="F152" s="1" t="s">
        <v>405</v>
      </c>
      <c r="G152" s="1" t="s">
        <v>215</v>
      </c>
      <c r="H152" s="1">
        <v>6</v>
      </c>
      <c r="I152" s="1">
        <v>0.43187500000000001</v>
      </c>
      <c r="K152" s="1" t="s">
        <v>181</v>
      </c>
    </row>
    <row r="153" spans="1:11" x14ac:dyDescent="0.25">
      <c r="A153" s="1" t="s">
        <v>672</v>
      </c>
      <c r="B153" s="1" t="s">
        <v>673</v>
      </c>
      <c r="C153" s="1" t="s">
        <v>674</v>
      </c>
      <c r="D153" s="1" t="s">
        <v>675</v>
      </c>
      <c r="E153" s="1" t="s">
        <v>178</v>
      </c>
      <c r="F153" s="1" t="s">
        <v>405</v>
      </c>
      <c r="G153" s="1" t="s">
        <v>211</v>
      </c>
      <c r="H153" s="1">
        <v>6</v>
      </c>
      <c r="I153" s="1">
        <v>0.43187500000000001</v>
      </c>
      <c r="K153" s="1" t="s">
        <v>181</v>
      </c>
    </row>
    <row r="154" spans="1:11" x14ac:dyDescent="0.25">
      <c r="A154" s="1" t="s">
        <v>676</v>
      </c>
      <c r="B154" s="1" t="s">
        <v>673</v>
      </c>
      <c r="C154" s="1" t="s">
        <v>677</v>
      </c>
      <c r="D154" s="1" t="s">
        <v>678</v>
      </c>
      <c r="E154" s="1" t="s">
        <v>178</v>
      </c>
      <c r="F154" s="1" t="s">
        <v>405</v>
      </c>
      <c r="G154" s="1" t="s">
        <v>211</v>
      </c>
      <c r="H154" s="1">
        <v>6</v>
      </c>
      <c r="I154" s="1">
        <v>0.43187500000000001</v>
      </c>
      <c r="K154" s="1" t="s">
        <v>181</v>
      </c>
    </row>
    <row r="155" spans="1:11" x14ac:dyDescent="0.25">
      <c r="A155" s="1" t="s">
        <v>679</v>
      </c>
      <c r="B155" s="1" t="s">
        <v>680</v>
      </c>
      <c r="D155" s="1" t="s">
        <v>681</v>
      </c>
      <c r="E155" s="1" t="s">
        <v>209</v>
      </c>
      <c r="F155" s="1" t="s">
        <v>405</v>
      </c>
      <c r="G155" s="1" t="s">
        <v>215</v>
      </c>
      <c r="H155" s="1">
        <v>6</v>
      </c>
      <c r="I155" s="1">
        <v>0.43187500000000001</v>
      </c>
      <c r="K155" s="1" t="s">
        <v>181</v>
      </c>
    </row>
    <row r="156" spans="1:11" x14ac:dyDescent="0.25">
      <c r="A156" s="1" t="s">
        <v>682</v>
      </c>
      <c r="B156" s="1" t="s">
        <v>683</v>
      </c>
      <c r="D156" s="1" t="s">
        <v>684</v>
      </c>
      <c r="E156" s="1" t="s">
        <v>209</v>
      </c>
      <c r="F156" s="1" t="s">
        <v>405</v>
      </c>
      <c r="G156" s="1" t="s">
        <v>215</v>
      </c>
      <c r="H156" s="1">
        <v>6</v>
      </c>
      <c r="I156" s="1">
        <v>0.43187500000000001</v>
      </c>
      <c r="K156" s="1" t="s">
        <v>181</v>
      </c>
    </row>
    <row r="157" spans="1:11" x14ac:dyDescent="0.25">
      <c r="A157" s="1" t="s">
        <v>685</v>
      </c>
      <c r="B157" s="1" t="s">
        <v>686</v>
      </c>
      <c r="D157" s="1" t="s">
        <v>687</v>
      </c>
      <c r="E157" s="1" t="s">
        <v>209</v>
      </c>
      <c r="F157" s="1" t="s">
        <v>405</v>
      </c>
      <c r="G157" s="1" t="s">
        <v>211</v>
      </c>
      <c r="H157" s="1">
        <v>6</v>
      </c>
      <c r="I157" s="1">
        <v>0.43187500000000001</v>
      </c>
      <c r="K157" s="1" t="s">
        <v>181</v>
      </c>
    </row>
    <row r="158" spans="1:11" x14ac:dyDescent="0.25">
      <c r="A158" s="1" t="s">
        <v>688</v>
      </c>
      <c r="B158" s="1" t="s">
        <v>689</v>
      </c>
      <c r="D158" s="1" t="s">
        <v>690</v>
      </c>
      <c r="E158" s="1" t="s">
        <v>209</v>
      </c>
      <c r="F158" s="1" t="s">
        <v>405</v>
      </c>
      <c r="G158" s="1" t="s">
        <v>215</v>
      </c>
      <c r="H158" s="1">
        <v>6</v>
      </c>
      <c r="I158" s="1">
        <v>0.43187500000000001</v>
      </c>
      <c r="K158" s="1" t="s">
        <v>181</v>
      </c>
    </row>
    <row r="159" spans="1:11" x14ac:dyDescent="0.25">
      <c r="A159" s="1" t="s">
        <v>691</v>
      </c>
      <c r="B159" s="1" t="s">
        <v>692</v>
      </c>
      <c r="D159" s="1" t="s">
        <v>693</v>
      </c>
      <c r="E159" s="1" t="s">
        <v>209</v>
      </c>
      <c r="F159" s="1" t="s">
        <v>405</v>
      </c>
      <c r="G159" s="1" t="s">
        <v>215</v>
      </c>
      <c r="H159" s="1">
        <v>6</v>
      </c>
      <c r="I159" s="1">
        <v>0.43187500000000001</v>
      </c>
      <c r="K159" s="1" t="s">
        <v>181</v>
      </c>
    </row>
    <row r="160" spans="1:11" x14ac:dyDescent="0.25">
      <c r="A160" s="1" t="s">
        <v>694</v>
      </c>
      <c r="B160" s="1" t="s">
        <v>695</v>
      </c>
      <c r="D160" s="1" t="s">
        <v>696</v>
      </c>
      <c r="E160" s="1" t="s">
        <v>209</v>
      </c>
      <c r="F160" s="1" t="s">
        <v>405</v>
      </c>
      <c r="G160" s="1" t="s">
        <v>215</v>
      </c>
      <c r="H160" s="1">
        <v>6</v>
      </c>
      <c r="I160" s="1">
        <v>0.43187500000000001</v>
      </c>
      <c r="K160" s="1" t="s">
        <v>181</v>
      </c>
    </row>
    <row r="161" spans="1:11" x14ac:dyDescent="0.25">
      <c r="A161" s="1" t="s">
        <v>697</v>
      </c>
      <c r="B161" s="1" t="s">
        <v>698</v>
      </c>
      <c r="D161" s="1" t="s">
        <v>699</v>
      </c>
      <c r="E161" s="1" t="s">
        <v>209</v>
      </c>
      <c r="F161" s="1" t="s">
        <v>405</v>
      </c>
      <c r="G161" s="1" t="s">
        <v>215</v>
      </c>
      <c r="H161" s="1">
        <v>6</v>
      </c>
      <c r="I161" s="1">
        <v>0.43187500000000001</v>
      </c>
      <c r="K161" s="1" t="s">
        <v>181</v>
      </c>
    </row>
    <row r="162" spans="1:11" x14ac:dyDescent="0.25">
      <c r="A162" s="1" t="s">
        <v>700</v>
      </c>
      <c r="B162" s="1" t="s">
        <v>701</v>
      </c>
      <c r="D162" s="1" t="s">
        <v>702</v>
      </c>
      <c r="E162" s="1" t="s">
        <v>209</v>
      </c>
      <c r="F162" s="1" t="s">
        <v>405</v>
      </c>
      <c r="G162" s="1" t="s">
        <v>215</v>
      </c>
      <c r="H162" s="1">
        <v>6</v>
      </c>
      <c r="I162" s="1">
        <v>0.43187500000000001</v>
      </c>
      <c r="K162" s="1" t="s">
        <v>181</v>
      </c>
    </row>
    <row r="163" spans="1:11" x14ac:dyDescent="0.25">
      <c r="A163" s="1" t="s">
        <v>703</v>
      </c>
      <c r="B163" s="1" t="s">
        <v>704</v>
      </c>
      <c r="D163" s="1" t="s">
        <v>705</v>
      </c>
      <c r="E163" s="1" t="s">
        <v>209</v>
      </c>
      <c r="F163" s="1" t="s">
        <v>405</v>
      </c>
      <c r="G163" s="1" t="s">
        <v>215</v>
      </c>
      <c r="H163" s="1">
        <v>6</v>
      </c>
      <c r="I163" s="1">
        <v>0.43187500000000001</v>
      </c>
      <c r="K163" s="1" t="s">
        <v>181</v>
      </c>
    </row>
    <row r="164" spans="1:11" x14ac:dyDescent="0.25">
      <c r="A164" s="1" t="s">
        <v>706</v>
      </c>
      <c r="B164" s="1" t="s">
        <v>707</v>
      </c>
      <c r="D164" s="1" t="s">
        <v>708</v>
      </c>
      <c r="E164" s="1" t="s">
        <v>209</v>
      </c>
      <c r="F164" s="1" t="s">
        <v>405</v>
      </c>
      <c r="G164" s="1" t="s">
        <v>215</v>
      </c>
      <c r="H164" s="1">
        <v>6</v>
      </c>
      <c r="I164" s="1">
        <v>0.43187500000000001</v>
      </c>
      <c r="K164" s="1" t="s">
        <v>181</v>
      </c>
    </row>
    <row r="165" spans="1:11" x14ac:dyDescent="0.25">
      <c r="A165" s="1" t="s">
        <v>709</v>
      </c>
      <c r="B165" s="1" t="s">
        <v>710</v>
      </c>
      <c r="D165" s="1" t="s">
        <v>711</v>
      </c>
      <c r="E165" s="1" t="s">
        <v>209</v>
      </c>
      <c r="F165" s="1" t="s">
        <v>405</v>
      </c>
      <c r="G165" s="1" t="s">
        <v>215</v>
      </c>
      <c r="H165" s="1">
        <v>6</v>
      </c>
      <c r="I165" s="1">
        <v>0.43187500000000001</v>
      </c>
      <c r="K165" s="1" t="s">
        <v>181</v>
      </c>
    </row>
    <row r="166" spans="1:11" x14ac:dyDescent="0.25">
      <c r="A166" s="1" t="s">
        <v>712</v>
      </c>
      <c r="B166" s="1" t="s">
        <v>713</v>
      </c>
      <c r="D166" s="1" t="s">
        <v>714</v>
      </c>
      <c r="E166" s="1" t="s">
        <v>209</v>
      </c>
      <c r="F166" s="1" t="s">
        <v>405</v>
      </c>
      <c r="G166" s="1" t="s">
        <v>215</v>
      </c>
      <c r="H166" s="1">
        <v>6</v>
      </c>
      <c r="I166" s="1">
        <v>0.43187500000000001</v>
      </c>
      <c r="K166" s="1" t="s">
        <v>181</v>
      </c>
    </row>
    <row r="167" spans="1:11" x14ac:dyDescent="0.25">
      <c r="A167" s="1" t="s">
        <v>715</v>
      </c>
      <c r="B167" s="1" t="s">
        <v>716</v>
      </c>
      <c r="D167" s="1" t="s">
        <v>717</v>
      </c>
      <c r="E167" s="1" t="s">
        <v>209</v>
      </c>
      <c r="F167" s="1" t="s">
        <v>405</v>
      </c>
      <c r="G167" s="1" t="s">
        <v>215</v>
      </c>
      <c r="H167" s="1">
        <v>6</v>
      </c>
      <c r="I167" s="1">
        <v>0.43187500000000001</v>
      </c>
      <c r="K167" s="1" t="s">
        <v>181</v>
      </c>
    </row>
    <row r="168" spans="1:11" x14ac:dyDescent="0.25">
      <c r="A168" s="1" t="s">
        <v>718</v>
      </c>
      <c r="B168" s="1" t="s">
        <v>719</v>
      </c>
      <c r="D168" s="1" t="s">
        <v>720</v>
      </c>
      <c r="E168" s="1" t="s">
        <v>209</v>
      </c>
      <c r="F168" s="1" t="s">
        <v>405</v>
      </c>
      <c r="G168" s="1" t="s">
        <v>215</v>
      </c>
      <c r="H168" s="1">
        <v>6</v>
      </c>
      <c r="I168" s="1">
        <v>0.43187500000000001</v>
      </c>
      <c r="K168" s="1" t="s">
        <v>181</v>
      </c>
    </row>
    <row r="169" spans="1:11" x14ac:dyDescent="0.25">
      <c r="A169" s="1" t="s">
        <v>721</v>
      </c>
      <c r="B169" s="1" t="s">
        <v>722</v>
      </c>
      <c r="D169" s="1" t="s">
        <v>723</v>
      </c>
      <c r="E169" s="1" t="s">
        <v>209</v>
      </c>
      <c r="F169" s="1" t="s">
        <v>405</v>
      </c>
      <c r="G169" s="1" t="s">
        <v>215</v>
      </c>
      <c r="H169" s="1">
        <v>6</v>
      </c>
      <c r="I169" s="1">
        <v>0.43187500000000001</v>
      </c>
      <c r="K169" s="1" t="s">
        <v>181</v>
      </c>
    </row>
    <row r="170" spans="1:11" x14ac:dyDescent="0.25">
      <c r="A170" s="1" t="s">
        <v>724</v>
      </c>
      <c r="B170" s="1" t="s">
        <v>725</v>
      </c>
      <c r="D170" s="1" t="s">
        <v>726</v>
      </c>
      <c r="E170" s="1" t="s">
        <v>209</v>
      </c>
      <c r="F170" s="1" t="s">
        <v>405</v>
      </c>
      <c r="G170" s="1" t="s">
        <v>215</v>
      </c>
      <c r="H170" s="1">
        <v>6</v>
      </c>
      <c r="I170" s="1">
        <v>0.43187500000000001</v>
      </c>
      <c r="K170" s="1" t="s">
        <v>181</v>
      </c>
    </row>
    <row r="171" spans="1:11" x14ac:dyDescent="0.25">
      <c r="A171" s="1" t="s">
        <v>727</v>
      </c>
      <c r="B171" s="1" t="s">
        <v>728</v>
      </c>
      <c r="D171" s="1" t="s">
        <v>729</v>
      </c>
      <c r="E171" s="1" t="s">
        <v>209</v>
      </c>
      <c r="F171" s="1" t="s">
        <v>405</v>
      </c>
      <c r="G171" s="1" t="s">
        <v>215</v>
      </c>
      <c r="H171" s="1">
        <v>6</v>
      </c>
      <c r="I171" s="1">
        <v>0.43187500000000001</v>
      </c>
      <c r="K171" s="1" t="s">
        <v>181</v>
      </c>
    </row>
    <row r="172" spans="1:11" x14ac:dyDescent="0.25">
      <c r="A172" s="1" t="s">
        <v>730</v>
      </c>
      <c r="B172" s="1" t="s">
        <v>731</v>
      </c>
      <c r="D172" s="1" t="s">
        <v>732</v>
      </c>
      <c r="E172" s="1" t="s">
        <v>209</v>
      </c>
      <c r="F172" s="1" t="s">
        <v>405</v>
      </c>
      <c r="G172" s="1" t="s">
        <v>211</v>
      </c>
      <c r="H172" s="1">
        <v>6</v>
      </c>
      <c r="I172" s="1">
        <v>0.43187500000000001</v>
      </c>
      <c r="K172" s="1" t="s">
        <v>181</v>
      </c>
    </row>
    <row r="173" spans="1:11" x14ac:dyDescent="0.25">
      <c r="A173" s="1" t="s">
        <v>733</v>
      </c>
      <c r="B173" s="1" t="s">
        <v>734</v>
      </c>
      <c r="D173" s="1" t="s">
        <v>735</v>
      </c>
      <c r="E173" s="1" t="s">
        <v>209</v>
      </c>
      <c r="F173" s="1" t="s">
        <v>405</v>
      </c>
      <c r="G173" s="1" t="s">
        <v>211</v>
      </c>
      <c r="H173" s="1">
        <v>6</v>
      </c>
      <c r="I173" s="1">
        <v>0.43187500000000001</v>
      </c>
      <c r="K173" s="1" t="s">
        <v>181</v>
      </c>
    </row>
    <row r="174" spans="1:11" x14ac:dyDescent="0.25">
      <c r="A174" s="1" t="s">
        <v>736</v>
      </c>
      <c r="B174" s="1" t="s">
        <v>737</v>
      </c>
      <c r="D174" s="1" t="s">
        <v>738</v>
      </c>
      <c r="E174" s="1" t="s">
        <v>209</v>
      </c>
      <c r="F174" s="1" t="s">
        <v>405</v>
      </c>
      <c r="G174" s="1" t="s">
        <v>215</v>
      </c>
      <c r="H174" s="1">
        <v>6</v>
      </c>
      <c r="I174" s="1">
        <v>0.43187500000000001</v>
      </c>
      <c r="K174" s="1" t="s">
        <v>181</v>
      </c>
    </row>
    <row r="175" spans="1:11" x14ac:dyDescent="0.25">
      <c r="A175" s="1" t="s">
        <v>739</v>
      </c>
      <c r="B175" s="1" t="s">
        <v>740</v>
      </c>
      <c r="D175" s="1" t="s">
        <v>741</v>
      </c>
      <c r="E175" s="1" t="s">
        <v>209</v>
      </c>
      <c r="F175" s="1" t="s">
        <v>405</v>
      </c>
      <c r="G175" s="1" t="s">
        <v>215</v>
      </c>
      <c r="H175" s="1">
        <v>6</v>
      </c>
      <c r="I175" s="1">
        <v>0.43187500000000001</v>
      </c>
      <c r="K175" s="1" t="s">
        <v>181</v>
      </c>
    </row>
    <row r="176" spans="1:11" x14ac:dyDescent="0.25">
      <c r="A176" s="1" t="s">
        <v>742</v>
      </c>
      <c r="B176" s="1" t="s">
        <v>743</v>
      </c>
      <c r="D176" s="1" t="s">
        <v>744</v>
      </c>
      <c r="E176" s="1" t="s">
        <v>209</v>
      </c>
      <c r="F176" s="1" t="s">
        <v>405</v>
      </c>
      <c r="G176" s="1" t="s">
        <v>215</v>
      </c>
      <c r="H176" s="1">
        <v>6</v>
      </c>
      <c r="I176" s="1">
        <v>0.43187500000000001</v>
      </c>
      <c r="K176" s="1" t="s">
        <v>181</v>
      </c>
    </row>
    <row r="177" spans="1:11" x14ac:dyDescent="0.25">
      <c r="A177" s="1" t="s">
        <v>745</v>
      </c>
      <c r="B177" s="1" t="s">
        <v>746</v>
      </c>
      <c r="D177" s="1" t="s">
        <v>747</v>
      </c>
      <c r="E177" s="1" t="s">
        <v>209</v>
      </c>
      <c r="F177" s="1" t="s">
        <v>405</v>
      </c>
      <c r="G177" s="1" t="s">
        <v>215</v>
      </c>
      <c r="H177" s="1">
        <v>6</v>
      </c>
      <c r="I177" s="1">
        <v>0.43187500000000001</v>
      </c>
      <c r="K177" s="1" t="s">
        <v>181</v>
      </c>
    </row>
    <row r="178" spans="1:11" x14ac:dyDescent="0.25">
      <c r="A178" s="1" t="s">
        <v>748</v>
      </c>
      <c r="B178" s="1" t="s">
        <v>749</v>
      </c>
      <c r="D178" s="1" t="s">
        <v>750</v>
      </c>
      <c r="E178" s="1" t="s">
        <v>209</v>
      </c>
      <c r="F178" s="1" t="s">
        <v>405</v>
      </c>
      <c r="G178" s="1" t="s">
        <v>211</v>
      </c>
      <c r="H178" s="1">
        <v>6</v>
      </c>
      <c r="I178" s="1">
        <v>0.43187500000000001</v>
      </c>
      <c r="K178" s="1" t="s">
        <v>181</v>
      </c>
    </row>
    <row r="179" spans="1:11" x14ac:dyDescent="0.25">
      <c r="A179" s="1" t="s">
        <v>751</v>
      </c>
      <c r="B179" s="1" t="s">
        <v>752</v>
      </c>
      <c r="D179" s="1" t="s">
        <v>753</v>
      </c>
      <c r="E179" s="1" t="s">
        <v>209</v>
      </c>
      <c r="F179" s="1" t="s">
        <v>405</v>
      </c>
      <c r="G179" s="1" t="s">
        <v>215</v>
      </c>
      <c r="H179" s="1">
        <v>6</v>
      </c>
      <c r="I179" s="1">
        <v>0.43187500000000001</v>
      </c>
      <c r="K179" s="1" t="s">
        <v>181</v>
      </c>
    </row>
    <row r="180" spans="1:11" x14ac:dyDescent="0.25">
      <c r="A180" s="1" t="s">
        <v>754</v>
      </c>
      <c r="B180" s="1" t="s">
        <v>755</v>
      </c>
      <c r="D180" s="1" t="s">
        <v>756</v>
      </c>
      <c r="E180" s="1" t="s">
        <v>209</v>
      </c>
      <c r="F180" s="1" t="s">
        <v>405</v>
      </c>
      <c r="G180" s="1" t="s">
        <v>211</v>
      </c>
      <c r="H180" s="1">
        <v>6</v>
      </c>
      <c r="I180" s="1">
        <v>0.43187500000000001</v>
      </c>
      <c r="K180" s="1" t="s">
        <v>181</v>
      </c>
    </row>
    <row r="181" spans="1:11" x14ac:dyDescent="0.25">
      <c r="A181" s="1" t="s">
        <v>757</v>
      </c>
      <c r="B181" s="1" t="s">
        <v>758</v>
      </c>
      <c r="D181" s="1" t="s">
        <v>759</v>
      </c>
      <c r="E181" s="1" t="s">
        <v>209</v>
      </c>
      <c r="F181" s="1" t="s">
        <v>405</v>
      </c>
      <c r="G181" s="1" t="s">
        <v>211</v>
      </c>
      <c r="H181" s="1">
        <v>6</v>
      </c>
      <c r="I181" s="1">
        <v>0.43187500000000001</v>
      </c>
      <c r="K181" s="1" t="s">
        <v>181</v>
      </c>
    </row>
    <row r="182" spans="1:11" x14ac:dyDescent="0.25">
      <c r="A182" s="1" t="s">
        <v>760</v>
      </c>
      <c r="B182" s="1" t="s">
        <v>761</v>
      </c>
      <c r="D182" s="1" t="s">
        <v>762</v>
      </c>
      <c r="E182" s="1" t="s">
        <v>209</v>
      </c>
      <c r="F182" s="1" t="s">
        <v>405</v>
      </c>
      <c r="G182" s="1" t="s">
        <v>215</v>
      </c>
      <c r="H182" s="1">
        <v>6</v>
      </c>
      <c r="I182" s="1">
        <v>0.43187500000000001</v>
      </c>
      <c r="K182" s="1" t="s">
        <v>181</v>
      </c>
    </row>
    <row r="183" spans="1:11" x14ac:dyDescent="0.25">
      <c r="A183" s="1" t="s">
        <v>763</v>
      </c>
      <c r="B183" s="1" t="s">
        <v>764</v>
      </c>
      <c r="D183" s="1" t="s">
        <v>765</v>
      </c>
      <c r="E183" s="1" t="s">
        <v>209</v>
      </c>
      <c r="F183" s="1" t="s">
        <v>405</v>
      </c>
      <c r="G183" s="1" t="s">
        <v>215</v>
      </c>
      <c r="H183" s="1">
        <v>6</v>
      </c>
      <c r="I183" s="1">
        <v>0.43187500000000001</v>
      </c>
      <c r="K183" s="1" t="s">
        <v>181</v>
      </c>
    </row>
    <row r="184" spans="1:11" x14ac:dyDescent="0.25">
      <c r="A184" s="1" t="s">
        <v>766</v>
      </c>
      <c r="B184" s="1" t="s">
        <v>767</v>
      </c>
      <c r="D184" s="1" t="s">
        <v>768</v>
      </c>
      <c r="E184" s="1" t="s">
        <v>209</v>
      </c>
      <c r="F184" s="1" t="s">
        <v>405</v>
      </c>
      <c r="G184" s="1" t="s">
        <v>215</v>
      </c>
      <c r="H184" s="1">
        <v>6</v>
      </c>
      <c r="I184" s="1">
        <v>0.43187500000000001</v>
      </c>
      <c r="K184" s="1" t="s">
        <v>181</v>
      </c>
    </row>
    <row r="185" spans="1:11" x14ac:dyDescent="0.25">
      <c r="A185" s="1" t="s">
        <v>769</v>
      </c>
      <c r="B185" s="1" t="s">
        <v>770</v>
      </c>
      <c r="D185" s="1" t="s">
        <v>771</v>
      </c>
      <c r="E185" s="1" t="s">
        <v>209</v>
      </c>
      <c r="F185" s="1" t="s">
        <v>405</v>
      </c>
      <c r="G185" s="1" t="s">
        <v>211</v>
      </c>
      <c r="H185" s="1">
        <v>6</v>
      </c>
      <c r="I185" s="1">
        <v>0.43187500000000001</v>
      </c>
      <c r="K185" s="1" t="s">
        <v>181</v>
      </c>
    </row>
    <row r="186" spans="1:11" x14ac:dyDescent="0.25">
      <c r="A186" s="1" t="s">
        <v>772</v>
      </c>
      <c r="B186" s="1" t="s">
        <v>773</v>
      </c>
      <c r="D186" s="1" t="s">
        <v>774</v>
      </c>
      <c r="E186" s="1" t="s">
        <v>209</v>
      </c>
      <c r="F186" s="1" t="s">
        <v>405</v>
      </c>
      <c r="G186" s="1" t="s">
        <v>215</v>
      </c>
      <c r="H186" s="1">
        <v>6</v>
      </c>
      <c r="I186" s="1">
        <v>0.43187500000000001</v>
      </c>
      <c r="K186" s="1" t="s">
        <v>181</v>
      </c>
    </row>
    <row r="187" spans="1:11" x14ac:dyDescent="0.25">
      <c r="A187" s="1" t="s">
        <v>775</v>
      </c>
      <c r="B187" s="1" t="s">
        <v>776</v>
      </c>
      <c r="D187" s="1" t="s">
        <v>777</v>
      </c>
      <c r="E187" s="1" t="s">
        <v>209</v>
      </c>
      <c r="F187" s="1" t="s">
        <v>405</v>
      </c>
      <c r="G187" s="1" t="s">
        <v>215</v>
      </c>
      <c r="H187" s="1">
        <v>6</v>
      </c>
      <c r="I187" s="1">
        <v>0.43187500000000001</v>
      </c>
      <c r="K187" s="1" t="s">
        <v>181</v>
      </c>
    </row>
    <row r="188" spans="1:11" x14ac:dyDescent="0.25">
      <c r="A188" s="1" t="s">
        <v>778</v>
      </c>
      <c r="B188" s="1" t="s">
        <v>779</v>
      </c>
      <c r="D188" s="1" t="s">
        <v>780</v>
      </c>
      <c r="E188" s="1" t="s">
        <v>209</v>
      </c>
      <c r="F188" s="1" t="s">
        <v>405</v>
      </c>
      <c r="G188" s="1" t="s">
        <v>215</v>
      </c>
      <c r="H188" s="1">
        <v>6</v>
      </c>
      <c r="I188" s="1">
        <v>0.43187500000000001</v>
      </c>
      <c r="K188" s="1" t="s">
        <v>181</v>
      </c>
    </row>
    <row r="189" spans="1:11" x14ac:dyDescent="0.25">
      <c r="A189" s="1" t="s">
        <v>781</v>
      </c>
      <c r="B189" s="1" t="s">
        <v>782</v>
      </c>
      <c r="D189" s="1" t="s">
        <v>783</v>
      </c>
      <c r="E189" s="1" t="s">
        <v>209</v>
      </c>
      <c r="F189" s="1" t="s">
        <v>405</v>
      </c>
      <c r="G189" s="1" t="s">
        <v>215</v>
      </c>
      <c r="H189" s="1">
        <v>6</v>
      </c>
      <c r="I189" s="1">
        <v>0.43187500000000001</v>
      </c>
      <c r="K189" s="1" t="s">
        <v>181</v>
      </c>
    </row>
    <row r="190" spans="1:11" x14ac:dyDescent="0.25">
      <c r="A190" s="1" t="s">
        <v>784</v>
      </c>
      <c r="B190" s="1" t="s">
        <v>785</v>
      </c>
      <c r="D190" s="1" t="s">
        <v>786</v>
      </c>
      <c r="E190" s="1" t="s">
        <v>209</v>
      </c>
      <c r="F190" s="1" t="s">
        <v>405</v>
      </c>
      <c r="G190" s="1" t="s">
        <v>215</v>
      </c>
      <c r="H190" s="1">
        <v>6</v>
      </c>
      <c r="I190" s="1">
        <v>0.43187500000000001</v>
      </c>
      <c r="K190" s="1" t="s">
        <v>181</v>
      </c>
    </row>
    <row r="191" spans="1:11" x14ac:dyDescent="0.25">
      <c r="A191" s="1" t="s">
        <v>787</v>
      </c>
      <c r="B191" s="1" t="s">
        <v>788</v>
      </c>
      <c r="D191" s="1" t="s">
        <v>789</v>
      </c>
      <c r="E191" s="1" t="s">
        <v>209</v>
      </c>
      <c r="F191" s="1" t="s">
        <v>405</v>
      </c>
      <c r="G191" s="1" t="s">
        <v>215</v>
      </c>
      <c r="H191" s="1">
        <v>6</v>
      </c>
      <c r="I191" s="1">
        <v>0.43187500000000001</v>
      </c>
      <c r="K191" s="1" t="s">
        <v>181</v>
      </c>
    </row>
    <row r="192" spans="1:11" x14ac:dyDescent="0.25">
      <c r="A192" s="1" t="s">
        <v>790</v>
      </c>
      <c r="B192" s="1" t="s">
        <v>791</v>
      </c>
      <c r="D192" s="1" t="s">
        <v>792</v>
      </c>
      <c r="E192" s="1" t="s">
        <v>209</v>
      </c>
      <c r="F192" s="1" t="s">
        <v>405</v>
      </c>
      <c r="G192" s="1" t="s">
        <v>215</v>
      </c>
      <c r="H192" s="1">
        <v>6</v>
      </c>
      <c r="I192" s="1">
        <v>0.43187500000000001</v>
      </c>
      <c r="K192" s="1" t="s">
        <v>181</v>
      </c>
    </row>
    <row r="193" spans="1:11" x14ac:dyDescent="0.25">
      <c r="A193" s="1" t="s">
        <v>793</v>
      </c>
      <c r="B193" s="1" t="s">
        <v>794</v>
      </c>
      <c r="D193" s="1" t="s">
        <v>795</v>
      </c>
      <c r="E193" s="1" t="s">
        <v>209</v>
      </c>
      <c r="F193" s="1" t="s">
        <v>405</v>
      </c>
      <c r="G193" s="1" t="s">
        <v>215</v>
      </c>
      <c r="H193" s="1">
        <v>6</v>
      </c>
      <c r="I193" s="1">
        <v>0.43187500000000001</v>
      </c>
      <c r="K193" s="1" t="s">
        <v>181</v>
      </c>
    </row>
    <row r="194" spans="1:11" x14ac:dyDescent="0.25">
      <c r="A194" s="1" t="s">
        <v>796</v>
      </c>
      <c r="B194" s="1" t="s">
        <v>797</v>
      </c>
      <c r="D194" s="1" t="s">
        <v>798</v>
      </c>
      <c r="E194" s="1" t="s">
        <v>209</v>
      </c>
      <c r="F194" s="1" t="s">
        <v>405</v>
      </c>
      <c r="G194" s="1" t="s">
        <v>211</v>
      </c>
      <c r="H194" s="1">
        <v>6</v>
      </c>
      <c r="I194" s="1">
        <v>0.43187500000000001</v>
      </c>
      <c r="K194" s="1" t="s">
        <v>181</v>
      </c>
    </row>
    <row r="195" spans="1:11" x14ac:dyDescent="0.25">
      <c r="A195" s="1" t="s">
        <v>799</v>
      </c>
      <c r="B195" s="1" t="s">
        <v>800</v>
      </c>
      <c r="D195" s="1" t="s">
        <v>801</v>
      </c>
      <c r="E195" s="1" t="s">
        <v>209</v>
      </c>
      <c r="F195" s="1" t="s">
        <v>405</v>
      </c>
      <c r="G195" s="1" t="s">
        <v>215</v>
      </c>
      <c r="H195" s="1">
        <v>6</v>
      </c>
      <c r="I195" s="1">
        <v>0.43187500000000001</v>
      </c>
      <c r="K195" s="1" t="s">
        <v>181</v>
      </c>
    </row>
    <row r="196" spans="1:11" x14ac:dyDescent="0.25">
      <c r="A196" s="1" t="s">
        <v>802</v>
      </c>
      <c r="B196" s="1" t="s">
        <v>803</v>
      </c>
      <c r="D196" s="1" t="s">
        <v>804</v>
      </c>
      <c r="E196" s="1" t="s">
        <v>209</v>
      </c>
      <c r="F196" s="1" t="s">
        <v>405</v>
      </c>
      <c r="G196" s="1" t="s">
        <v>211</v>
      </c>
      <c r="H196" s="1">
        <v>6</v>
      </c>
      <c r="I196" s="1">
        <v>0.43187500000000001</v>
      </c>
      <c r="K196" s="1" t="s">
        <v>181</v>
      </c>
    </row>
    <row r="197" spans="1:11" x14ac:dyDescent="0.25">
      <c r="A197" s="1" t="s">
        <v>805</v>
      </c>
      <c r="B197" s="1" t="s">
        <v>806</v>
      </c>
      <c r="D197" s="1" t="s">
        <v>807</v>
      </c>
      <c r="E197" s="1" t="s">
        <v>209</v>
      </c>
      <c r="F197" s="1" t="s">
        <v>405</v>
      </c>
      <c r="G197" s="1" t="s">
        <v>215</v>
      </c>
      <c r="H197" s="1">
        <v>6</v>
      </c>
      <c r="I197" s="1">
        <v>0.43187500000000001</v>
      </c>
      <c r="K197" s="1" t="s">
        <v>181</v>
      </c>
    </row>
    <row r="198" spans="1:11" x14ac:dyDescent="0.25">
      <c r="A198" s="1" t="s">
        <v>808</v>
      </c>
      <c r="B198" s="1" t="s">
        <v>809</v>
      </c>
      <c r="D198" s="1" t="s">
        <v>810</v>
      </c>
      <c r="E198" s="1" t="s">
        <v>209</v>
      </c>
      <c r="F198" s="1" t="s">
        <v>405</v>
      </c>
      <c r="G198" s="1" t="s">
        <v>211</v>
      </c>
      <c r="H198" s="1">
        <v>6</v>
      </c>
      <c r="I198" s="1">
        <v>0.43187500000000001</v>
      </c>
      <c r="K198" s="1" t="s">
        <v>181</v>
      </c>
    </row>
    <row r="199" spans="1:11" x14ac:dyDescent="0.25">
      <c r="A199" s="1" t="s">
        <v>811</v>
      </c>
      <c r="B199" s="1" t="s">
        <v>812</v>
      </c>
      <c r="D199" s="1" t="s">
        <v>813</v>
      </c>
      <c r="E199" s="1" t="s">
        <v>209</v>
      </c>
      <c r="F199" s="1" t="s">
        <v>405</v>
      </c>
      <c r="G199" s="1" t="s">
        <v>211</v>
      </c>
      <c r="H199" s="1">
        <v>6</v>
      </c>
      <c r="I199" s="1">
        <v>0.43187500000000001</v>
      </c>
      <c r="K199" s="1" t="s">
        <v>181</v>
      </c>
    </row>
    <row r="200" spans="1:11" x14ac:dyDescent="0.25">
      <c r="A200" s="1" t="s">
        <v>814</v>
      </c>
      <c r="B200" s="1" t="s">
        <v>815</v>
      </c>
      <c r="D200" s="1" t="s">
        <v>816</v>
      </c>
      <c r="E200" s="1" t="s">
        <v>209</v>
      </c>
      <c r="F200" s="1" t="s">
        <v>405</v>
      </c>
      <c r="G200" s="1" t="s">
        <v>215</v>
      </c>
      <c r="H200" s="1">
        <v>6</v>
      </c>
      <c r="I200" s="1">
        <v>0.43187500000000001</v>
      </c>
      <c r="K200" s="1" t="s">
        <v>181</v>
      </c>
    </row>
    <row r="201" spans="1:11" x14ac:dyDescent="0.25">
      <c r="A201" s="1" t="s">
        <v>817</v>
      </c>
      <c r="B201" s="1" t="s">
        <v>818</v>
      </c>
      <c r="D201" s="1" t="s">
        <v>819</v>
      </c>
      <c r="E201" s="1" t="s">
        <v>209</v>
      </c>
      <c r="F201" s="1" t="s">
        <v>405</v>
      </c>
      <c r="G201" s="1" t="s">
        <v>215</v>
      </c>
      <c r="H201" s="1">
        <v>6</v>
      </c>
      <c r="I201" s="1">
        <v>0.43187500000000001</v>
      </c>
      <c r="K201" s="1" t="s">
        <v>181</v>
      </c>
    </row>
    <row r="202" spans="1:11" x14ac:dyDescent="0.25">
      <c r="A202" s="1" t="s">
        <v>820</v>
      </c>
      <c r="B202" s="1" t="s">
        <v>821</v>
      </c>
      <c r="D202" s="1" t="s">
        <v>822</v>
      </c>
      <c r="E202" s="1" t="s">
        <v>209</v>
      </c>
      <c r="F202" s="1" t="s">
        <v>405</v>
      </c>
      <c r="G202" s="1" t="s">
        <v>211</v>
      </c>
      <c r="H202" s="1">
        <v>6</v>
      </c>
      <c r="I202" s="1">
        <v>0.43187500000000001</v>
      </c>
      <c r="K202" s="1" t="s">
        <v>181</v>
      </c>
    </row>
    <row r="203" spans="1:11" x14ac:dyDescent="0.25">
      <c r="A203" s="1" t="s">
        <v>823</v>
      </c>
      <c r="B203" s="1" t="s">
        <v>824</v>
      </c>
      <c r="D203" s="1" t="s">
        <v>825</v>
      </c>
      <c r="E203" s="1" t="s">
        <v>209</v>
      </c>
      <c r="F203" s="1" t="s">
        <v>405</v>
      </c>
      <c r="G203" s="1" t="s">
        <v>211</v>
      </c>
      <c r="H203" s="1">
        <v>6</v>
      </c>
      <c r="I203" s="1">
        <v>0.43187500000000001</v>
      </c>
      <c r="K203" s="1" t="s">
        <v>181</v>
      </c>
    </row>
    <row r="204" spans="1:11" x14ac:dyDescent="0.25">
      <c r="A204" s="1" t="s">
        <v>826</v>
      </c>
      <c r="B204" s="1" t="s">
        <v>827</v>
      </c>
      <c r="D204" s="1" t="s">
        <v>828</v>
      </c>
      <c r="E204" s="1" t="s">
        <v>209</v>
      </c>
      <c r="F204" s="1" t="s">
        <v>405</v>
      </c>
      <c r="G204" s="1" t="s">
        <v>215</v>
      </c>
      <c r="H204" s="1">
        <v>6</v>
      </c>
      <c r="I204" s="1">
        <v>0.43187500000000001</v>
      </c>
      <c r="K204" s="1" t="s">
        <v>181</v>
      </c>
    </row>
    <row r="205" spans="1:11" x14ac:dyDescent="0.25">
      <c r="A205" s="1" t="s">
        <v>829</v>
      </c>
      <c r="B205" s="1" t="s">
        <v>830</v>
      </c>
      <c r="D205" s="1" t="s">
        <v>831</v>
      </c>
      <c r="E205" s="1" t="s">
        <v>209</v>
      </c>
      <c r="F205" s="1" t="s">
        <v>405</v>
      </c>
      <c r="G205" s="1" t="s">
        <v>215</v>
      </c>
      <c r="H205" s="1">
        <v>6</v>
      </c>
      <c r="I205" s="1">
        <v>0.43187500000000001</v>
      </c>
      <c r="K205" s="1" t="s">
        <v>181</v>
      </c>
    </row>
    <row r="206" spans="1:11" x14ac:dyDescent="0.25">
      <c r="A206" s="1" t="s">
        <v>832</v>
      </c>
      <c r="B206" s="1" t="s">
        <v>833</v>
      </c>
      <c r="D206" s="1" t="s">
        <v>834</v>
      </c>
      <c r="E206" s="1" t="s">
        <v>209</v>
      </c>
      <c r="F206" s="1" t="s">
        <v>405</v>
      </c>
      <c r="G206" s="1" t="s">
        <v>211</v>
      </c>
      <c r="H206" s="1">
        <v>6</v>
      </c>
      <c r="I206" s="1">
        <v>0.43187500000000001</v>
      </c>
      <c r="K206" s="1" t="s">
        <v>181</v>
      </c>
    </row>
    <row r="207" spans="1:11" x14ac:dyDescent="0.25">
      <c r="A207" s="1" t="s">
        <v>835</v>
      </c>
      <c r="B207" s="1" t="s">
        <v>836</v>
      </c>
      <c r="D207" s="1" t="s">
        <v>837</v>
      </c>
      <c r="E207" s="1" t="s">
        <v>209</v>
      </c>
      <c r="F207" s="1" t="s">
        <v>405</v>
      </c>
      <c r="G207" s="1" t="s">
        <v>211</v>
      </c>
      <c r="H207" s="1">
        <v>6</v>
      </c>
      <c r="I207" s="1">
        <v>0.43187500000000001</v>
      </c>
      <c r="K207" s="1" t="s">
        <v>181</v>
      </c>
    </row>
    <row r="208" spans="1:11" x14ac:dyDescent="0.25">
      <c r="A208" s="1" t="s">
        <v>838</v>
      </c>
      <c r="B208" s="1" t="s">
        <v>839</v>
      </c>
      <c r="D208" s="1" t="s">
        <v>840</v>
      </c>
      <c r="E208" s="1" t="s">
        <v>209</v>
      </c>
      <c r="F208" s="1" t="s">
        <v>405</v>
      </c>
      <c r="G208" s="1" t="s">
        <v>215</v>
      </c>
      <c r="H208" s="1">
        <v>6</v>
      </c>
      <c r="I208" s="1">
        <v>0.43187500000000001</v>
      </c>
      <c r="K208" s="1" t="s">
        <v>181</v>
      </c>
    </row>
    <row r="209" spans="1:11" x14ac:dyDescent="0.25">
      <c r="A209" s="1" t="s">
        <v>841</v>
      </c>
      <c r="B209" s="1" t="s">
        <v>842</v>
      </c>
      <c r="D209" s="1" t="s">
        <v>843</v>
      </c>
      <c r="E209" s="1" t="s">
        <v>209</v>
      </c>
      <c r="F209" s="1" t="s">
        <v>405</v>
      </c>
      <c r="G209" s="1" t="s">
        <v>215</v>
      </c>
      <c r="H209" s="1">
        <v>6</v>
      </c>
      <c r="I209" s="1">
        <v>0.43187500000000001</v>
      </c>
      <c r="K209" s="1" t="s">
        <v>181</v>
      </c>
    </row>
    <row r="210" spans="1:11" x14ac:dyDescent="0.25">
      <c r="A210" s="1" t="s">
        <v>844</v>
      </c>
      <c r="B210" s="1" t="s">
        <v>845</v>
      </c>
      <c r="D210" s="1" t="s">
        <v>846</v>
      </c>
      <c r="E210" s="1" t="s">
        <v>209</v>
      </c>
      <c r="F210" s="1" t="s">
        <v>405</v>
      </c>
      <c r="G210" s="1" t="s">
        <v>211</v>
      </c>
      <c r="H210" s="1">
        <v>6</v>
      </c>
      <c r="I210" s="1">
        <v>0.43187500000000001</v>
      </c>
      <c r="K210" s="1" t="s">
        <v>181</v>
      </c>
    </row>
    <row r="211" spans="1:11" x14ac:dyDescent="0.25">
      <c r="A211" s="1" t="s">
        <v>847</v>
      </c>
      <c r="B211" s="1" t="s">
        <v>848</v>
      </c>
      <c r="D211" s="1" t="s">
        <v>849</v>
      </c>
      <c r="E211" s="1" t="s">
        <v>209</v>
      </c>
      <c r="F211" s="1" t="s">
        <v>405</v>
      </c>
      <c r="G211" s="1" t="s">
        <v>215</v>
      </c>
      <c r="H211" s="1">
        <v>6</v>
      </c>
      <c r="I211" s="1">
        <v>0.43187500000000001</v>
      </c>
      <c r="K211" s="1" t="s">
        <v>181</v>
      </c>
    </row>
    <row r="212" spans="1:11" x14ac:dyDescent="0.25">
      <c r="A212" s="1" t="s">
        <v>850</v>
      </c>
      <c r="B212" s="1" t="s">
        <v>851</v>
      </c>
      <c r="D212" s="1" t="s">
        <v>852</v>
      </c>
      <c r="E212" s="1" t="s">
        <v>209</v>
      </c>
      <c r="F212" s="1" t="s">
        <v>405</v>
      </c>
      <c r="G212" s="1" t="s">
        <v>215</v>
      </c>
      <c r="H212" s="1">
        <v>6</v>
      </c>
      <c r="I212" s="1">
        <v>0.43187500000000001</v>
      </c>
      <c r="K212" s="1" t="s">
        <v>181</v>
      </c>
    </row>
    <row r="213" spans="1:11" x14ac:dyDescent="0.25">
      <c r="A213" s="1" t="s">
        <v>853</v>
      </c>
      <c r="B213" s="1" t="s">
        <v>854</v>
      </c>
      <c r="D213" s="1" t="s">
        <v>855</v>
      </c>
      <c r="E213" s="1" t="s">
        <v>209</v>
      </c>
      <c r="F213" s="1" t="s">
        <v>405</v>
      </c>
      <c r="G213" s="1" t="s">
        <v>215</v>
      </c>
      <c r="H213" s="1">
        <v>6</v>
      </c>
      <c r="I213" s="1">
        <v>0.43187500000000001</v>
      </c>
      <c r="K213" s="1" t="s">
        <v>181</v>
      </c>
    </row>
    <row r="214" spans="1:11" x14ac:dyDescent="0.25">
      <c r="A214" s="1" t="s">
        <v>856</v>
      </c>
      <c r="B214" s="1" t="s">
        <v>857</v>
      </c>
      <c r="D214" s="1" t="s">
        <v>858</v>
      </c>
      <c r="E214" s="1" t="s">
        <v>209</v>
      </c>
      <c r="F214" s="1" t="s">
        <v>405</v>
      </c>
      <c r="G214" s="1" t="s">
        <v>215</v>
      </c>
      <c r="H214" s="1">
        <v>6</v>
      </c>
      <c r="I214" s="1">
        <v>0.43187500000000001</v>
      </c>
      <c r="K214" s="1" t="s">
        <v>181</v>
      </c>
    </row>
    <row r="215" spans="1:11" x14ac:dyDescent="0.25">
      <c r="A215" s="1" t="s">
        <v>859</v>
      </c>
      <c r="B215" s="1" t="s">
        <v>860</v>
      </c>
      <c r="D215" s="1" t="s">
        <v>861</v>
      </c>
      <c r="E215" s="1" t="s">
        <v>209</v>
      </c>
      <c r="F215" s="1" t="s">
        <v>405</v>
      </c>
      <c r="G215" s="1" t="s">
        <v>215</v>
      </c>
      <c r="H215" s="1">
        <v>6</v>
      </c>
      <c r="I215" s="1">
        <v>0.43187500000000001</v>
      </c>
      <c r="K215" s="1" t="s">
        <v>181</v>
      </c>
    </row>
    <row r="216" spans="1:11" x14ac:dyDescent="0.25">
      <c r="A216" s="1" t="s">
        <v>862</v>
      </c>
      <c r="B216" s="1" t="s">
        <v>863</v>
      </c>
      <c r="D216" s="1" t="s">
        <v>864</v>
      </c>
      <c r="E216" s="1" t="s">
        <v>209</v>
      </c>
      <c r="F216" s="1" t="s">
        <v>405</v>
      </c>
      <c r="G216" s="1" t="s">
        <v>574</v>
      </c>
      <c r="H216" s="1">
        <v>6</v>
      </c>
      <c r="I216" s="1">
        <v>0.43187500000000001</v>
      </c>
      <c r="K216" s="1" t="s">
        <v>181</v>
      </c>
    </row>
    <row r="217" spans="1:11" x14ac:dyDescent="0.25">
      <c r="A217" s="1" t="s">
        <v>865</v>
      </c>
      <c r="B217" s="1" t="s">
        <v>866</v>
      </c>
      <c r="D217" s="1" t="s">
        <v>867</v>
      </c>
      <c r="E217" s="1" t="s">
        <v>209</v>
      </c>
      <c r="F217" s="1" t="s">
        <v>405</v>
      </c>
      <c r="G217" s="1" t="s">
        <v>574</v>
      </c>
      <c r="H217" s="1">
        <v>6</v>
      </c>
      <c r="I217" s="1">
        <v>0.43187500000000001</v>
      </c>
      <c r="K217" s="1" t="s">
        <v>181</v>
      </c>
    </row>
    <row r="218" spans="1:11" x14ac:dyDescent="0.25">
      <c r="A218" s="1" t="s">
        <v>868</v>
      </c>
      <c r="B218" s="1" t="s">
        <v>869</v>
      </c>
      <c r="D218" s="1" t="s">
        <v>870</v>
      </c>
      <c r="E218" s="1" t="s">
        <v>209</v>
      </c>
      <c r="F218" s="1" t="s">
        <v>405</v>
      </c>
      <c r="G218" s="1" t="s">
        <v>215</v>
      </c>
      <c r="H218" s="1">
        <v>6</v>
      </c>
      <c r="I218" s="1">
        <v>0.43187500000000001</v>
      </c>
      <c r="K218" s="1" t="s">
        <v>181</v>
      </c>
    </row>
    <row r="219" spans="1:11" x14ac:dyDescent="0.25">
      <c r="A219" s="1" t="s">
        <v>871</v>
      </c>
      <c r="B219" s="1" t="s">
        <v>872</v>
      </c>
      <c r="D219" s="1" t="s">
        <v>873</v>
      </c>
      <c r="E219" s="1" t="s">
        <v>209</v>
      </c>
      <c r="F219" s="1" t="s">
        <v>405</v>
      </c>
      <c r="G219" s="1" t="s">
        <v>215</v>
      </c>
      <c r="H219" s="1">
        <v>6</v>
      </c>
      <c r="I219" s="1">
        <v>0.43187500000000001</v>
      </c>
      <c r="K219" s="1" t="s">
        <v>181</v>
      </c>
    </row>
    <row r="220" spans="1:11" x14ac:dyDescent="0.25">
      <c r="A220" s="1" t="s">
        <v>874</v>
      </c>
      <c r="B220" s="1" t="s">
        <v>875</v>
      </c>
      <c r="D220" s="1" t="s">
        <v>876</v>
      </c>
      <c r="E220" s="1" t="s">
        <v>209</v>
      </c>
      <c r="F220" s="1" t="s">
        <v>405</v>
      </c>
      <c r="G220" s="1" t="s">
        <v>215</v>
      </c>
      <c r="H220" s="1">
        <v>6</v>
      </c>
      <c r="I220" s="1">
        <v>0.43187500000000001</v>
      </c>
      <c r="K220" s="1" t="s">
        <v>181</v>
      </c>
    </row>
    <row r="221" spans="1:11" x14ac:dyDescent="0.25">
      <c r="A221" s="1" t="s">
        <v>877</v>
      </c>
      <c r="B221" s="1" t="s">
        <v>878</v>
      </c>
      <c r="D221" s="1" t="s">
        <v>879</v>
      </c>
      <c r="E221" s="1" t="s">
        <v>209</v>
      </c>
      <c r="F221" s="1" t="s">
        <v>405</v>
      </c>
      <c r="G221" s="1" t="s">
        <v>215</v>
      </c>
      <c r="H221" s="1">
        <v>6</v>
      </c>
      <c r="I221" s="1">
        <v>0.43187500000000001</v>
      </c>
      <c r="K221" s="1" t="s">
        <v>181</v>
      </c>
    </row>
    <row r="222" spans="1:11" x14ac:dyDescent="0.25">
      <c r="A222" s="1" t="s">
        <v>880</v>
      </c>
      <c r="B222" s="1" t="s">
        <v>881</v>
      </c>
      <c r="D222" s="1" t="s">
        <v>882</v>
      </c>
      <c r="E222" s="1" t="s">
        <v>209</v>
      </c>
      <c r="F222" s="1" t="s">
        <v>405</v>
      </c>
      <c r="G222" s="1" t="s">
        <v>215</v>
      </c>
      <c r="H222" s="1">
        <v>6</v>
      </c>
      <c r="I222" s="1">
        <v>0.43187500000000001</v>
      </c>
      <c r="K222" s="1" t="s">
        <v>181</v>
      </c>
    </row>
    <row r="223" spans="1:11" x14ac:dyDescent="0.25">
      <c r="A223" s="1" t="s">
        <v>883</v>
      </c>
      <c r="B223" s="1" t="s">
        <v>884</v>
      </c>
      <c r="D223" s="1" t="s">
        <v>885</v>
      </c>
      <c r="E223" s="1" t="s">
        <v>209</v>
      </c>
      <c r="F223" s="1" t="s">
        <v>405</v>
      </c>
      <c r="G223" s="1" t="s">
        <v>215</v>
      </c>
      <c r="H223" s="1">
        <v>6</v>
      </c>
      <c r="I223" s="1">
        <v>0.43187500000000001</v>
      </c>
      <c r="K223" s="1" t="s">
        <v>181</v>
      </c>
    </row>
    <row r="224" spans="1:11" x14ac:dyDescent="0.25">
      <c r="A224" s="1" t="s">
        <v>886</v>
      </c>
      <c r="B224" s="1" t="s">
        <v>887</v>
      </c>
      <c r="D224" s="1" t="s">
        <v>888</v>
      </c>
      <c r="E224" s="1" t="s">
        <v>209</v>
      </c>
      <c r="F224" s="1" t="s">
        <v>405</v>
      </c>
      <c r="G224" s="1" t="s">
        <v>215</v>
      </c>
      <c r="H224" s="1">
        <v>6</v>
      </c>
      <c r="I224" s="1">
        <v>0.43187500000000001</v>
      </c>
      <c r="K224" s="1" t="s">
        <v>181</v>
      </c>
    </row>
    <row r="225" spans="1:11" x14ac:dyDescent="0.25">
      <c r="A225" s="1" t="s">
        <v>889</v>
      </c>
      <c r="B225" s="1" t="s">
        <v>890</v>
      </c>
      <c r="D225" s="1" t="s">
        <v>891</v>
      </c>
      <c r="E225" s="1" t="s">
        <v>209</v>
      </c>
      <c r="F225" s="1" t="s">
        <v>405</v>
      </c>
      <c r="G225" s="1" t="s">
        <v>215</v>
      </c>
      <c r="H225" s="1">
        <v>6</v>
      </c>
      <c r="I225" s="1">
        <v>0.43187500000000001</v>
      </c>
      <c r="K225" s="1" t="s">
        <v>181</v>
      </c>
    </row>
    <row r="226" spans="1:11" x14ac:dyDescent="0.25">
      <c r="A226" s="1" t="s">
        <v>892</v>
      </c>
      <c r="B226" s="1" t="s">
        <v>893</v>
      </c>
      <c r="D226" s="1" t="s">
        <v>894</v>
      </c>
      <c r="E226" s="1" t="s">
        <v>209</v>
      </c>
      <c r="F226" s="1" t="s">
        <v>405</v>
      </c>
      <c r="G226" s="1" t="s">
        <v>215</v>
      </c>
      <c r="H226" s="1">
        <v>6</v>
      </c>
      <c r="I226" s="1">
        <v>0.43187500000000001</v>
      </c>
      <c r="K226" s="1" t="s">
        <v>181</v>
      </c>
    </row>
    <row r="227" spans="1:11" x14ac:dyDescent="0.25">
      <c r="A227" s="1" t="s">
        <v>895</v>
      </c>
      <c r="B227" s="1" t="s">
        <v>896</v>
      </c>
      <c r="D227" s="1" t="s">
        <v>897</v>
      </c>
      <c r="E227" s="1" t="s">
        <v>209</v>
      </c>
      <c r="F227" s="1" t="s">
        <v>405</v>
      </c>
      <c r="G227" s="1" t="s">
        <v>215</v>
      </c>
      <c r="H227" s="1">
        <v>6</v>
      </c>
      <c r="I227" s="1">
        <v>0.43187500000000001</v>
      </c>
      <c r="K227" s="1" t="s">
        <v>181</v>
      </c>
    </row>
    <row r="228" spans="1:11" x14ac:dyDescent="0.25">
      <c r="A228" s="1" t="s">
        <v>898</v>
      </c>
      <c r="B228" s="1" t="s">
        <v>899</v>
      </c>
      <c r="D228" s="1" t="s">
        <v>900</v>
      </c>
      <c r="E228" s="1" t="s">
        <v>209</v>
      </c>
      <c r="F228" s="1" t="s">
        <v>405</v>
      </c>
      <c r="G228" s="1" t="s">
        <v>215</v>
      </c>
      <c r="H228" s="1">
        <v>6</v>
      </c>
      <c r="I228" s="1">
        <v>0.43187500000000001</v>
      </c>
      <c r="K228" s="1" t="s">
        <v>181</v>
      </c>
    </row>
    <row r="229" spans="1:11" x14ac:dyDescent="0.25">
      <c r="A229" s="1" t="s">
        <v>901</v>
      </c>
      <c r="B229" s="1" t="s">
        <v>902</v>
      </c>
      <c r="D229" s="1" t="s">
        <v>903</v>
      </c>
      <c r="E229" s="1" t="s">
        <v>209</v>
      </c>
      <c r="F229" s="1" t="s">
        <v>405</v>
      </c>
      <c r="G229" s="1" t="s">
        <v>215</v>
      </c>
      <c r="H229" s="1">
        <v>6</v>
      </c>
      <c r="I229" s="1">
        <v>0.43187500000000001</v>
      </c>
      <c r="K229" s="1" t="s">
        <v>181</v>
      </c>
    </row>
    <row r="230" spans="1:11" x14ac:dyDescent="0.25">
      <c r="A230" s="1" t="s">
        <v>904</v>
      </c>
      <c r="B230" s="1" t="s">
        <v>905</v>
      </c>
      <c r="D230" s="1" t="s">
        <v>906</v>
      </c>
      <c r="E230" s="1" t="s">
        <v>209</v>
      </c>
      <c r="F230" s="1" t="s">
        <v>405</v>
      </c>
      <c r="G230" s="1" t="s">
        <v>215</v>
      </c>
      <c r="H230" s="1">
        <v>6</v>
      </c>
      <c r="I230" s="1">
        <v>0.43187500000000001</v>
      </c>
      <c r="K230" s="1" t="s">
        <v>181</v>
      </c>
    </row>
    <row r="231" spans="1:11" x14ac:dyDescent="0.25">
      <c r="A231" s="1" t="s">
        <v>907</v>
      </c>
      <c r="B231" s="1" t="s">
        <v>908</v>
      </c>
      <c r="D231" s="1" t="s">
        <v>909</v>
      </c>
      <c r="E231" s="1" t="s">
        <v>209</v>
      </c>
      <c r="F231" s="1" t="s">
        <v>405</v>
      </c>
      <c r="G231" s="1" t="s">
        <v>211</v>
      </c>
      <c r="H231" s="1">
        <v>6</v>
      </c>
      <c r="I231" s="1">
        <v>0.43187500000000001</v>
      </c>
      <c r="K231" s="1" t="s">
        <v>181</v>
      </c>
    </row>
    <row r="232" spans="1:11" x14ac:dyDescent="0.25">
      <c r="A232" s="1" t="s">
        <v>910</v>
      </c>
      <c r="B232" s="1" t="s">
        <v>911</v>
      </c>
      <c r="D232" s="1" t="s">
        <v>912</v>
      </c>
      <c r="E232" s="1" t="s">
        <v>209</v>
      </c>
      <c r="F232" s="1" t="s">
        <v>405</v>
      </c>
      <c r="G232" s="1" t="s">
        <v>215</v>
      </c>
      <c r="H232" s="1">
        <v>6</v>
      </c>
      <c r="I232" s="1">
        <v>0.43187500000000001</v>
      </c>
      <c r="K232" s="1" t="s">
        <v>181</v>
      </c>
    </row>
    <row r="233" spans="1:11" x14ac:dyDescent="0.25">
      <c r="A233" s="1" t="s">
        <v>913</v>
      </c>
      <c r="B233" s="1" t="s">
        <v>914</v>
      </c>
      <c r="D233" s="1" t="s">
        <v>915</v>
      </c>
      <c r="E233" s="1" t="s">
        <v>209</v>
      </c>
      <c r="F233" s="1" t="s">
        <v>405</v>
      </c>
      <c r="G233" s="1" t="s">
        <v>215</v>
      </c>
      <c r="H233" s="1">
        <v>6</v>
      </c>
      <c r="I233" s="1">
        <v>0.43187500000000001</v>
      </c>
      <c r="K233" s="1" t="s">
        <v>181</v>
      </c>
    </row>
    <row r="234" spans="1:11" x14ac:dyDescent="0.25">
      <c r="A234" s="1" t="s">
        <v>916</v>
      </c>
      <c r="B234" s="1" t="s">
        <v>917</v>
      </c>
      <c r="D234" s="1" t="s">
        <v>918</v>
      </c>
      <c r="E234" s="1" t="s">
        <v>209</v>
      </c>
      <c r="F234" s="1" t="s">
        <v>405</v>
      </c>
      <c r="G234" s="1" t="s">
        <v>211</v>
      </c>
      <c r="H234" s="1">
        <v>6</v>
      </c>
      <c r="I234" s="1">
        <v>0.43187500000000001</v>
      </c>
      <c r="K234" s="1" t="s">
        <v>181</v>
      </c>
    </row>
    <row r="235" spans="1:11" x14ac:dyDescent="0.25">
      <c r="A235" s="1" t="s">
        <v>919</v>
      </c>
      <c r="B235" s="1" t="s">
        <v>920</v>
      </c>
      <c r="D235" s="1" t="s">
        <v>921</v>
      </c>
      <c r="E235" s="1" t="s">
        <v>209</v>
      </c>
      <c r="F235" s="1" t="s">
        <v>405</v>
      </c>
      <c r="G235" s="1" t="s">
        <v>211</v>
      </c>
      <c r="H235" s="1">
        <v>6</v>
      </c>
      <c r="I235" s="1">
        <v>0.43187500000000001</v>
      </c>
      <c r="K235" s="1" t="s">
        <v>181</v>
      </c>
    </row>
    <row r="236" spans="1:11" x14ac:dyDescent="0.25">
      <c r="A236" s="1" t="s">
        <v>922</v>
      </c>
      <c r="B236" s="1" t="s">
        <v>923</v>
      </c>
      <c r="D236" s="1" t="s">
        <v>924</v>
      </c>
      <c r="E236" s="1" t="s">
        <v>209</v>
      </c>
      <c r="F236" s="1" t="s">
        <v>405</v>
      </c>
      <c r="G236" s="1" t="s">
        <v>215</v>
      </c>
      <c r="H236" s="1">
        <v>6</v>
      </c>
      <c r="I236" s="1">
        <v>0.43187500000000001</v>
      </c>
      <c r="K236" s="1" t="s">
        <v>181</v>
      </c>
    </row>
    <row r="237" spans="1:11" x14ac:dyDescent="0.25">
      <c r="A237" s="1" t="s">
        <v>925</v>
      </c>
      <c r="B237" s="1" t="s">
        <v>926</v>
      </c>
      <c r="D237" s="1" t="s">
        <v>927</v>
      </c>
      <c r="E237" s="1" t="s">
        <v>209</v>
      </c>
      <c r="F237" s="1" t="s">
        <v>405</v>
      </c>
      <c r="G237" s="1" t="s">
        <v>215</v>
      </c>
      <c r="H237" s="1">
        <v>6</v>
      </c>
      <c r="I237" s="1">
        <v>0.43187500000000001</v>
      </c>
      <c r="K237" s="1" t="s">
        <v>181</v>
      </c>
    </row>
    <row r="238" spans="1:11" x14ac:dyDescent="0.25">
      <c r="A238" s="1" t="s">
        <v>928</v>
      </c>
      <c r="B238" s="1" t="s">
        <v>929</v>
      </c>
      <c r="D238" s="1" t="s">
        <v>930</v>
      </c>
      <c r="E238" s="1" t="s">
        <v>209</v>
      </c>
      <c r="F238" s="1" t="s">
        <v>405</v>
      </c>
      <c r="G238" s="1" t="s">
        <v>215</v>
      </c>
      <c r="H238" s="1">
        <v>6</v>
      </c>
      <c r="I238" s="1">
        <v>0.43187500000000001</v>
      </c>
      <c r="K238" s="1" t="s">
        <v>181</v>
      </c>
    </row>
    <row r="239" spans="1:11" x14ac:dyDescent="0.25">
      <c r="A239" s="1" t="s">
        <v>931</v>
      </c>
      <c r="B239" s="1" t="s">
        <v>932</v>
      </c>
      <c r="D239" s="1" t="s">
        <v>933</v>
      </c>
      <c r="E239" s="1" t="s">
        <v>209</v>
      </c>
      <c r="F239" s="1" t="s">
        <v>405</v>
      </c>
      <c r="G239" s="1" t="s">
        <v>215</v>
      </c>
      <c r="H239" s="1">
        <v>6</v>
      </c>
      <c r="I239" s="1">
        <v>0.43187500000000001</v>
      </c>
      <c r="K239" s="1" t="s">
        <v>181</v>
      </c>
    </row>
    <row r="240" spans="1:11" x14ac:dyDescent="0.25">
      <c r="A240" s="1" t="s">
        <v>934</v>
      </c>
      <c r="B240" s="1" t="s">
        <v>935</v>
      </c>
      <c r="D240" s="1" t="s">
        <v>936</v>
      </c>
      <c r="E240" s="1" t="s">
        <v>209</v>
      </c>
      <c r="F240" s="1" t="s">
        <v>405</v>
      </c>
      <c r="G240" s="1" t="s">
        <v>215</v>
      </c>
      <c r="H240" s="1">
        <v>6</v>
      </c>
      <c r="I240" s="1">
        <v>0.43187500000000001</v>
      </c>
      <c r="K240" s="1" t="s">
        <v>181</v>
      </c>
    </row>
    <row r="241" spans="1:11" x14ac:dyDescent="0.25">
      <c r="A241" s="1" t="s">
        <v>937</v>
      </c>
      <c r="B241" s="1" t="s">
        <v>938</v>
      </c>
      <c r="D241" s="1" t="s">
        <v>939</v>
      </c>
      <c r="E241" s="1" t="s">
        <v>209</v>
      </c>
      <c r="F241" s="1" t="s">
        <v>405</v>
      </c>
      <c r="G241" s="1" t="s">
        <v>211</v>
      </c>
      <c r="H241" s="1">
        <v>6</v>
      </c>
      <c r="I241" s="1">
        <v>0.43187500000000001</v>
      </c>
      <c r="K241" s="1" t="s">
        <v>181</v>
      </c>
    </row>
    <row r="242" spans="1:11" x14ac:dyDescent="0.25">
      <c r="A242" s="1" t="s">
        <v>940</v>
      </c>
      <c r="B242" s="1" t="s">
        <v>941</v>
      </c>
      <c r="D242" s="1" t="s">
        <v>942</v>
      </c>
      <c r="E242" s="1" t="s">
        <v>209</v>
      </c>
      <c r="F242" s="1" t="s">
        <v>405</v>
      </c>
      <c r="G242" s="1" t="s">
        <v>215</v>
      </c>
      <c r="H242" s="1">
        <v>6</v>
      </c>
      <c r="I242" s="1">
        <v>0.43187500000000001</v>
      </c>
      <c r="K242" s="1" t="s">
        <v>181</v>
      </c>
    </row>
    <row r="243" spans="1:11" x14ac:dyDescent="0.25">
      <c r="A243" s="1" t="s">
        <v>943</v>
      </c>
      <c r="B243" s="1" t="s">
        <v>944</v>
      </c>
      <c r="D243" s="1" t="s">
        <v>945</v>
      </c>
      <c r="E243" s="1" t="s">
        <v>209</v>
      </c>
      <c r="F243" s="1" t="s">
        <v>405</v>
      </c>
      <c r="G243" s="1" t="s">
        <v>215</v>
      </c>
      <c r="H243" s="1">
        <v>6</v>
      </c>
      <c r="I243" s="1">
        <v>0.43187500000000001</v>
      </c>
      <c r="K243" s="1" t="s">
        <v>181</v>
      </c>
    </row>
    <row r="244" spans="1:11" x14ac:dyDescent="0.25">
      <c r="A244" s="1" t="s">
        <v>946</v>
      </c>
      <c r="B244" s="1" t="s">
        <v>947</v>
      </c>
      <c r="D244" s="1" t="s">
        <v>948</v>
      </c>
      <c r="E244" s="1" t="s">
        <v>209</v>
      </c>
      <c r="F244" s="1" t="s">
        <v>405</v>
      </c>
      <c r="G244" s="1" t="s">
        <v>215</v>
      </c>
      <c r="H244" s="1">
        <v>6</v>
      </c>
      <c r="I244" s="1">
        <v>0.43187500000000001</v>
      </c>
      <c r="K244" s="1" t="s">
        <v>181</v>
      </c>
    </row>
    <row r="245" spans="1:11" x14ac:dyDescent="0.25">
      <c r="A245" s="1" t="s">
        <v>949</v>
      </c>
      <c r="B245" s="1" t="s">
        <v>950</v>
      </c>
      <c r="D245" s="1" t="s">
        <v>951</v>
      </c>
      <c r="E245" s="1" t="s">
        <v>209</v>
      </c>
      <c r="F245" s="1" t="s">
        <v>405</v>
      </c>
      <c r="G245" s="1" t="s">
        <v>215</v>
      </c>
      <c r="H245" s="1">
        <v>6</v>
      </c>
      <c r="I245" s="1">
        <v>0.43187500000000001</v>
      </c>
      <c r="K245" s="1" t="s">
        <v>181</v>
      </c>
    </row>
    <row r="246" spans="1:11" x14ac:dyDescent="0.25">
      <c r="A246" s="1" t="s">
        <v>952</v>
      </c>
      <c r="B246" s="1" t="s">
        <v>953</v>
      </c>
      <c r="D246" s="1" t="s">
        <v>954</v>
      </c>
      <c r="E246" s="1" t="s">
        <v>209</v>
      </c>
      <c r="F246" s="1" t="s">
        <v>405</v>
      </c>
      <c r="G246" s="1" t="s">
        <v>215</v>
      </c>
      <c r="H246" s="1">
        <v>6</v>
      </c>
      <c r="I246" s="1">
        <v>0.43187500000000001</v>
      </c>
      <c r="K246" s="1" t="s">
        <v>181</v>
      </c>
    </row>
    <row r="247" spans="1:11" x14ac:dyDescent="0.25">
      <c r="A247" s="1" t="s">
        <v>955</v>
      </c>
      <c r="B247" s="1" t="s">
        <v>956</v>
      </c>
      <c r="D247" s="1" t="s">
        <v>957</v>
      </c>
      <c r="E247" s="1" t="s">
        <v>209</v>
      </c>
      <c r="F247" s="1" t="s">
        <v>405</v>
      </c>
      <c r="G247" s="1" t="s">
        <v>215</v>
      </c>
      <c r="H247" s="1">
        <v>6</v>
      </c>
      <c r="I247" s="1">
        <v>0.43187500000000001</v>
      </c>
      <c r="K247" s="1" t="s">
        <v>181</v>
      </c>
    </row>
    <row r="248" spans="1:11" x14ac:dyDescent="0.25">
      <c r="A248" s="1" t="s">
        <v>958</v>
      </c>
      <c r="B248" s="1" t="s">
        <v>959</v>
      </c>
      <c r="D248" s="1" t="s">
        <v>960</v>
      </c>
      <c r="E248" s="1" t="s">
        <v>209</v>
      </c>
      <c r="F248" s="1" t="s">
        <v>405</v>
      </c>
      <c r="G248" s="1" t="s">
        <v>215</v>
      </c>
      <c r="H248" s="1">
        <v>6</v>
      </c>
      <c r="I248" s="1">
        <v>0.43187500000000001</v>
      </c>
      <c r="K248" s="1" t="s">
        <v>181</v>
      </c>
    </row>
    <row r="249" spans="1:11" x14ac:dyDescent="0.25">
      <c r="A249" s="1" t="s">
        <v>961</v>
      </c>
      <c r="B249" s="1" t="s">
        <v>962</v>
      </c>
      <c r="D249" s="1" t="s">
        <v>963</v>
      </c>
      <c r="E249" s="1" t="s">
        <v>209</v>
      </c>
      <c r="F249" s="1" t="s">
        <v>405</v>
      </c>
      <c r="G249" s="1" t="s">
        <v>215</v>
      </c>
      <c r="H249" s="1">
        <v>6</v>
      </c>
      <c r="I249" s="1">
        <v>0.43187500000000001</v>
      </c>
      <c r="K249" s="1" t="s">
        <v>181</v>
      </c>
    </row>
    <row r="250" spans="1:11" x14ac:dyDescent="0.25">
      <c r="A250" s="1" t="s">
        <v>964</v>
      </c>
      <c r="B250" s="1" t="s">
        <v>965</v>
      </c>
      <c r="D250" s="1" t="s">
        <v>966</v>
      </c>
      <c r="E250" s="1" t="s">
        <v>209</v>
      </c>
      <c r="F250" s="1" t="s">
        <v>405</v>
      </c>
      <c r="G250" s="1" t="s">
        <v>215</v>
      </c>
      <c r="H250" s="1">
        <v>6</v>
      </c>
      <c r="I250" s="1">
        <v>0.43187500000000001</v>
      </c>
      <c r="K250" s="1" t="s">
        <v>181</v>
      </c>
    </row>
    <row r="251" spans="1:11" x14ac:dyDescent="0.25">
      <c r="A251" s="1" t="s">
        <v>967</v>
      </c>
      <c r="B251" s="1" t="s">
        <v>965</v>
      </c>
      <c r="D251" s="1" t="s">
        <v>968</v>
      </c>
      <c r="E251" s="1" t="s">
        <v>209</v>
      </c>
      <c r="F251" s="1" t="s">
        <v>405</v>
      </c>
      <c r="G251" s="1" t="s">
        <v>215</v>
      </c>
      <c r="H251" s="1">
        <v>6</v>
      </c>
      <c r="I251" s="1">
        <v>0.43187500000000001</v>
      </c>
      <c r="K251" s="1" t="s">
        <v>181</v>
      </c>
    </row>
    <row r="252" spans="1:11" x14ac:dyDescent="0.25">
      <c r="A252" s="1" t="s">
        <v>969</v>
      </c>
      <c r="B252" s="1" t="s">
        <v>970</v>
      </c>
      <c r="D252" s="1" t="s">
        <v>971</v>
      </c>
      <c r="E252" s="1" t="s">
        <v>209</v>
      </c>
      <c r="F252" s="1" t="s">
        <v>405</v>
      </c>
      <c r="G252" s="1" t="s">
        <v>215</v>
      </c>
      <c r="H252" s="1">
        <v>6</v>
      </c>
      <c r="I252" s="1">
        <v>0.43187500000000001</v>
      </c>
      <c r="K252" s="1" t="s">
        <v>181</v>
      </c>
    </row>
    <row r="253" spans="1:11" x14ac:dyDescent="0.25">
      <c r="A253" s="1" t="s">
        <v>972</v>
      </c>
      <c r="B253" s="1" t="s">
        <v>973</v>
      </c>
      <c r="D253" s="1" t="s">
        <v>974</v>
      </c>
      <c r="E253" s="1" t="s">
        <v>209</v>
      </c>
      <c r="F253" s="1" t="s">
        <v>405</v>
      </c>
      <c r="G253" s="1" t="s">
        <v>215</v>
      </c>
      <c r="H253" s="1">
        <v>6</v>
      </c>
      <c r="I253" s="1">
        <v>0.43187500000000001</v>
      </c>
      <c r="K253" s="1" t="s">
        <v>181</v>
      </c>
    </row>
    <row r="254" spans="1:11" x14ac:dyDescent="0.25">
      <c r="A254" s="1" t="s">
        <v>975</v>
      </c>
      <c r="B254" s="1" t="s">
        <v>976</v>
      </c>
      <c r="D254" s="1" t="s">
        <v>977</v>
      </c>
      <c r="E254" s="1" t="s">
        <v>209</v>
      </c>
      <c r="F254" s="1" t="s">
        <v>405</v>
      </c>
      <c r="G254" s="1" t="s">
        <v>211</v>
      </c>
      <c r="H254" s="1">
        <v>6</v>
      </c>
      <c r="I254" s="1">
        <v>0.43187500000000001</v>
      </c>
      <c r="K254" s="1" t="s">
        <v>181</v>
      </c>
    </row>
    <row r="255" spans="1:11" x14ac:dyDescent="0.25">
      <c r="A255" s="1" t="s">
        <v>978</v>
      </c>
      <c r="B255" s="1" t="s">
        <v>979</v>
      </c>
      <c r="D255" s="1" t="s">
        <v>980</v>
      </c>
      <c r="E255" s="1" t="s">
        <v>209</v>
      </c>
      <c r="F255" s="1" t="s">
        <v>405</v>
      </c>
      <c r="G255" s="1" t="s">
        <v>215</v>
      </c>
      <c r="H255" s="1">
        <v>6</v>
      </c>
      <c r="I255" s="1">
        <v>0.43187500000000001</v>
      </c>
      <c r="K255" s="1" t="s">
        <v>181</v>
      </c>
    </row>
    <row r="256" spans="1:11" x14ac:dyDescent="0.25">
      <c r="A256" s="1" t="s">
        <v>981</v>
      </c>
      <c r="B256" s="1" t="s">
        <v>982</v>
      </c>
      <c r="D256" s="1" t="s">
        <v>983</v>
      </c>
      <c r="E256" s="1" t="s">
        <v>209</v>
      </c>
      <c r="F256" s="1" t="s">
        <v>405</v>
      </c>
      <c r="G256" s="1" t="s">
        <v>215</v>
      </c>
      <c r="H256" s="1">
        <v>6</v>
      </c>
      <c r="I256" s="1">
        <v>0.43187500000000001</v>
      </c>
      <c r="K256" s="1" t="s">
        <v>181</v>
      </c>
    </row>
    <row r="257" spans="1:11" x14ac:dyDescent="0.25">
      <c r="A257" s="1" t="s">
        <v>984</v>
      </c>
      <c r="B257" s="1" t="s">
        <v>985</v>
      </c>
      <c r="D257" s="1" t="s">
        <v>986</v>
      </c>
      <c r="E257" s="1" t="s">
        <v>209</v>
      </c>
      <c r="F257" s="1" t="s">
        <v>405</v>
      </c>
      <c r="G257" s="1" t="s">
        <v>215</v>
      </c>
      <c r="H257" s="1">
        <v>6</v>
      </c>
      <c r="I257" s="1">
        <v>0.43187500000000001</v>
      </c>
      <c r="K257" s="1" t="s">
        <v>181</v>
      </c>
    </row>
    <row r="258" spans="1:11" x14ac:dyDescent="0.25">
      <c r="A258" s="1" t="s">
        <v>987</v>
      </c>
      <c r="B258" s="1" t="s">
        <v>988</v>
      </c>
      <c r="D258" s="1" t="s">
        <v>989</v>
      </c>
      <c r="E258" s="1" t="s">
        <v>209</v>
      </c>
      <c r="F258" s="1" t="s">
        <v>405</v>
      </c>
      <c r="G258" s="1" t="s">
        <v>215</v>
      </c>
      <c r="H258" s="1">
        <v>6</v>
      </c>
      <c r="I258" s="1">
        <v>0.43187500000000001</v>
      </c>
      <c r="K258" s="1" t="s">
        <v>181</v>
      </c>
    </row>
    <row r="259" spans="1:11" x14ac:dyDescent="0.25">
      <c r="A259" s="1" t="s">
        <v>990</v>
      </c>
      <c r="B259" s="1" t="s">
        <v>991</v>
      </c>
      <c r="D259" s="1" t="s">
        <v>992</v>
      </c>
      <c r="E259" s="1" t="s">
        <v>209</v>
      </c>
      <c r="F259" s="1" t="s">
        <v>405</v>
      </c>
      <c r="G259" s="1" t="s">
        <v>215</v>
      </c>
      <c r="H259" s="1">
        <v>6</v>
      </c>
      <c r="I259" s="1">
        <v>0.43187500000000001</v>
      </c>
      <c r="K259" s="1" t="s">
        <v>181</v>
      </c>
    </row>
    <row r="260" spans="1:11" x14ac:dyDescent="0.25">
      <c r="A260" s="1" t="s">
        <v>993</v>
      </c>
      <c r="B260" s="1" t="s">
        <v>994</v>
      </c>
      <c r="D260" s="1" t="s">
        <v>995</v>
      </c>
      <c r="E260" s="1" t="s">
        <v>209</v>
      </c>
      <c r="F260" s="1" t="s">
        <v>405</v>
      </c>
      <c r="G260" s="1" t="s">
        <v>215</v>
      </c>
      <c r="H260" s="1">
        <v>6</v>
      </c>
      <c r="I260" s="1">
        <v>0.43187500000000001</v>
      </c>
      <c r="K260" s="1" t="s">
        <v>181</v>
      </c>
    </row>
    <row r="261" spans="1:11" x14ac:dyDescent="0.25">
      <c r="A261" s="1" t="s">
        <v>996</v>
      </c>
      <c r="B261" s="1" t="s">
        <v>997</v>
      </c>
      <c r="D261" s="1" t="s">
        <v>998</v>
      </c>
      <c r="E261" s="1" t="s">
        <v>209</v>
      </c>
      <c r="F261" s="1" t="s">
        <v>405</v>
      </c>
      <c r="G261" s="1" t="s">
        <v>215</v>
      </c>
      <c r="H261" s="1">
        <v>6</v>
      </c>
      <c r="I261" s="1">
        <v>0.43187500000000001</v>
      </c>
      <c r="K261" s="1" t="s">
        <v>181</v>
      </c>
    </row>
    <row r="262" spans="1:11" x14ac:dyDescent="0.25">
      <c r="A262" s="1" t="s">
        <v>999</v>
      </c>
      <c r="B262" s="1" t="s">
        <v>1000</v>
      </c>
      <c r="D262" s="1" t="s">
        <v>1001</v>
      </c>
      <c r="E262" s="1" t="s">
        <v>209</v>
      </c>
      <c r="F262" s="1" t="s">
        <v>405</v>
      </c>
      <c r="G262" s="1" t="s">
        <v>215</v>
      </c>
      <c r="H262" s="1">
        <v>6</v>
      </c>
      <c r="I262" s="1">
        <v>0.43187500000000001</v>
      </c>
      <c r="K262" s="1" t="s">
        <v>181</v>
      </c>
    </row>
    <row r="263" spans="1:11" x14ac:dyDescent="0.25">
      <c r="A263" s="1" t="s">
        <v>1002</v>
      </c>
      <c r="B263" s="1" t="s">
        <v>1003</v>
      </c>
      <c r="D263" s="1" t="s">
        <v>1004</v>
      </c>
      <c r="E263" s="1" t="s">
        <v>209</v>
      </c>
      <c r="F263" s="1" t="s">
        <v>405</v>
      </c>
      <c r="G263" s="1" t="s">
        <v>215</v>
      </c>
      <c r="H263" s="1">
        <v>6</v>
      </c>
      <c r="I263" s="1">
        <v>0.43187500000000001</v>
      </c>
      <c r="K263" s="1" t="s">
        <v>181</v>
      </c>
    </row>
    <row r="264" spans="1:11" x14ac:dyDescent="0.25">
      <c r="A264" s="1" t="s">
        <v>1005</v>
      </c>
      <c r="B264" s="1" t="s">
        <v>1006</v>
      </c>
      <c r="D264" s="1" t="s">
        <v>1007</v>
      </c>
      <c r="E264" s="1" t="s">
        <v>209</v>
      </c>
      <c r="F264" s="1" t="s">
        <v>405</v>
      </c>
      <c r="G264" s="1" t="s">
        <v>215</v>
      </c>
      <c r="H264" s="1">
        <v>6</v>
      </c>
      <c r="I264" s="1">
        <v>0.43187500000000001</v>
      </c>
      <c r="K264" s="1" t="s">
        <v>181</v>
      </c>
    </row>
    <row r="265" spans="1:11" x14ac:dyDescent="0.25">
      <c r="A265" s="1" t="s">
        <v>1008</v>
      </c>
      <c r="B265" s="1" t="s">
        <v>1009</v>
      </c>
      <c r="D265" s="1" t="s">
        <v>1010</v>
      </c>
      <c r="E265" s="1" t="s">
        <v>209</v>
      </c>
      <c r="F265" s="1" t="s">
        <v>405</v>
      </c>
      <c r="G265" s="1" t="s">
        <v>215</v>
      </c>
      <c r="H265" s="1">
        <v>6</v>
      </c>
      <c r="I265" s="1">
        <v>0.43187500000000001</v>
      </c>
      <c r="K265" s="1" t="s">
        <v>181</v>
      </c>
    </row>
    <row r="266" spans="1:11" x14ac:dyDescent="0.25">
      <c r="A266" s="1" t="s">
        <v>1011</v>
      </c>
      <c r="B266" s="1" t="s">
        <v>1012</v>
      </c>
      <c r="D266" s="1" t="s">
        <v>1013</v>
      </c>
      <c r="E266" s="1" t="s">
        <v>209</v>
      </c>
      <c r="F266" s="1" t="s">
        <v>405</v>
      </c>
      <c r="G266" s="1" t="s">
        <v>215</v>
      </c>
      <c r="H266" s="1">
        <v>6</v>
      </c>
      <c r="I266" s="1">
        <v>0.43187500000000001</v>
      </c>
      <c r="K266" s="1" t="s">
        <v>181</v>
      </c>
    </row>
    <row r="267" spans="1:11" x14ac:dyDescent="0.25">
      <c r="A267" s="1" t="s">
        <v>1014</v>
      </c>
      <c r="B267" s="1" t="s">
        <v>1015</v>
      </c>
      <c r="D267" s="1" t="s">
        <v>1016</v>
      </c>
      <c r="E267" s="1" t="s">
        <v>209</v>
      </c>
      <c r="F267" s="1" t="s">
        <v>405</v>
      </c>
      <c r="G267" s="1" t="s">
        <v>215</v>
      </c>
      <c r="H267" s="1">
        <v>6</v>
      </c>
      <c r="I267" s="1">
        <v>0.43187500000000001</v>
      </c>
      <c r="K267" s="1" t="s">
        <v>181</v>
      </c>
    </row>
    <row r="268" spans="1:11" x14ac:dyDescent="0.25">
      <c r="A268" s="1" t="s">
        <v>1017</v>
      </c>
      <c r="B268" s="1" t="s">
        <v>1018</v>
      </c>
      <c r="C268" s="1" t="s">
        <v>1019</v>
      </c>
      <c r="D268" s="1" t="s">
        <v>1020</v>
      </c>
      <c r="E268" s="1" t="s">
        <v>178</v>
      </c>
      <c r="F268" s="1" t="s">
        <v>1021</v>
      </c>
      <c r="G268" s="1" t="s">
        <v>186</v>
      </c>
      <c r="H268" s="1">
        <v>5.0999999999999996</v>
      </c>
      <c r="I268" s="1">
        <v>0.38124999999999998</v>
      </c>
      <c r="K268" s="1" t="s">
        <v>181</v>
      </c>
    </row>
    <row r="269" spans="1:11" x14ac:dyDescent="0.25">
      <c r="A269" s="1" t="s">
        <v>1022</v>
      </c>
      <c r="B269" s="1" t="s">
        <v>1023</v>
      </c>
      <c r="C269" s="1" t="s">
        <v>1024</v>
      </c>
      <c r="D269" s="1" t="s">
        <v>1025</v>
      </c>
      <c r="E269" s="1" t="s">
        <v>178</v>
      </c>
      <c r="F269" s="1" t="s">
        <v>1021</v>
      </c>
      <c r="G269" s="1" t="s">
        <v>309</v>
      </c>
      <c r="H269" s="1">
        <v>5.0999999999999996</v>
      </c>
      <c r="I269" s="1">
        <v>0.38124999999999998</v>
      </c>
      <c r="K269" s="1" t="s">
        <v>181</v>
      </c>
    </row>
    <row r="270" spans="1:11" x14ac:dyDescent="0.25">
      <c r="A270" s="1" t="s">
        <v>1026</v>
      </c>
      <c r="B270" s="1" t="s">
        <v>1027</v>
      </c>
      <c r="C270" s="1" t="s">
        <v>1028</v>
      </c>
      <c r="D270" s="1" t="s">
        <v>1029</v>
      </c>
      <c r="E270" s="1" t="s">
        <v>178</v>
      </c>
      <c r="F270" s="1" t="s">
        <v>1021</v>
      </c>
      <c r="G270" s="1" t="s">
        <v>186</v>
      </c>
      <c r="H270" s="1">
        <v>5.0999999999999996</v>
      </c>
      <c r="I270" s="1">
        <v>0.38124999999999998</v>
      </c>
      <c r="K270" s="1" t="s">
        <v>181</v>
      </c>
    </row>
    <row r="271" spans="1:11" x14ac:dyDescent="0.25">
      <c r="A271" s="1" t="s">
        <v>1030</v>
      </c>
      <c r="B271" s="1" t="s">
        <v>1031</v>
      </c>
      <c r="C271" s="1" t="s">
        <v>1032</v>
      </c>
      <c r="D271" s="1" t="s">
        <v>1033</v>
      </c>
      <c r="E271" s="1" t="s">
        <v>178</v>
      </c>
      <c r="F271" s="1" t="s">
        <v>1021</v>
      </c>
      <c r="G271" s="1" t="s">
        <v>186</v>
      </c>
      <c r="H271" s="1">
        <v>5.0999999999999996</v>
      </c>
      <c r="I271" s="1">
        <v>0.38124999999999998</v>
      </c>
      <c r="K271" s="1" t="s">
        <v>181</v>
      </c>
    </row>
    <row r="272" spans="1:11" x14ac:dyDescent="0.25">
      <c r="A272" s="1" t="s">
        <v>1034</v>
      </c>
      <c r="B272" s="1" t="s">
        <v>1035</v>
      </c>
      <c r="C272" s="1" t="s">
        <v>1036</v>
      </c>
      <c r="D272" s="1" t="s">
        <v>1037</v>
      </c>
      <c r="E272" s="1" t="s">
        <v>178</v>
      </c>
      <c r="F272" s="1" t="s">
        <v>1021</v>
      </c>
      <c r="G272" s="1" t="s">
        <v>186</v>
      </c>
      <c r="H272" s="1">
        <v>5.0999999999999996</v>
      </c>
      <c r="I272" s="1">
        <v>0.38124999999999998</v>
      </c>
      <c r="K272" s="1" t="s">
        <v>181</v>
      </c>
    </row>
    <row r="273" spans="1:11" x14ac:dyDescent="0.25">
      <c r="A273" s="1" t="s">
        <v>1038</v>
      </c>
      <c r="B273" s="1" t="s">
        <v>1031</v>
      </c>
      <c r="C273" s="1" t="s">
        <v>1039</v>
      </c>
      <c r="D273" s="1" t="s">
        <v>1040</v>
      </c>
      <c r="E273" s="1" t="s">
        <v>178</v>
      </c>
      <c r="F273" s="1" t="s">
        <v>1021</v>
      </c>
      <c r="G273" s="1" t="s">
        <v>186</v>
      </c>
      <c r="H273" s="1">
        <v>5.0999999999999996</v>
      </c>
      <c r="I273" s="1">
        <v>0.38124999999999998</v>
      </c>
      <c r="K273" s="1" t="s">
        <v>181</v>
      </c>
    </row>
    <row r="274" spans="1:11" x14ac:dyDescent="0.25">
      <c r="A274" s="1" t="s">
        <v>1041</v>
      </c>
      <c r="B274" s="1" t="s">
        <v>1042</v>
      </c>
      <c r="C274" s="1" t="s">
        <v>1043</v>
      </c>
      <c r="D274" s="1" t="s">
        <v>1044</v>
      </c>
      <c r="E274" s="1" t="s">
        <v>178</v>
      </c>
      <c r="F274" s="1" t="s">
        <v>1021</v>
      </c>
      <c r="G274" s="1" t="s">
        <v>180</v>
      </c>
      <c r="H274" s="1">
        <v>5.0999999999999996</v>
      </c>
      <c r="I274" s="1">
        <v>0.38124999999999998</v>
      </c>
      <c r="K274" s="1" t="s">
        <v>181</v>
      </c>
    </row>
    <row r="275" spans="1:11" x14ac:dyDescent="0.25">
      <c r="A275" s="1" t="s">
        <v>1045</v>
      </c>
      <c r="B275" s="1" t="s">
        <v>192</v>
      </c>
      <c r="C275" s="1" t="s">
        <v>1046</v>
      </c>
      <c r="D275" s="1" t="s">
        <v>1047</v>
      </c>
      <c r="E275" s="1" t="s">
        <v>178</v>
      </c>
      <c r="F275" s="1" t="s">
        <v>1021</v>
      </c>
      <c r="G275" s="1" t="s">
        <v>186</v>
      </c>
      <c r="H275" s="1">
        <v>5.0999999999999996</v>
      </c>
      <c r="I275" s="1">
        <v>0.38124999999999998</v>
      </c>
      <c r="K275" s="1" t="s">
        <v>181</v>
      </c>
    </row>
    <row r="276" spans="1:11" x14ac:dyDescent="0.25">
      <c r="A276" s="1" t="s">
        <v>1048</v>
      </c>
      <c r="B276" s="1" t="s">
        <v>1049</v>
      </c>
      <c r="C276" s="1" t="s">
        <v>1050</v>
      </c>
      <c r="D276" s="1" t="s">
        <v>1051</v>
      </c>
      <c r="E276" s="1" t="s">
        <v>178</v>
      </c>
      <c r="F276" s="1" t="s">
        <v>1021</v>
      </c>
      <c r="G276" s="1" t="s">
        <v>186</v>
      </c>
      <c r="H276" s="1">
        <v>5.0999999999999996</v>
      </c>
      <c r="I276" s="1">
        <v>0.38124999999999998</v>
      </c>
      <c r="K276" s="1" t="s">
        <v>181</v>
      </c>
    </row>
    <row r="277" spans="1:11" x14ac:dyDescent="0.25">
      <c r="A277" s="1" t="s">
        <v>1052</v>
      </c>
      <c r="B277" s="1" t="s">
        <v>196</v>
      </c>
      <c r="C277" s="1" t="s">
        <v>1053</v>
      </c>
      <c r="D277" s="1" t="s">
        <v>1054</v>
      </c>
      <c r="E277" s="1" t="s">
        <v>178</v>
      </c>
      <c r="F277" s="1" t="s">
        <v>1021</v>
      </c>
      <c r="G277" s="1" t="s">
        <v>186</v>
      </c>
      <c r="H277" s="1">
        <v>5.0999999999999996</v>
      </c>
      <c r="I277" s="1">
        <v>0.38124999999999998</v>
      </c>
      <c r="K277" s="1" t="s">
        <v>181</v>
      </c>
    </row>
    <row r="278" spans="1:11" x14ac:dyDescent="0.25">
      <c r="A278" s="1" t="s">
        <v>1055</v>
      </c>
      <c r="B278" s="1" t="s">
        <v>196</v>
      </c>
      <c r="C278" s="1" t="s">
        <v>1056</v>
      </c>
      <c r="D278" s="1" t="s">
        <v>1057</v>
      </c>
      <c r="E278" s="1" t="s">
        <v>178</v>
      </c>
      <c r="F278" s="1" t="s">
        <v>1021</v>
      </c>
      <c r="G278" s="1" t="s">
        <v>180</v>
      </c>
      <c r="H278" s="1">
        <v>5.0999999999999996</v>
      </c>
      <c r="I278" s="1">
        <v>0.38124999999999998</v>
      </c>
      <c r="K278" s="1" t="s">
        <v>181</v>
      </c>
    </row>
    <row r="279" spans="1:11" x14ac:dyDescent="0.25">
      <c r="A279" s="1" t="s">
        <v>1058</v>
      </c>
      <c r="B279" s="1" t="s">
        <v>1059</v>
      </c>
      <c r="C279" s="1" t="s">
        <v>1060</v>
      </c>
      <c r="D279" s="1" t="s">
        <v>1061</v>
      </c>
      <c r="E279" s="1" t="s">
        <v>178</v>
      </c>
      <c r="F279" s="1" t="s">
        <v>1021</v>
      </c>
      <c r="G279" s="1" t="s">
        <v>186</v>
      </c>
      <c r="H279" s="1">
        <v>5.0999999999999996</v>
      </c>
      <c r="I279" s="1">
        <v>0.38124999999999998</v>
      </c>
      <c r="K279" s="1" t="s">
        <v>181</v>
      </c>
    </row>
    <row r="280" spans="1:11" x14ac:dyDescent="0.25">
      <c r="A280" s="1" t="s">
        <v>1062</v>
      </c>
      <c r="B280" s="1" t="s">
        <v>1063</v>
      </c>
      <c r="C280" s="1" t="s">
        <v>1064</v>
      </c>
      <c r="D280" s="1" t="s">
        <v>1065</v>
      </c>
      <c r="E280" s="1" t="s">
        <v>178</v>
      </c>
      <c r="F280" s="1" t="s">
        <v>1021</v>
      </c>
      <c r="G280" s="1" t="s">
        <v>186</v>
      </c>
      <c r="H280" s="1">
        <v>5.0999999999999996</v>
      </c>
      <c r="I280" s="1">
        <v>0.38124999999999998</v>
      </c>
      <c r="K280" s="1" t="s">
        <v>181</v>
      </c>
    </row>
    <row r="281" spans="1:11" x14ac:dyDescent="0.25">
      <c r="A281" s="1" t="s">
        <v>1066</v>
      </c>
      <c r="B281" s="1" t="s">
        <v>1067</v>
      </c>
      <c r="C281" s="1" t="s">
        <v>1068</v>
      </c>
      <c r="D281" s="1" t="s">
        <v>1069</v>
      </c>
      <c r="E281" s="1" t="s">
        <v>178</v>
      </c>
      <c r="F281" s="1" t="s">
        <v>1021</v>
      </c>
      <c r="G281" s="1" t="s">
        <v>186</v>
      </c>
      <c r="H281" s="1">
        <v>5.0999999999999996</v>
      </c>
      <c r="I281" s="1">
        <v>0.38124999999999998</v>
      </c>
      <c r="K281" s="1" t="s">
        <v>181</v>
      </c>
    </row>
    <row r="282" spans="1:11" x14ac:dyDescent="0.25">
      <c r="A282" s="1" t="s">
        <v>1070</v>
      </c>
      <c r="B282" s="1" t="s">
        <v>1031</v>
      </c>
      <c r="C282" s="1" t="s">
        <v>1071</v>
      </c>
      <c r="D282" s="1" t="s">
        <v>1072</v>
      </c>
      <c r="E282" s="1" t="s">
        <v>178</v>
      </c>
      <c r="F282" s="1" t="s">
        <v>1021</v>
      </c>
      <c r="G282" s="1" t="s">
        <v>186</v>
      </c>
      <c r="H282" s="1">
        <v>5.0999999999999996</v>
      </c>
      <c r="I282" s="1">
        <v>0.38124999999999998</v>
      </c>
      <c r="K282" s="1" t="s">
        <v>181</v>
      </c>
    </row>
    <row r="283" spans="1:11" x14ac:dyDescent="0.25">
      <c r="A283" s="1" t="s">
        <v>1073</v>
      </c>
      <c r="B283" s="1" t="s">
        <v>1074</v>
      </c>
      <c r="C283" s="1" t="s">
        <v>1075</v>
      </c>
      <c r="D283" s="1" t="s">
        <v>1076</v>
      </c>
      <c r="E283" s="1" t="s">
        <v>178</v>
      </c>
      <c r="F283" s="1" t="s">
        <v>1021</v>
      </c>
      <c r="G283" s="1" t="s">
        <v>186</v>
      </c>
      <c r="H283" s="1">
        <v>5.0999999999999996</v>
      </c>
      <c r="I283" s="1">
        <v>0.38124999999999998</v>
      </c>
      <c r="K283" s="1" t="s">
        <v>181</v>
      </c>
    </row>
    <row r="284" spans="1:11" x14ac:dyDescent="0.25">
      <c r="A284" s="1" t="s">
        <v>1077</v>
      </c>
      <c r="B284" s="1" t="s">
        <v>192</v>
      </c>
      <c r="C284" s="1" t="s">
        <v>1078</v>
      </c>
      <c r="D284" s="1" t="s">
        <v>1079</v>
      </c>
      <c r="E284" s="1" t="s">
        <v>178</v>
      </c>
      <c r="F284" s="1" t="s">
        <v>1021</v>
      </c>
      <c r="G284" s="1" t="s">
        <v>180</v>
      </c>
      <c r="H284" s="1">
        <v>5.0999999999999996</v>
      </c>
      <c r="I284" s="1">
        <v>0.38124999999999998</v>
      </c>
      <c r="K284" s="1" t="s">
        <v>181</v>
      </c>
    </row>
    <row r="285" spans="1:11" x14ac:dyDescent="0.25">
      <c r="A285" s="1" t="s">
        <v>1080</v>
      </c>
      <c r="B285" s="1" t="s">
        <v>1081</v>
      </c>
      <c r="C285" s="1" t="s">
        <v>1082</v>
      </c>
      <c r="D285" s="1" t="s">
        <v>1083</v>
      </c>
      <c r="E285" s="1" t="s">
        <v>178</v>
      </c>
      <c r="F285" s="1" t="s">
        <v>1021</v>
      </c>
      <c r="G285" s="1" t="s">
        <v>186</v>
      </c>
      <c r="H285" s="1">
        <v>5.0999999999999996</v>
      </c>
      <c r="I285" s="1">
        <v>0.38124999999999998</v>
      </c>
      <c r="K285" s="1" t="s">
        <v>181</v>
      </c>
    </row>
    <row r="286" spans="1:11" x14ac:dyDescent="0.25">
      <c r="A286" s="1" t="s">
        <v>1084</v>
      </c>
      <c r="B286" s="1" t="s">
        <v>1085</v>
      </c>
      <c r="C286" s="1" t="s">
        <v>1086</v>
      </c>
      <c r="D286" s="1" t="s">
        <v>1087</v>
      </c>
      <c r="E286" s="1" t="s">
        <v>178</v>
      </c>
      <c r="F286" s="1" t="s">
        <v>1021</v>
      </c>
      <c r="G286" s="1" t="s">
        <v>186</v>
      </c>
      <c r="H286" s="1">
        <v>5.0999999999999996</v>
      </c>
      <c r="I286" s="1">
        <v>0.38124999999999998</v>
      </c>
      <c r="K286" s="1" t="s">
        <v>181</v>
      </c>
    </row>
    <row r="287" spans="1:11" x14ac:dyDescent="0.25">
      <c r="A287" s="1" t="s">
        <v>1088</v>
      </c>
      <c r="B287" s="1" t="s">
        <v>1089</v>
      </c>
      <c r="C287" s="1" t="s">
        <v>1090</v>
      </c>
      <c r="D287" s="1" t="s">
        <v>1091</v>
      </c>
      <c r="E287" s="1" t="s">
        <v>178</v>
      </c>
      <c r="F287" s="1" t="s">
        <v>1021</v>
      </c>
      <c r="G287" s="1" t="s">
        <v>186</v>
      </c>
      <c r="H287" s="1">
        <v>5.0999999999999996</v>
      </c>
      <c r="I287" s="1">
        <v>0.38124999999999998</v>
      </c>
      <c r="K287" s="1" t="s">
        <v>181</v>
      </c>
    </row>
    <row r="288" spans="1:11" x14ac:dyDescent="0.25">
      <c r="A288" s="1" t="s">
        <v>1092</v>
      </c>
      <c r="B288" s="1" t="s">
        <v>1089</v>
      </c>
      <c r="C288" s="1" t="s">
        <v>1093</v>
      </c>
      <c r="D288" s="1" t="s">
        <v>1094</v>
      </c>
      <c r="E288" s="1" t="s">
        <v>178</v>
      </c>
      <c r="F288" s="1" t="s">
        <v>1021</v>
      </c>
      <c r="G288" s="1" t="s">
        <v>186</v>
      </c>
      <c r="H288" s="1">
        <v>5.0999999999999996</v>
      </c>
      <c r="I288" s="1">
        <v>0.38124999999999998</v>
      </c>
      <c r="K288" s="1" t="s">
        <v>181</v>
      </c>
    </row>
    <row r="289" spans="1:11" x14ac:dyDescent="0.25">
      <c r="A289" s="1" t="s">
        <v>1095</v>
      </c>
      <c r="B289" s="1" t="s">
        <v>192</v>
      </c>
      <c r="C289" s="1" t="s">
        <v>1096</v>
      </c>
      <c r="D289" s="1" t="s">
        <v>1097</v>
      </c>
      <c r="E289" s="1" t="s">
        <v>178</v>
      </c>
      <c r="F289" s="1" t="s">
        <v>1021</v>
      </c>
      <c r="G289" s="1" t="s">
        <v>180</v>
      </c>
      <c r="H289" s="1">
        <v>5.0999999999999996</v>
      </c>
      <c r="I289" s="1">
        <v>0.38124999999999998</v>
      </c>
      <c r="K289" s="1" t="s">
        <v>181</v>
      </c>
    </row>
    <row r="290" spans="1:11" x14ac:dyDescent="0.25">
      <c r="A290" s="1" t="s">
        <v>1098</v>
      </c>
      <c r="B290" s="1" t="s">
        <v>1099</v>
      </c>
      <c r="C290" s="1" t="s">
        <v>1100</v>
      </c>
      <c r="D290" s="1" t="s">
        <v>1101</v>
      </c>
      <c r="E290" s="1" t="s">
        <v>178</v>
      </c>
      <c r="F290" s="1" t="s">
        <v>1021</v>
      </c>
      <c r="G290" s="1" t="s">
        <v>186</v>
      </c>
      <c r="H290" s="1">
        <v>5.0999999999999996</v>
      </c>
      <c r="I290" s="1">
        <v>0.38124999999999998</v>
      </c>
      <c r="K290" s="1" t="s">
        <v>181</v>
      </c>
    </row>
    <row r="291" spans="1:11" x14ac:dyDescent="0.25">
      <c r="A291" s="1" t="s">
        <v>1102</v>
      </c>
      <c r="B291" s="1" t="s">
        <v>311</v>
      </c>
      <c r="C291" s="1" t="s">
        <v>1103</v>
      </c>
      <c r="D291" s="1" t="s">
        <v>1104</v>
      </c>
      <c r="E291" s="1" t="s">
        <v>178</v>
      </c>
      <c r="F291" s="1" t="s">
        <v>1021</v>
      </c>
      <c r="G291" s="1" t="s">
        <v>186</v>
      </c>
      <c r="H291" s="1">
        <v>5.0999999999999996</v>
      </c>
      <c r="I291" s="1">
        <v>0.38124999999999998</v>
      </c>
      <c r="K291" s="1" t="s">
        <v>181</v>
      </c>
    </row>
    <row r="292" spans="1:11" x14ac:dyDescent="0.25">
      <c r="A292" s="1" t="s">
        <v>1105</v>
      </c>
      <c r="B292" s="1" t="s">
        <v>1099</v>
      </c>
      <c r="C292" s="1" t="s">
        <v>1106</v>
      </c>
      <c r="D292" s="1" t="s">
        <v>1107</v>
      </c>
      <c r="E292" s="1" t="s">
        <v>178</v>
      </c>
      <c r="F292" s="1" t="s">
        <v>1021</v>
      </c>
      <c r="G292" s="1" t="s">
        <v>186</v>
      </c>
      <c r="H292" s="1">
        <v>5.0999999999999996</v>
      </c>
      <c r="I292" s="1">
        <v>0.38124999999999998</v>
      </c>
      <c r="K292" s="1" t="s">
        <v>181</v>
      </c>
    </row>
    <row r="293" spans="1:11" x14ac:dyDescent="0.25">
      <c r="A293" s="1" t="s">
        <v>1108</v>
      </c>
      <c r="B293" s="1" t="s">
        <v>1109</v>
      </c>
      <c r="C293" s="1" t="s">
        <v>1110</v>
      </c>
      <c r="D293" s="1" t="s">
        <v>1111</v>
      </c>
      <c r="E293" s="1" t="s">
        <v>178</v>
      </c>
      <c r="F293" s="1" t="s">
        <v>1021</v>
      </c>
      <c r="G293" s="1" t="s">
        <v>186</v>
      </c>
      <c r="H293" s="1">
        <v>5.0999999999999996</v>
      </c>
      <c r="I293" s="1">
        <v>0.38124999999999998</v>
      </c>
      <c r="K293" s="1" t="s">
        <v>181</v>
      </c>
    </row>
    <row r="294" spans="1:11" x14ac:dyDescent="0.25">
      <c r="A294" s="1" t="s">
        <v>1112</v>
      </c>
      <c r="B294" s="1" t="s">
        <v>1113</v>
      </c>
      <c r="C294" s="1" t="s">
        <v>1114</v>
      </c>
      <c r="D294" s="1" t="s">
        <v>1115</v>
      </c>
      <c r="E294" s="1" t="s">
        <v>178</v>
      </c>
      <c r="F294" s="1" t="s">
        <v>1021</v>
      </c>
      <c r="G294" s="1" t="s">
        <v>186</v>
      </c>
      <c r="H294" s="1">
        <v>5.0999999999999996</v>
      </c>
      <c r="I294" s="1">
        <v>0.38124999999999998</v>
      </c>
      <c r="K294" s="1" t="s">
        <v>181</v>
      </c>
    </row>
    <row r="295" spans="1:11" x14ac:dyDescent="0.25">
      <c r="A295" s="1" t="s">
        <v>1116</v>
      </c>
      <c r="B295" s="1" t="s">
        <v>1117</v>
      </c>
      <c r="C295" s="1" t="s">
        <v>1118</v>
      </c>
      <c r="D295" s="1" t="s">
        <v>1119</v>
      </c>
      <c r="E295" s="1" t="s">
        <v>178</v>
      </c>
      <c r="F295" s="1" t="s">
        <v>1021</v>
      </c>
      <c r="G295" s="1" t="s">
        <v>186</v>
      </c>
      <c r="H295" s="1">
        <v>5.0999999999999996</v>
      </c>
      <c r="I295" s="1">
        <v>0.38124999999999998</v>
      </c>
      <c r="K295" s="1" t="s">
        <v>181</v>
      </c>
    </row>
    <row r="296" spans="1:11" x14ac:dyDescent="0.25">
      <c r="A296" s="1" t="s">
        <v>1120</v>
      </c>
      <c r="B296" s="1" t="s">
        <v>1121</v>
      </c>
      <c r="C296" s="1" t="s">
        <v>1122</v>
      </c>
      <c r="D296" s="1" t="s">
        <v>1123</v>
      </c>
      <c r="E296" s="1" t="s">
        <v>178</v>
      </c>
      <c r="F296" s="1" t="s">
        <v>1021</v>
      </c>
      <c r="G296" s="1" t="s">
        <v>186</v>
      </c>
      <c r="H296" s="1">
        <v>5.0999999999999996</v>
      </c>
      <c r="I296" s="1">
        <v>0.38124999999999998</v>
      </c>
      <c r="K296" s="1" t="s">
        <v>181</v>
      </c>
    </row>
    <row r="297" spans="1:11" x14ac:dyDescent="0.25">
      <c r="A297" s="1" t="s">
        <v>1124</v>
      </c>
      <c r="B297" s="1" t="s">
        <v>1121</v>
      </c>
      <c r="C297" s="1" t="s">
        <v>1125</v>
      </c>
      <c r="D297" s="1" t="s">
        <v>1126</v>
      </c>
      <c r="E297" s="1" t="s">
        <v>178</v>
      </c>
      <c r="F297" s="1" t="s">
        <v>1021</v>
      </c>
      <c r="G297" s="1" t="s">
        <v>186</v>
      </c>
      <c r="H297" s="1">
        <v>5.0999999999999996</v>
      </c>
      <c r="I297" s="1">
        <v>0.38124999999999998</v>
      </c>
      <c r="K297" s="1" t="s">
        <v>181</v>
      </c>
    </row>
    <row r="298" spans="1:11" x14ac:dyDescent="0.25">
      <c r="A298" s="1" t="s">
        <v>1127</v>
      </c>
      <c r="B298" s="1" t="s">
        <v>1109</v>
      </c>
      <c r="C298" s="1" t="s">
        <v>1128</v>
      </c>
      <c r="D298" s="1" t="s">
        <v>1129</v>
      </c>
      <c r="E298" s="1" t="s">
        <v>178</v>
      </c>
      <c r="F298" s="1" t="s">
        <v>1021</v>
      </c>
      <c r="G298" s="1" t="s">
        <v>186</v>
      </c>
      <c r="H298" s="1">
        <v>5.0999999999999996</v>
      </c>
      <c r="I298" s="1">
        <v>0.38124999999999998</v>
      </c>
      <c r="K298" s="1" t="s">
        <v>181</v>
      </c>
    </row>
    <row r="299" spans="1:11" x14ac:dyDescent="0.25">
      <c r="A299" s="1" t="s">
        <v>1130</v>
      </c>
      <c r="B299" s="1" t="s">
        <v>1109</v>
      </c>
      <c r="C299" s="1" t="s">
        <v>1131</v>
      </c>
      <c r="D299" s="1" t="s">
        <v>1132</v>
      </c>
      <c r="E299" s="1" t="s">
        <v>178</v>
      </c>
      <c r="F299" s="1" t="s">
        <v>1021</v>
      </c>
      <c r="G299" s="1" t="s">
        <v>186</v>
      </c>
      <c r="H299" s="1">
        <v>5.0999999999999996</v>
      </c>
      <c r="I299" s="1">
        <v>0.38124999999999998</v>
      </c>
      <c r="K299" s="1" t="s">
        <v>181</v>
      </c>
    </row>
    <row r="300" spans="1:11" x14ac:dyDescent="0.25">
      <c r="A300" s="1" t="s">
        <v>1133</v>
      </c>
      <c r="B300" s="1" t="s">
        <v>1134</v>
      </c>
      <c r="C300" s="1" t="s">
        <v>1135</v>
      </c>
      <c r="D300" s="1" t="s">
        <v>1136</v>
      </c>
      <c r="E300" s="1" t="s">
        <v>178</v>
      </c>
      <c r="F300" s="1" t="s">
        <v>1021</v>
      </c>
      <c r="G300" s="1" t="s">
        <v>186</v>
      </c>
      <c r="H300" s="1">
        <v>5.0999999999999996</v>
      </c>
      <c r="I300" s="1">
        <v>0.38124999999999998</v>
      </c>
      <c r="K300" s="1" t="s">
        <v>181</v>
      </c>
    </row>
    <row r="301" spans="1:11" x14ac:dyDescent="0.25">
      <c r="A301" s="1" t="s">
        <v>1137</v>
      </c>
      <c r="B301" s="1" t="s">
        <v>530</v>
      </c>
      <c r="C301" s="1" t="s">
        <v>1138</v>
      </c>
      <c r="D301" s="1" t="s">
        <v>1139</v>
      </c>
      <c r="E301" s="1" t="s">
        <v>178</v>
      </c>
      <c r="F301" s="1" t="s">
        <v>1021</v>
      </c>
      <c r="G301" s="1" t="s">
        <v>180</v>
      </c>
      <c r="H301" s="1">
        <v>5.0999999999999996</v>
      </c>
      <c r="I301" s="1">
        <v>0.38124999999999998</v>
      </c>
      <c r="K301" s="1" t="s">
        <v>181</v>
      </c>
    </row>
    <row r="302" spans="1:11" x14ac:dyDescent="0.25">
      <c r="A302" s="1" t="s">
        <v>1140</v>
      </c>
      <c r="B302" s="1" t="s">
        <v>673</v>
      </c>
      <c r="C302" s="1" t="s">
        <v>1141</v>
      </c>
      <c r="D302" s="1" t="s">
        <v>1142</v>
      </c>
      <c r="E302" s="1" t="s">
        <v>178</v>
      </c>
      <c r="F302" s="1" t="s">
        <v>1021</v>
      </c>
      <c r="G302" s="1" t="s">
        <v>186</v>
      </c>
      <c r="H302" s="1">
        <v>5.0999999999999996</v>
      </c>
      <c r="I302" s="1">
        <v>0.38124999999999998</v>
      </c>
      <c r="K302" s="1" t="s">
        <v>181</v>
      </c>
    </row>
    <row r="303" spans="1:11" x14ac:dyDescent="0.25">
      <c r="A303" s="1" t="s">
        <v>1143</v>
      </c>
      <c r="B303" s="1" t="s">
        <v>530</v>
      </c>
      <c r="C303" s="1" t="s">
        <v>1144</v>
      </c>
      <c r="D303" s="1" t="s">
        <v>1145</v>
      </c>
      <c r="E303" s="1" t="s">
        <v>178</v>
      </c>
      <c r="F303" s="1" t="s">
        <v>1021</v>
      </c>
      <c r="G303" s="1" t="s">
        <v>180</v>
      </c>
      <c r="H303" s="1">
        <v>5.0999999999999996</v>
      </c>
      <c r="I303" s="1">
        <v>0.38124999999999998</v>
      </c>
      <c r="K303" s="1" t="s">
        <v>181</v>
      </c>
    </row>
    <row r="304" spans="1:11" x14ac:dyDescent="0.25">
      <c r="A304" s="1" t="s">
        <v>1146</v>
      </c>
      <c r="B304" s="1" t="s">
        <v>1147</v>
      </c>
      <c r="C304" s="1" t="s">
        <v>1148</v>
      </c>
      <c r="D304" s="1" t="s">
        <v>1149</v>
      </c>
      <c r="E304" s="1" t="s">
        <v>178</v>
      </c>
      <c r="F304" s="1" t="s">
        <v>1021</v>
      </c>
      <c r="G304" s="1" t="s">
        <v>186</v>
      </c>
      <c r="H304" s="1">
        <v>5.0999999999999996</v>
      </c>
      <c r="I304" s="1">
        <v>0.38124999999999998</v>
      </c>
      <c r="K304" s="1" t="s">
        <v>181</v>
      </c>
    </row>
    <row r="305" spans="1:11" x14ac:dyDescent="0.25">
      <c r="A305" s="1" t="s">
        <v>1150</v>
      </c>
      <c r="B305" s="1" t="s">
        <v>1147</v>
      </c>
      <c r="C305" s="1" t="s">
        <v>1151</v>
      </c>
      <c r="D305" s="1" t="s">
        <v>1152</v>
      </c>
      <c r="E305" s="1" t="s">
        <v>178</v>
      </c>
      <c r="F305" s="1" t="s">
        <v>1021</v>
      </c>
      <c r="G305" s="1" t="s">
        <v>186</v>
      </c>
      <c r="H305" s="1">
        <v>5.0999999999999996</v>
      </c>
      <c r="I305" s="1">
        <v>0.38124999999999998</v>
      </c>
      <c r="K305" s="1" t="s">
        <v>181</v>
      </c>
    </row>
    <row r="306" spans="1:11" x14ac:dyDescent="0.25">
      <c r="A306" s="1" t="s">
        <v>1153</v>
      </c>
      <c r="B306" s="1" t="s">
        <v>1154</v>
      </c>
      <c r="C306" s="1" t="s">
        <v>1155</v>
      </c>
      <c r="D306" s="1" t="s">
        <v>1156</v>
      </c>
      <c r="E306" s="1" t="s">
        <v>178</v>
      </c>
      <c r="F306" s="1" t="s">
        <v>1021</v>
      </c>
      <c r="G306" s="1" t="s">
        <v>186</v>
      </c>
      <c r="H306" s="1">
        <v>5.0999999999999996</v>
      </c>
      <c r="I306" s="1">
        <v>0.38124999999999998</v>
      </c>
      <c r="K306" s="1" t="s">
        <v>181</v>
      </c>
    </row>
    <row r="307" spans="1:11" x14ac:dyDescent="0.25">
      <c r="A307" s="1" t="s">
        <v>1157</v>
      </c>
      <c r="B307" s="1" t="s">
        <v>1147</v>
      </c>
      <c r="C307" s="1" t="s">
        <v>1158</v>
      </c>
      <c r="D307" s="1" t="s">
        <v>1159</v>
      </c>
      <c r="E307" s="1" t="s">
        <v>178</v>
      </c>
      <c r="F307" s="1" t="s">
        <v>1021</v>
      </c>
      <c r="G307" s="1" t="s">
        <v>186</v>
      </c>
      <c r="H307" s="1">
        <v>5.0999999999999996</v>
      </c>
      <c r="I307" s="1">
        <v>0.38124999999999998</v>
      </c>
      <c r="K307" s="1" t="s">
        <v>181</v>
      </c>
    </row>
    <row r="308" spans="1:11" x14ac:dyDescent="0.25">
      <c r="A308" s="1" t="s">
        <v>1160</v>
      </c>
      <c r="B308" s="1" t="s">
        <v>1147</v>
      </c>
      <c r="C308" s="1" t="s">
        <v>1161</v>
      </c>
      <c r="D308" s="1" t="s">
        <v>1162</v>
      </c>
      <c r="E308" s="1" t="s">
        <v>178</v>
      </c>
      <c r="F308" s="1" t="s">
        <v>1021</v>
      </c>
      <c r="G308" s="1" t="s">
        <v>186</v>
      </c>
      <c r="H308" s="1">
        <v>5.0999999999999996</v>
      </c>
      <c r="I308" s="1">
        <v>0.38124999999999998</v>
      </c>
      <c r="K308" s="1" t="s">
        <v>181</v>
      </c>
    </row>
    <row r="309" spans="1:11" x14ac:dyDescent="0.25">
      <c r="A309" s="1" t="s">
        <v>1163</v>
      </c>
      <c r="B309" s="1" t="s">
        <v>1031</v>
      </c>
      <c r="C309" s="1" t="s">
        <v>1164</v>
      </c>
      <c r="D309" s="1" t="s">
        <v>1165</v>
      </c>
      <c r="E309" s="1" t="s">
        <v>178</v>
      </c>
      <c r="F309" s="1" t="s">
        <v>1021</v>
      </c>
      <c r="G309" s="1" t="s">
        <v>186</v>
      </c>
      <c r="H309" s="1">
        <v>5.0999999999999996</v>
      </c>
      <c r="I309" s="1">
        <v>0.38124999999999998</v>
      </c>
      <c r="K309" s="1" t="s">
        <v>181</v>
      </c>
    </row>
    <row r="310" spans="1:11" x14ac:dyDescent="0.25">
      <c r="A310" s="1" t="s">
        <v>1166</v>
      </c>
      <c r="B310" s="1" t="s">
        <v>1031</v>
      </c>
      <c r="C310" s="1" t="s">
        <v>1167</v>
      </c>
      <c r="D310" s="1" t="s">
        <v>1168</v>
      </c>
      <c r="E310" s="1" t="s">
        <v>178</v>
      </c>
      <c r="F310" s="1" t="s">
        <v>1021</v>
      </c>
      <c r="G310" s="1" t="s">
        <v>186</v>
      </c>
      <c r="H310" s="1">
        <v>5.0999999999999996</v>
      </c>
      <c r="I310" s="1">
        <v>0.38124999999999998</v>
      </c>
      <c r="K310" s="1" t="s">
        <v>181</v>
      </c>
    </row>
    <row r="311" spans="1:11" x14ac:dyDescent="0.25">
      <c r="A311" s="1" t="s">
        <v>1169</v>
      </c>
      <c r="B311" s="1" t="s">
        <v>1147</v>
      </c>
      <c r="C311" s="1" t="s">
        <v>1170</v>
      </c>
      <c r="D311" s="1" t="s">
        <v>1171</v>
      </c>
      <c r="E311" s="1" t="s">
        <v>178</v>
      </c>
      <c r="F311" s="1" t="s">
        <v>1021</v>
      </c>
      <c r="G311" s="1" t="s">
        <v>186</v>
      </c>
      <c r="H311" s="1">
        <v>5.0999999999999996</v>
      </c>
      <c r="I311" s="1">
        <v>0.38124999999999998</v>
      </c>
      <c r="K311" s="1" t="s">
        <v>181</v>
      </c>
    </row>
    <row r="312" spans="1:11" x14ac:dyDescent="0.25">
      <c r="A312" s="1" t="s">
        <v>1172</v>
      </c>
      <c r="B312" s="1" t="s">
        <v>1147</v>
      </c>
      <c r="C312" s="1" t="s">
        <v>1173</v>
      </c>
      <c r="D312" s="1" t="s">
        <v>1174</v>
      </c>
      <c r="E312" s="1" t="s">
        <v>178</v>
      </c>
      <c r="F312" s="1" t="s">
        <v>1021</v>
      </c>
      <c r="G312" s="1" t="s">
        <v>186</v>
      </c>
      <c r="H312" s="1">
        <v>5.0999999999999996</v>
      </c>
      <c r="I312" s="1">
        <v>0.38124999999999998</v>
      </c>
      <c r="K312" s="1" t="s">
        <v>181</v>
      </c>
    </row>
    <row r="313" spans="1:11" x14ac:dyDescent="0.25">
      <c r="A313" s="1" t="s">
        <v>1175</v>
      </c>
      <c r="B313" s="1" t="s">
        <v>1147</v>
      </c>
      <c r="C313" s="1" t="s">
        <v>1176</v>
      </c>
      <c r="D313" s="1" t="s">
        <v>1177</v>
      </c>
      <c r="E313" s="1" t="s">
        <v>178</v>
      </c>
      <c r="F313" s="1" t="s">
        <v>1021</v>
      </c>
      <c r="G313" s="1" t="s">
        <v>186</v>
      </c>
      <c r="H313" s="1">
        <v>5.0999999999999996</v>
      </c>
      <c r="I313" s="1">
        <v>0.38124999999999998</v>
      </c>
      <c r="K313" s="1" t="s">
        <v>181</v>
      </c>
    </row>
    <row r="314" spans="1:11" x14ac:dyDescent="0.25">
      <c r="A314" s="1" t="s">
        <v>1178</v>
      </c>
      <c r="B314" s="1" t="s">
        <v>1147</v>
      </c>
      <c r="C314" s="1" t="s">
        <v>1179</v>
      </c>
      <c r="D314" s="1" t="s">
        <v>1180</v>
      </c>
      <c r="E314" s="1" t="s">
        <v>178</v>
      </c>
      <c r="F314" s="1" t="s">
        <v>1021</v>
      </c>
      <c r="G314" s="1" t="s">
        <v>186</v>
      </c>
      <c r="H314" s="1">
        <v>5.0999999999999996</v>
      </c>
      <c r="I314" s="1">
        <v>0.38124999999999998</v>
      </c>
      <c r="K314" s="1" t="s">
        <v>181</v>
      </c>
    </row>
    <row r="315" spans="1:11" x14ac:dyDescent="0.25">
      <c r="A315" s="1" t="s">
        <v>1181</v>
      </c>
      <c r="B315" s="1" t="s">
        <v>1147</v>
      </c>
      <c r="C315" s="1" t="s">
        <v>1182</v>
      </c>
      <c r="D315" s="1" t="s">
        <v>1183</v>
      </c>
      <c r="E315" s="1" t="s">
        <v>178</v>
      </c>
      <c r="F315" s="1" t="s">
        <v>1021</v>
      </c>
      <c r="G315" s="1" t="s">
        <v>186</v>
      </c>
      <c r="H315" s="1">
        <v>5.0999999999999996</v>
      </c>
      <c r="I315" s="1">
        <v>0.38124999999999998</v>
      </c>
      <c r="K315" s="1" t="s">
        <v>181</v>
      </c>
    </row>
    <row r="316" spans="1:11" x14ac:dyDescent="0.25">
      <c r="A316" s="1" t="s">
        <v>1184</v>
      </c>
      <c r="B316" s="1" t="s">
        <v>1147</v>
      </c>
      <c r="C316" s="1" t="s">
        <v>1185</v>
      </c>
      <c r="D316" s="1" t="s">
        <v>1186</v>
      </c>
      <c r="E316" s="1" t="s">
        <v>178</v>
      </c>
      <c r="F316" s="1" t="s">
        <v>1021</v>
      </c>
      <c r="G316" s="1" t="s">
        <v>186</v>
      </c>
      <c r="H316" s="1">
        <v>5.0999999999999996</v>
      </c>
      <c r="I316" s="1">
        <v>0.38124999999999998</v>
      </c>
      <c r="K316" s="1" t="s">
        <v>181</v>
      </c>
    </row>
    <row r="317" spans="1:11" x14ac:dyDescent="0.25">
      <c r="A317" s="1" t="s">
        <v>1187</v>
      </c>
      <c r="B317" s="1" t="s">
        <v>1147</v>
      </c>
      <c r="C317" s="1" t="s">
        <v>1188</v>
      </c>
      <c r="D317" s="1" t="s">
        <v>1189</v>
      </c>
      <c r="E317" s="1" t="s">
        <v>178</v>
      </c>
      <c r="F317" s="1" t="s">
        <v>1021</v>
      </c>
      <c r="G317" s="1" t="s">
        <v>186</v>
      </c>
      <c r="H317" s="1">
        <v>5.0999999999999996</v>
      </c>
      <c r="I317" s="1">
        <v>0.38124999999999998</v>
      </c>
      <c r="K317" s="1" t="s">
        <v>181</v>
      </c>
    </row>
    <row r="318" spans="1:11" x14ac:dyDescent="0.25">
      <c r="A318" s="1" t="s">
        <v>1190</v>
      </c>
      <c r="B318" s="1" t="s">
        <v>1147</v>
      </c>
      <c r="C318" s="1" t="s">
        <v>1191</v>
      </c>
      <c r="D318" s="1" t="s">
        <v>1192</v>
      </c>
      <c r="E318" s="1" t="s">
        <v>178</v>
      </c>
      <c r="F318" s="1" t="s">
        <v>1021</v>
      </c>
      <c r="G318" s="1" t="s">
        <v>186</v>
      </c>
      <c r="H318" s="1">
        <v>5.0999999999999996</v>
      </c>
      <c r="I318" s="1">
        <v>0.38124999999999998</v>
      </c>
      <c r="K318" s="1" t="s">
        <v>181</v>
      </c>
    </row>
    <row r="319" spans="1:11" x14ac:dyDescent="0.25">
      <c r="A319" s="1" t="s">
        <v>1193</v>
      </c>
      <c r="B319" s="1" t="s">
        <v>1147</v>
      </c>
      <c r="C319" s="1" t="s">
        <v>1194</v>
      </c>
      <c r="D319" s="1" t="s">
        <v>1195</v>
      </c>
      <c r="E319" s="1" t="s">
        <v>178</v>
      </c>
      <c r="F319" s="1" t="s">
        <v>1021</v>
      </c>
      <c r="G319" s="1" t="s">
        <v>186</v>
      </c>
      <c r="H319" s="1">
        <v>5.0999999999999996</v>
      </c>
      <c r="I319" s="1">
        <v>0.38124999999999998</v>
      </c>
      <c r="K319" s="1" t="s">
        <v>181</v>
      </c>
    </row>
    <row r="320" spans="1:11" x14ac:dyDescent="0.25">
      <c r="A320" s="1" t="s">
        <v>1196</v>
      </c>
      <c r="B320" s="1" t="s">
        <v>1147</v>
      </c>
      <c r="C320" s="1" t="s">
        <v>1197</v>
      </c>
      <c r="D320" s="1" t="s">
        <v>1198</v>
      </c>
      <c r="E320" s="1" t="s">
        <v>178</v>
      </c>
      <c r="F320" s="1" t="s">
        <v>1021</v>
      </c>
      <c r="G320" s="1" t="s">
        <v>186</v>
      </c>
      <c r="H320" s="1">
        <v>5.0999999999999996</v>
      </c>
      <c r="I320" s="1">
        <v>0.38124999999999998</v>
      </c>
      <c r="K320" s="1" t="s">
        <v>181</v>
      </c>
    </row>
    <row r="321" spans="1:11" x14ac:dyDescent="0.25">
      <c r="A321" s="1" t="s">
        <v>1199</v>
      </c>
      <c r="B321" s="1" t="s">
        <v>1200</v>
      </c>
      <c r="C321" s="1" t="s">
        <v>1201</v>
      </c>
      <c r="D321" s="1" t="s">
        <v>1202</v>
      </c>
      <c r="E321" s="1" t="s">
        <v>178</v>
      </c>
      <c r="F321" s="1" t="s">
        <v>1021</v>
      </c>
      <c r="G321" s="1" t="s">
        <v>186</v>
      </c>
      <c r="H321" s="1">
        <v>5.0999999999999996</v>
      </c>
      <c r="I321" s="1">
        <v>0.38124999999999998</v>
      </c>
      <c r="K321" s="1" t="s">
        <v>181</v>
      </c>
    </row>
    <row r="322" spans="1:11" x14ac:dyDescent="0.25">
      <c r="A322" s="1" t="s">
        <v>1203</v>
      </c>
      <c r="B322" s="1" t="s">
        <v>1204</v>
      </c>
      <c r="C322" s="1" t="s">
        <v>1205</v>
      </c>
      <c r="D322" s="1" t="s">
        <v>1206</v>
      </c>
      <c r="E322" s="1" t="s">
        <v>178</v>
      </c>
      <c r="F322" s="1" t="s">
        <v>1021</v>
      </c>
      <c r="G322" s="1" t="s">
        <v>186</v>
      </c>
      <c r="H322" s="1">
        <v>5.0999999999999996</v>
      </c>
      <c r="I322" s="1">
        <v>0.38124999999999998</v>
      </c>
      <c r="K322" s="1" t="s">
        <v>181</v>
      </c>
    </row>
    <row r="323" spans="1:11" x14ac:dyDescent="0.25">
      <c r="A323" s="1" t="s">
        <v>1207</v>
      </c>
      <c r="B323" s="1" t="s">
        <v>1208</v>
      </c>
      <c r="C323" s="1" t="s">
        <v>1209</v>
      </c>
      <c r="D323" s="1" t="s">
        <v>1210</v>
      </c>
      <c r="E323" s="1" t="s">
        <v>178</v>
      </c>
      <c r="F323" s="1" t="s">
        <v>1021</v>
      </c>
      <c r="G323" s="1" t="s">
        <v>186</v>
      </c>
      <c r="H323" s="1">
        <v>5.0999999999999996</v>
      </c>
      <c r="I323" s="1">
        <v>0.38124999999999998</v>
      </c>
      <c r="K323" s="1" t="s">
        <v>181</v>
      </c>
    </row>
    <row r="324" spans="1:11" x14ac:dyDescent="0.25">
      <c r="A324" s="1" t="s">
        <v>1211</v>
      </c>
      <c r="B324" s="1" t="s">
        <v>1031</v>
      </c>
      <c r="C324" s="1" t="s">
        <v>1212</v>
      </c>
      <c r="D324" s="1" t="s">
        <v>1213</v>
      </c>
      <c r="E324" s="1" t="s">
        <v>178</v>
      </c>
      <c r="F324" s="1" t="s">
        <v>1021</v>
      </c>
      <c r="G324" s="1" t="s">
        <v>186</v>
      </c>
      <c r="H324" s="1">
        <v>5.0999999999999996</v>
      </c>
      <c r="I324" s="1">
        <v>0.38124999999999998</v>
      </c>
      <c r="K324" s="1" t="s">
        <v>181</v>
      </c>
    </row>
    <row r="325" spans="1:11" x14ac:dyDescent="0.25">
      <c r="A325" s="1" t="s">
        <v>1214</v>
      </c>
      <c r="B325" s="1" t="s">
        <v>1031</v>
      </c>
      <c r="C325" s="1" t="s">
        <v>1215</v>
      </c>
      <c r="D325" s="1" t="s">
        <v>1216</v>
      </c>
      <c r="E325" s="1" t="s">
        <v>178</v>
      </c>
      <c r="F325" s="1" t="s">
        <v>1021</v>
      </c>
      <c r="G325" s="1" t="s">
        <v>186</v>
      </c>
      <c r="H325" s="1">
        <v>5.0999999999999996</v>
      </c>
      <c r="I325" s="1">
        <v>0.38124999999999998</v>
      </c>
      <c r="K325" s="1" t="s">
        <v>181</v>
      </c>
    </row>
    <row r="326" spans="1:11" x14ac:dyDescent="0.25">
      <c r="A326" s="1" t="s">
        <v>1217</v>
      </c>
      <c r="B326" s="1" t="s">
        <v>1031</v>
      </c>
      <c r="C326" s="1" t="s">
        <v>1218</v>
      </c>
      <c r="D326" s="1" t="s">
        <v>1219</v>
      </c>
      <c r="E326" s="1" t="s">
        <v>178</v>
      </c>
      <c r="F326" s="1" t="s">
        <v>1021</v>
      </c>
      <c r="G326" s="1" t="s">
        <v>186</v>
      </c>
      <c r="H326" s="1">
        <v>5.0999999999999996</v>
      </c>
      <c r="I326" s="1">
        <v>0.38124999999999998</v>
      </c>
      <c r="K326" s="1" t="s">
        <v>181</v>
      </c>
    </row>
    <row r="327" spans="1:11" x14ac:dyDescent="0.25">
      <c r="A327" s="1" t="s">
        <v>1220</v>
      </c>
      <c r="B327" s="1" t="s">
        <v>1031</v>
      </c>
      <c r="C327" s="1" t="s">
        <v>1221</v>
      </c>
      <c r="D327" s="1" t="s">
        <v>1222</v>
      </c>
      <c r="E327" s="1" t="s">
        <v>178</v>
      </c>
      <c r="F327" s="1" t="s">
        <v>1021</v>
      </c>
      <c r="G327" s="1" t="s">
        <v>186</v>
      </c>
      <c r="H327" s="1">
        <v>5.0999999999999996</v>
      </c>
      <c r="I327" s="1">
        <v>0.38124999999999998</v>
      </c>
      <c r="K327" s="1" t="s">
        <v>181</v>
      </c>
    </row>
    <row r="328" spans="1:11" x14ac:dyDescent="0.25">
      <c r="A328" s="1" t="s">
        <v>1223</v>
      </c>
      <c r="B328" s="1" t="s">
        <v>1031</v>
      </c>
      <c r="C328" s="1" t="s">
        <v>1224</v>
      </c>
      <c r="D328" s="1" t="s">
        <v>1225</v>
      </c>
      <c r="E328" s="1" t="s">
        <v>178</v>
      </c>
      <c r="F328" s="1" t="s">
        <v>1021</v>
      </c>
      <c r="G328" s="1" t="s">
        <v>186</v>
      </c>
      <c r="H328" s="1">
        <v>5.0999999999999996</v>
      </c>
      <c r="I328" s="1">
        <v>0.38124999999999998</v>
      </c>
      <c r="K328" s="1" t="s">
        <v>181</v>
      </c>
    </row>
    <row r="329" spans="1:11" x14ac:dyDescent="0.25">
      <c r="A329" s="1" t="s">
        <v>1226</v>
      </c>
      <c r="B329" s="1" t="s">
        <v>1031</v>
      </c>
      <c r="C329" s="1" t="s">
        <v>1227</v>
      </c>
      <c r="D329" s="1" t="s">
        <v>1228</v>
      </c>
      <c r="E329" s="1" t="s">
        <v>178</v>
      </c>
      <c r="F329" s="1" t="s">
        <v>1021</v>
      </c>
      <c r="G329" s="1" t="s">
        <v>186</v>
      </c>
      <c r="H329" s="1">
        <v>5.0999999999999996</v>
      </c>
      <c r="I329" s="1">
        <v>0.38124999999999998</v>
      </c>
      <c r="K329" s="1" t="s">
        <v>181</v>
      </c>
    </row>
    <row r="330" spans="1:11" x14ac:dyDescent="0.25">
      <c r="A330" s="1" t="s">
        <v>1229</v>
      </c>
      <c r="B330" s="1" t="s">
        <v>1031</v>
      </c>
      <c r="C330" s="1" t="s">
        <v>1230</v>
      </c>
      <c r="D330" s="1" t="s">
        <v>1231</v>
      </c>
      <c r="E330" s="1" t="s">
        <v>178</v>
      </c>
      <c r="F330" s="1" t="s">
        <v>1021</v>
      </c>
      <c r="G330" s="1" t="s">
        <v>186</v>
      </c>
      <c r="H330" s="1">
        <v>5.0999999999999996</v>
      </c>
      <c r="I330" s="1">
        <v>0.38124999999999998</v>
      </c>
      <c r="K330" s="1" t="s">
        <v>181</v>
      </c>
    </row>
    <row r="331" spans="1:11" x14ac:dyDescent="0.25">
      <c r="A331" s="1" t="s">
        <v>1232</v>
      </c>
      <c r="B331" s="1" t="s">
        <v>1031</v>
      </c>
      <c r="C331" s="1" t="s">
        <v>1233</v>
      </c>
      <c r="D331" s="1" t="s">
        <v>1234</v>
      </c>
      <c r="E331" s="1" t="s">
        <v>178</v>
      </c>
      <c r="F331" s="1" t="s">
        <v>1021</v>
      </c>
      <c r="G331" s="1" t="s">
        <v>186</v>
      </c>
      <c r="H331" s="1">
        <v>5.0999999999999996</v>
      </c>
      <c r="I331" s="1">
        <v>0.38124999999999998</v>
      </c>
      <c r="K331" s="1" t="s">
        <v>181</v>
      </c>
    </row>
    <row r="332" spans="1:11" x14ac:dyDescent="0.25">
      <c r="A332" s="1" t="s">
        <v>1235</v>
      </c>
      <c r="B332" s="1" t="s">
        <v>1236</v>
      </c>
      <c r="C332" s="1" t="s">
        <v>1237</v>
      </c>
      <c r="D332" s="1" t="s">
        <v>1238</v>
      </c>
      <c r="E332" s="1" t="s">
        <v>178</v>
      </c>
      <c r="F332" s="1" t="s">
        <v>1021</v>
      </c>
      <c r="G332" s="1" t="s">
        <v>186</v>
      </c>
      <c r="H332" s="1">
        <v>5.0999999999999996</v>
      </c>
      <c r="I332" s="1">
        <v>0.38124999999999998</v>
      </c>
      <c r="K332" s="1" t="s">
        <v>181</v>
      </c>
    </row>
    <row r="333" spans="1:11" x14ac:dyDescent="0.25">
      <c r="A333" s="1" t="s">
        <v>1239</v>
      </c>
      <c r="B333" s="1" t="s">
        <v>1240</v>
      </c>
      <c r="C333" s="1" t="s">
        <v>1241</v>
      </c>
      <c r="D333" s="1" t="s">
        <v>1242</v>
      </c>
      <c r="E333" s="1" t="s">
        <v>178</v>
      </c>
      <c r="F333" s="1" t="s">
        <v>1021</v>
      </c>
      <c r="G333" s="1" t="s">
        <v>186</v>
      </c>
      <c r="H333" s="1">
        <v>5.0999999999999996</v>
      </c>
      <c r="I333" s="1">
        <v>0.38124999999999998</v>
      </c>
      <c r="K333" s="1" t="s">
        <v>181</v>
      </c>
    </row>
    <row r="334" spans="1:11" x14ac:dyDescent="0.25">
      <c r="A334" s="1" t="s">
        <v>1243</v>
      </c>
      <c r="B334" s="1" t="s">
        <v>1031</v>
      </c>
      <c r="C334" s="1" t="s">
        <v>1244</v>
      </c>
      <c r="D334" s="1" t="s">
        <v>1245</v>
      </c>
      <c r="E334" s="1" t="s">
        <v>178</v>
      </c>
      <c r="F334" s="1" t="s">
        <v>1021</v>
      </c>
      <c r="G334" s="1" t="s">
        <v>186</v>
      </c>
      <c r="H334" s="1">
        <v>5.0999999999999996</v>
      </c>
      <c r="I334" s="1">
        <v>0.38124999999999998</v>
      </c>
      <c r="K334" s="1" t="s">
        <v>181</v>
      </c>
    </row>
    <row r="335" spans="1:11" x14ac:dyDescent="0.25">
      <c r="A335" s="1" t="s">
        <v>1246</v>
      </c>
      <c r="B335" s="1" t="s">
        <v>1247</v>
      </c>
      <c r="C335" s="1" t="s">
        <v>1248</v>
      </c>
      <c r="D335" s="1" t="s">
        <v>1249</v>
      </c>
      <c r="E335" s="1" t="s">
        <v>178</v>
      </c>
      <c r="F335" s="1" t="s">
        <v>1021</v>
      </c>
      <c r="G335" s="1" t="s">
        <v>186</v>
      </c>
      <c r="H335" s="1">
        <v>5.0999999999999996</v>
      </c>
      <c r="I335" s="1">
        <v>0.38124999999999998</v>
      </c>
      <c r="K335" s="1" t="s">
        <v>181</v>
      </c>
    </row>
    <row r="336" spans="1:11" x14ac:dyDescent="0.25">
      <c r="A336" s="1" t="s">
        <v>1250</v>
      </c>
      <c r="B336" s="1" t="s">
        <v>1247</v>
      </c>
      <c r="C336" s="1" t="s">
        <v>1251</v>
      </c>
      <c r="D336" s="1" t="s">
        <v>1252</v>
      </c>
      <c r="E336" s="1" t="s">
        <v>178</v>
      </c>
      <c r="F336" s="1" t="s">
        <v>1021</v>
      </c>
      <c r="G336" s="1" t="s">
        <v>186</v>
      </c>
      <c r="H336" s="1">
        <v>5.0999999999999996</v>
      </c>
      <c r="I336" s="1">
        <v>0.38124999999999998</v>
      </c>
      <c r="K336" s="1" t="s">
        <v>181</v>
      </c>
    </row>
    <row r="337" spans="1:11" x14ac:dyDescent="0.25">
      <c r="A337" s="1" t="s">
        <v>1253</v>
      </c>
      <c r="B337" s="1" t="s">
        <v>1247</v>
      </c>
      <c r="C337" s="1" t="s">
        <v>1254</v>
      </c>
      <c r="D337" s="1" t="s">
        <v>1255</v>
      </c>
      <c r="E337" s="1" t="s">
        <v>178</v>
      </c>
      <c r="F337" s="1" t="s">
        <v>1021</v>
      </c>
      <c r="G337" s="1" t="s">
        <v>186</v>
      </c>
      <c r="H337" s="1">
        <v>5.0999999999999996</v>
      </c>
      <c r="I337" s="1">
        <v>0.38124999999999998</v>
      </c>
      <c r="K337" s="1" t="s">
        <v>181</v>
      </c>
    </row>
    <row r="338" spans="1:11" x14ac:dyDescent="0.25">
      <c r="A338" s="1" t="s">
        <v>1256</v>
      </c>
      <c r="B338" s="1" t="s">
        <v>1257</v>
      </c>
      <c r="C338" s="1" t="s">
        <v>1258</v>
      </c>
      <c r="D338" s="1" t="s">
        <v>1259</v>
      </c>
      <c r="E338" s="1" t="s">
        <v>178</v>
      </c>
      <c r="F338" s="1" t="s">
        <v>1021</v>
      </c>
      <c r="G338" s="1" t="s">
        <v>186</v>
      </c>
      <c r="H338" s="1">
        <v>5.0999999999999996</v>
      </c>
      <c r="I338" s="1">
        <v>0.38124999999999998</v>
      </c>
      <c r="K338" s="1" t="s">
        <v>181</v>
      </c>
    </row>
    <row r="339" spans="1:11" x14ac:dyDescent="0.25">
      <c r="A339" s="1" t="s">
        <v>1260</v>
      </c>
      <c r="B339" s="1" t="s">
        <v>1247</v>
      </c>
      <c r="C339" s="1" t="s">
        <v>1261</v>
      </c>
      <c r="D339" s="1" t="s">
        <v>1262</v>
      </c>
      <c r="E339" s="1" t="s">
        <v>178</v>
      </c>
      <c r="F339" s="1" t="s">
        <v>1021</v>
      </c>
      <c r="G339" s="1" t="s">
        <v>186</v>
      </c>
      <c r="H339" s="1">
        <v>5.0999999999999996</v>
      </c>
      <c r="I339" s="1">
        <v>0.38124999999999998</v>
      </c>
      <c r="K339" s="1" t="s">
        <v>181</v>
      </c>
    </row>
    <row r="340" spans="1:11" x14ac:dyDescent="0.25">
      <c r="A340" s="1" t="s">
        <v>1263</v>
      </c>
      <c r="B340" s="1" t="s">
        <v>1264</v>
      </c>
      <c r="C340" s="1" t="s">
        <v>1265</v>
      </c>
      <c r="D340" s="1" t="s">
        <v>1266</v>
      </c>
      <c r="E340" s="1" t="s">
        <v>178</v>
      </c>
      <c r="F340" s="1" t="s">
        <v>1021</v>
      </c>
      <c r="G340" s="1" t="s">
        <v>186</v>
      </c>
      <c r="H340" s="1">
        <v>5.0999999999999996</v>
      </c>
      <c r="I340" s="1">
        <v>0.38124999999999998</v>
      </c>
      <c r="K340" s="1" t="s">
        <v>181</v>
      </c>
    </row>
    <row r="341" spans="1:11" x14ac:dyDescent="0.25">
      <c r="A341" s="1" t="s">
        <v>1267</v>
      </c>
      <c r="B341" s="1" t="s">
        <v>1268</v>
      </c>
      <c r="C341" s="1" t="s">
        <v>1269</v>
      </c>
      <c r="D341" s="1" t="s">
        <v>1270</v>
      </c>
      <c r="E341" s="1" t="s">
        <v>178</v>
      </c>
      <c r="F341" s="1" t="s">
        <v>1021</v>
      </c>
      <c r="G341" s="1" t="s">
        <v>186</v>
      </c>
      <c r="H341" s="1">
        <v>5.0999999999999996</v>
      </c>
      <c r="I341" s="1">
        <v>0.38124999999999998</v>
      </c>
      <c r="K341" s="1" t="s">
        <v>181</v>
      </c>
    </row>
    <row r="342" spans="1:11" x14ac:dyDescent="0.25">
      <c r="A342" s="1" t="s">
        <v>1271</v>
      </c>
      <c r="B342" s="1" t="s">
        <v>1268</v>
      </c>
      <c r="C342" s="1" t="s">
        <v>1272</v>
      </c>
      <c r="D342" s="1" t="s">
        <v>1273</v>
      </c>
      <c r="E342" s="1" t="s">
        <v>178</v>
      </c>
      <c r="F342" s="1" t="s">
        <v>1021</v>
      </c>
      <c r="G342" s="1" t="s">
        <v>186</v>
      </c>
      <c r="H342" s="1">
        <v>5.0999999999999996</v>
      </c>
      <c r="I342" s="1">
        <v>0.38124999999999998</v>
      </c>
      <c r="K342" s="1" t="s">
        <v>181</v>
      </c>
    </row>
    <row r="343" spans="1:11" x14ac:dyDescent="0.25">
      <c r="A343" s="1" t="s">
        <v>1274</v>
      </c>
      <c r="B343" s="1" t="s">
        <v>1268</v>
      </c>
      <c r="C343" s="1" t="s">
        <v>1275</v>
      </c>
      <c r="D343" s="1" t="s">
        <v>1276</v>
      </c>
      <c r="E343" s="1" t="s">
        <v>178</v>
      </c>
      <c r="F343" s="1" t="s">
        <v>1021</v>
      </c>
      <c r="G343" s="1" t="s">
        <v>186</v>
      </c>
      <c r="H343" s="1">
        <v>5.0999999999999996</v>
      </c>
      <c r="I343" s="1">
        <v>0.38124999999999998</v>
      </c>
      <c r="K343" s="1" t="s">
        <v>181</v>
      </c>
    </row>
    <row r="344" spans="1:11" x14ac:dyDescent="0.25">
      <c r="A344" s="1" t="s">
        <v>1277</v>
      </c>
      <c r="B344" s="1" t="s">
        <v>1031</v>
      </c>
      <c r="C344" s="1" t="s">
        <v>1278</v>
      </c>
      <c r="D344" s="1" t="s">
        <v>1279</v>
      </c>
      <c r="E344" s="1" t="s">
        <v>178</v>
      </c>
      <c r="F344" s="1" t="s">
        <v>1021</v>
      </c>
      <c r="G344" s="1" t="s">
        <v>186</v>
      </c>
      <c r="H344" s="1">
        <v>5.0999999999999996</v>
      </c>
      <c r="I344" s="1">
        <v>0.38124999999999998</v>
      </c>
      <c r="K344" s="1" t="s">
        <v>181</v>
      </c>
    </row>
    <row r="345" spans="1:11" x14ac:dyDescent="0.25">
      <c r="A345" s="1" t="s">
        <v>1280</v>
      </c>
      <c r="B345" s="1" t="s">
        <v>1031</v>
      </c>
      <c r="C345" s="1" t="s">
        <v>1281</v>
      </c>
      <c r="D345" s="1" t="s">
        <v>1282</v>
      </c>
      <c r="E345" s="1" t="s">
        <v>178</v>
      </c>
      <c r="F345" s="1" t="s">
        <v>1021</v>
      </c>
      <c r="G345" s="1" t="s">
        <v>186</v>
      </c>
      <c r="H345" s="1">
        <v>5.0999999999999996</v>
      </c>
      <c r="I345" s="1">
        <v>0.38124999999999998</v>
      </c>
      <c r="K345" s="1" t="s">
        <v>181</v>
      </c>
    </row>
    <row r="346" spans="1:11" x14ac:dyDescent="0.25">
      <c r="A346" s="1" t="s">
        <v>1283</v>
      </c>
      <c r="B346" s="1" t="s">
        <v>1284</v>
      </c>
      <c r="C346" s="1" t="s">
        <v>1285</v>
      </c>
      <c r="D346" s="1" t="s">
        <v>1286</v>
      </c>
      <c r="E346" s="1" t="s">
        <v>178</v>
      </c>
      <c r="F346" s="1" t="s">
        <v>1021</v>
      </c>
      <c r="G346" s="1" t="s">
        <v>186</v>
      </c>
      <c r="H346" s="1">
        <v>5.0999999999999996</v>
      </c>
      <c r="I346" s="1">
        <v>0.38124999999999998</v>
      </c>
      <c r="K346" s="1" t="s">
        <v>181</v>
      </c>
    </row>
    <row r="347" spans="1:11" x14ac:dyDescent="0.25">
      <c r="A347" s="1" t="s">
        <v>1287</v>
      </c>
      <c r="B347" s="1" t="s">
        <v>1031</v>
      </c>
      <c r="C347" s="1" t="s">
        <v>1288</v>
      </c>
      <c r="D347" s="1" t="s">
        <v>1289</v>
      </c>
      <c r="E347" s="1" t="s">
        <v>178</v>
      </c>
      <c r="F347" s="1" t="s">
        <v>1021</v>
      </c>
      <c r="G347" s="1" t="s">
        <v>186</v>
      </c>
      <c r="H347" s="1">
        <v>5.0999999999999996</v>
      </c>
      <c r="I347" s="1">
        <v>0.38124999999999998</v>
      </c>
      <c r="K347" s="1" t="s">
        <v>181</v>
      </c>
    </row>
    <row r="348" spans="1:11" x14ac:dyDescent="0.25">
      <c r="A348" s="1" t="s">
        <v>1290</v>
      </c>
      <c r="B348" s="1" t="s">
        <v>1031</v>
      </c>
      <c r="C348" s="1" t="s">
        <v>1291</v>
      </c>
      <c r="D348" s="1" t="s">
        <v>1292</v>
      </c>
      <c r="E348" s="1" t="s">
        <v>178</v>
      </c>
      <c r="F348" s="1" t="s">
        <v>1021</v>
      </c>
      <c r="G348" s="1" t="s">
        <v>186</v>
      </c>
      <c r="H348" s="1">
        <v>5.0999999999999996</v>
      </c>
      <c r="I348" s="1">
        <v>0.38124999999999998</v>
      </c>
      <c r="K348" s="1" t="s">
        <v>181</v>
      </c>
    </row>
    <row r="349" spans="1:11" x14ac:dyDescent="0.25">
      <c r="A349" s="1" t="s">
        <v>1293</v>
      </c>
      <c r="B349" s="1" t="s">
        <v>1031</v>
      </c>
      <c r="C349" s="1" t="s">
        <v>1294</v>
      </c>
      <c r="D349" s="1" t="s">
        <v>1295</v>
      </c>
      <c r="E349" s="1" t="s">
        <v>178</v>
      </c>
      <c r="F349" s="1" t="s">
        <v>1021</v>
      </c>
      <c r="G349" s="1" t="s">
        <v>186</v>
      </c>
      <c r="H349" s="1">
        <v>5.0999999999999996</v>
      </c>
      <c r="I349" s="1">
        <v>0.38124999999999998</v>
      </c>
      <c r="K349" s="1" t="s">
        <v>181</v>
      </c>
    </row>
    <row r="350" spans="1:11" x14ac:dyDescent="0.25">
      <c r="A350" s="1" t="s">
        <v>1296</v>
      </c>
      <c r="B350" s="1" t="s">
        <v>1031</v>
      </c>
      <c r="C350" s="1" t="s">
        <v>1297</v>
      </c>
      <c r="D350" s="1" t="s">
        <v>1298</v>
      </c>
      <c r="E350" s="1" t="s">
        <v>178</v>
      </c>
      <c r="F350" s="1" t="s">
        <v>1021</v>
      </c>
      <c r="G350" s="1" t="s">
        <v>186</v>
      </c>
      <c r="H350" s="1">
        <v>5.0999999999999996</v>
      </c>
      <c r="I350" s="1">
        <v>0.38124999999999998</v>
      </c>
      <c r="K350" s="1" t="s">
        <v>181</v>
      </c>
    </row>
    <row r="351" spans="1:11" x14ac:dyDescent="0.25">
      <c r="A351" s="1" t="s">
        <v>1299</v>
      </c>
      <c r="B351" s="1" t="s">
        <v>1031</v>
      </c>
      <c r="C351" s="1" t="s">
        <v>1300</v>
      </c>
      <c r="D351" s="1" t="s">
        <v>1301</v>
      </c>
      <c r="E351" s="1" t="s">
        <v>178</v>
      </c>
      <c r="F351" s="1" t="s">
        <v>1021</v>
      </c>
      <c r="G351" s="1" t="s">
        <v>186</v>
      </c>
      <c r="H351" s="1">
        <v>5.0999999999999996</v>
      </c>
      <c r="I351" s="1">
        <v>0.38124999999999998</v>
      </c>
      <c r="K351" s="1" t="s">
        <v>181</v>
      </c>
    </row>
    <row r="352" spans="1:11" x14ac:dyDescent="0.25">
      <c r="A352" s="1" t="s">
        <v>1302</v>
      </c>
      <c r="B352" s="1" t="s">
        <v>1031</v>
      </c>
      <c r="C352" s="1" t="s">
        <v>1303</v>
      </c>
      <c r="D352" s="1" t="s">
        <v>1304</v>
      </c>
      <c r="E352" s="1" t="s">
        <v>178</v>
      </c>
      <c r="F352" s="1" t="s">
        <v>1021</v>
      </c>
      <c r="G352" s="1" t="s">
        <v>186</v>
      </c>
      <c r="H352" s="1">
        <v>5.0999999999999996</v>
      </c>
      <c r="I352" s="1">
        <v>0.38124999999999998</v>
      </c>
      <c r="K352" s="1" t="s">
        <v>181</v>
      </c>
    </row>
    <row r="353" spans="1:11" x14ac:dyDescent="0.25">
      <c r="A353" s="1" t="s">
        <v>1305</v>
      </c>
      <c r="B353" s="1" t="s">
        <v>1031</v>
      </c>
      <c r="C353" s="1" t="s">
        <v>1306</v>
      </c>
      <c r="D353" s="1" t="s">
        <v>1307</v>
      </c>
      <c r="E353" s="1" t="s">
        <v>178</v>
      </c>
      <c r="F353" s="1" t="s">
        <v>1021</v>
      </c>
      <c r="G353" s="1" t="s">
        <v>186</v>
      </c>
      <c r="H353" s="1">
        <v>5.0999999999999996</v>
      </c>
      <c r="I353" s="1">
        <v>0.38124999999999998</v>
      </c>
      <c r="K353" s="1" t="s">
        <v>181</v>
      </c>
    </row>
    <row r="354" spans="1:11" x14ac:dyDescent="0.25">
      <c r="A354" s="1" t="s">
        <v>1308</v>
      </c>
      <c r="B354" s="1" t="s">
        <v>1031</v>
      </c>
      <c r="C354" s="1" t="s">
        <v>1309</v>
      </c>
      <c r="D354" s="1" t="s">
        <v>1310</v>
      </c>
      <c r="E354" s="1" t="s">
        <v>178</v>
      </c>
      <c r="F354" s="1" t="s">
        <v>1021</v>
      </c>
      <c r="G354" s="1" t="s">
        <v>186</v>
      </c>
      <c r="H354" s="1">
        <v>5.0999999999999996</v>
      </c>
      <c r="I354" s="1">
        <v>0.38124999999999998</v>
      </c>
      <c r="K354" s="1" t="s">
        <v>181</v>
      </c>
    </row>
    <row r="355" spans="1:11" x14ac:dyDescent="0.25">
      <c r="A355" s="1" t="s">
        <v>1311</v>
      </c>
      <c r="B355" s="1" t="s">
        <v>1031</v>
      </c>
      <c r="C355" s="1" t="s">
        <v>1312</v>
      </c>
      <c r="D355" s="1" t="s">
        <v>1313</v>
      </c>
      <c r="E355" s="1" t="s">
        <v>178</v>
      </c>
      <c r="F355" s="1" t="s">
        <v>1021</v>
      </c>
      <c r="G355" s="1" t="s">
        <v>186</v>
      </c>
      <c r="H355" s="1">
        <v>5.0999999999999996</v>
      </c>
      <c r="I355" s="1">
        <v>0.38124999999999998</v>
      </c>
      <c r="K355" s="1" t="s">
        <v>181</v>
      </c>
    </row>
    <row r="356" spans="1:11" x14ac:dyDescent="0.25">
      <c r="A356" s="1" t="s">
        <v>1314</v>
      </c>
      <c r="B356" s="1" t="s">
        <v>1031</v>
      </c>
      <c r="C356" s="1" t="s">
        <v>1315</v>
      </c>
      <c r="D356" s="1" t="s">
        <v>1316</v>
      </c>
      <c r="E356" s="1" t="s">
        <v>178</v>
      </c>
      <c r="F356" s="1" t="s">
        <v>1021</v>
      </c>
      <c r="G356" s="1" t="s">
        <v>186</v>
      </c>
      <c r="H356" s="1">
        <v>5.0999999999999996</v>
      </c>
      <c r="I356" s="1">
        <v>0.38124999999999998</v>
      </c>
      <c r="K356" s="1" t="s">
        <v>181</v>
      </c>
    </row>
    <row r="357" spans="1:11" x14ac:dyDescent="0.25">
      <c r="A357" s="1" t="s">
        <v>1317</v>
      </c>
      <c r="B357" s="1" t="s">
        <v>1031</v>
      </c>
      <c r="C357" s="1" t="s">
        <v>1318</v>
      </c>
      <c r="D357" s="1" t="s">
        <v>1319</v>
      </c>
      <c r="E357" s="1" t="s">
        <v>178</v>
      </c>
      <c r="F357" s="1" t="s">
        <v>1021</v>
      </c>
      <c r="G357" s="1" t="s">
        <v>186</v>
      </c>
      <c r="H357" s="1">
        <v>5.0999999999999996</v>
      </c>
      <c r="I357" s="1">
        <v>0.38124999999999998</v>
      </c>
      <c r="K357" s="1" t="s">
        <v>181</v>
      </c>
    </row>
    <row r="358" spans="1:11" x14ac:dyDescent="0.25">
      <c r="A358" s="1" t="s">
        <v>1320</v>
      </c>
      <c r="B358" s="1" t="s">
        <v>1031</v>
      </c>
      <c r="C358" s="1" t="s">
        <v>1321</v>
      </c>
      <c r="D358" s="1" t="s">
        <v>1322</v>
      </c>
      <c r="E358" s="1" t="s">
        <v>178</v>
      </c>
      <c r="F358" s="1" t="s">
        <v>1021</v>
      </c>
      <c r="G358" s="1" t="s">
        <v>186</v>
      </c>
      <c r="H358" s="1">
        <v>5.0999999999999996</v>
      </c>
      <c r="I358" s="1">
        <v>0.38124999999999998</v>
      </c>
      <c r="K358" s="1" t="s">
        <v>181</v>
      </c>
    </row>
    <row r="359" spans="1:11" x14ac:dyDescent="0.25">
      <c r="A359" s="1" t="s">
        <v>1323</v>
      </c>
      <c r="B359" s="1" t="s">
        <v>1324</v>
      </c>
      <c r="C359" s="1" t="s">
        <v>1325</v>
      </c>
      <c r="D359" s="1" t="s">
        <v>1326</v>
      </c>
      <c r="E359" s="1" t="s">
        <v>178</v>
      </c>
      <c r="F359" s="1" t="s">
        <v>1021</v>
      </c>
      <c r="G359" s="1" t="s">
        <v>186</v>
      </c>
      <c r="H359" s="1">
        <v>5.0999999999999996</v>
      </c>
      <c r="I359" s="1">
        <v>0.38124999999999998</v>
      </c>
      <c r="K359" s="1" t="s">
        <v>181</v>
      </c>
    </row>
    <row r="360" spans="1:11" x14ac:dyDescent="0.25">
      <c r="A360" s="1" t="s">
        <v>1327</v>
      </c>
      <c r="B360" s="1" t="s">
        <v>1328</v>
      </c>
      <c r="C360" s="1" t="s">
        <v>1329</v>
      </c>
      <c r="D360" s="1" t="s">
        <v>1330</v>
      </c>
      <c r="E360" s="1" t="s">
        <v>178</v>
      </c>
      <c r="F360" s="1" t="s">
        <v>1021</v>
      </c>
      <c r="G360" s="1" t="s">
        <v>186</v>
      </c>
      <c r="H360" s="1">
        <v>5.0999999999999996</v>
      </c>
      <c r="I360" s="1">
        <v>0.38124999999999998</v>
      </c>
      <c r="K360" s="1" t="s">
        <v>181</v>
      </c>
    </row>
    <row r="361" spans="1:11" x14ac:dyDescent="0.25">
      <c r="A361" s="1" t="s">
        <v>1331</v>
      </c>
      <c r="B361" s="1" t="s">
        <v>1332</v>
      </c>
      <c r="C361" s="1" t="s">
        <v>1333</v>
      </c>
      <c r="D361" s="1" t="s">
        <v>1334</v>
      </c>
      <c r="E361" s="1" t="s">
        <v>178</v>
      </c>
      <c r="F361" s="1" t="s">
        <v>1021</v>
      </c>
      <c r="G361" s="1" t="s">
        <v>180</v>
      </c>
      <c r="H361" s="1">
        <v>5.0999999999999996</v>
      </c>
      <c r="I361" s="1">
        <v>0.38124999999999998</v>
      </c>
      <c r="K361" s="1" t="s">
        <v>181</v>
      </c>
    </row>
    <row r="362" spans="1:11" x14ac:dyDescent="0.25">
      <c r="A362" s="1" t="s">
        <v>1335</v>
      </c>
      <c r="B362" s="1" t="s">
        <v>301</v>
      </c>
      <c r="C362" s="1" t="s">
        <v>1336</v>
      </c>
      <c r="D362" s="1" t="s">
        <v>1337</v>
      </c>
      <c r="E362" s="1" t="s">
        <v>178</v>
      </c>
      <c r="F362" s="1" t="s">
        <v>1021</v>
      </c>
      <c r="G362" s="1" t="s">
        <v>186</v>
      </c>
      <c r="H362" s="1">
        <v>5.0999999999999996</v>
      </c>
      <c r="I362" s="1">
        <v>0.38124999999999998</v>
      </c>
      <c r="K362" s="1" t="s">
        <v>181</v>
      </c>
    </row>
    <row r="363" spans="1:11" x14ac:dyDescent="0.25">
      <c r="A363" s="1" t="s">
        <v>1338</v>
      </c>
      <c r="B363" s="1" t="s">
        <v>1339</v>
      </c>
      <c r="C363" s="1" t="s">
        <v>1340</v>
      </c>
      <c r="D363" s="1" t="s">
        <v>1341</v>
      </c>
      <c r="E363" s="1" t="s">
        <v>178</v>
      </c>
      <c r="F363" s="1" t="s">
        <v>1021</v>
      </c>
      <c r="G363" s="1" t="s">
        <v>186</v>
      </c>
      <c r="H363" s="1">
        <v>5.0999999999999996</v>
      </c>
      <c r="I363" s="1">
        <v>0.38124999999999998</v>
      </c>
      <c r="K363" s="1" t="s">
        <v>181</v>
      </c>
    </row>
    <row r="364" spans="1:11" x14ac:dyDescent="0.25">
      <c r="A364" s="1" t="s">
        <v>1342</v>
      </c>
      <c r="B364" s="1" t="s">
        <v>1339</v>
      </c>
      <c r="C364" s="1" t="s">
        <v>1343</v>
      </c>
      <c r="D364" s="1" t="s">
        <v>1344</v>
      </c>
      <c r="E364" s="1" t="s">
        <v>178</v>
      </c>
      <c r="F364" s="1" t="s">
        <v>1021</v>
      </c>
      <c r="G364" s="1" t="s">
        <v>186</v>
      </c>
      <c r="H364" s="1">
        <v>5.0999999999999996</v>
      </c>
      <c r="I364" s="1">
        <v>0.38124999999999998</v>
      </c>
      <c r="K364" s="1" t="s">
        <v>181</v>
      </c>
    </row>
    <row r="365" spans="1:11" x14ac:dyDescent="0.25">
      <c r="A365" s="1" t="s">
        <v>1345</v>
      </c>
      <c r="B365" s="1" t="s">
        <v>1031</v>
      </c>
      <c r="C365" s="1" t="s">
        <v>1346</v>
      </c>
      <c r="D365" s="1" t="s">
        <v>1347</v>
      </c>
      <c r="E365" s="1" t="s">
        <v>178</v>
      </c>
      <c r="F365" s="1" t="s">
        <v>1021</v>
      </c>
      <c r="G365" s="1" t="s">
        <v>186</v>
      </c>
      <c r="H365" s="1">
        <v>5.0999999999999996</v>
      </c>
      <c r="I365" s="1">
        <v>0.38124999999999998</v>
      </c>
      <c r="K365" s="1" t="s">
        <v>181</v>
      </c>
    </row>
    <row r="366" spans="1:11" x14ac:dyDescent="0.25">
      <c r="A366" s="1" t="s">
        <v>1348</v>
      </c>
      <c r="B366" s="1" t="s">
        <v>1349</v>
      </c>
      <c r="C366" s="1" t="s">
        <v>1350</v>
      </c>
      <c r="D366" s="1" t="s">
        <v>1351</v>
      </c>
      <c r="E366" s="1" t="s">
        <v>178</v>
      </c>
      <c r="F366" s="1" t="s">
        <v>1021</v>
      </c>
      <c r="G366" s="1" t="s">
        <v>186</v>
      </c>
      <c r="H366" s="1">
        <v>5.0999999999999996</v>
      </c>
      <c r="I366" s="1">
        <v>0.38124999999999998</v>
      </c>
      <c r="K366" s="1" t="s">
        <v>181</v>
      </c>
    </row>
    <row r="367" spans="1:11" x14ac:dyDescent="0.25">
      <c r="A367" s="1" t="s">
        <v>1352</v>
      </c>
      <c r="B367" s="1" t="s">
        <v>196</v>
      </c>
      <c r="C367" s="1" t="s">
        <v>1353</v>
      </c>
      <c r="D367" s="1" t="s">
        <v>1354</v>
      </c>
      <c r="E367" s="1" t="s">
        <v>178</v>
      </c>
      <c r="F367" s="1" t="s">
        <v>1021</v>
      </c>
      <c r="G367" s="1" t="s">
        <v>186</v>
      </c>
      <c r="H367" s="1">
        <v>5.0999999999999996</v>
      </c>
      <c r="I367" s="1">
        <v>0.38124999999999998</v>
      </c>
      <c r="K367" s="1" t="s">
        <v>181</v>
      </c>
    </row>
    <row r="368" spans="1:11" x14ac:dyDescent="0.25">
      <c r="A368" s="1" t="s">
        <v>1355</v>
      </c>
      <c r="B368" s="1" t="s">
        <v>1356</v>
      </c>
      <c r="C368" s="1" t="s">
        <v>1357</v>
      </c>
      <c r="D368" s="1" t="s">
        <v>1358</v>
      </c>
      <c r="E368" s="1" t="s">
        <v>178</v>
      </c>
      <c r="F368" s="1" t="s">
        <v>1021</v>
      </c>
      <c r="G368" s="1" t="s">
        <v>186</v>
      </c>
      <c r="H368" s="1">
        <v>5.0999999999999996</v>
      </c>
      <c r="I368" s="1">
        <v>0.38124999999999998</v>
      </c>
      <c r="K368" s="1" t="s">
        <v>181</v>
      </c>
    </row>
    <row r="369" spans="1:11" x14ac:dyDescent="0.25">
      <c r="A369" s="1" t="s">
        <v>1359</v>
      </c>
      <c r="B369" s="1" t="s">
        <v>388</v>
      </c>
      <c r="C369" s="1" t="s">
        <v>1360</v>
      </c>
      <c r="D369" s="1" t="s">
        <v>1361</v>
      </c>
      <c r="E369" s="1" t="s">
        <v>178</v>
      </c>
      <c r="F369" s="1" t="s">
        <v>1021</v>
      </c>
      <c r="G369" s="1" t="s">
        <v>186</v>
      </c>
      <c r="H369" s="1">
        <v>5.0999999999999996</v>
      </c>
      <c r="I369" s="1">
        <v>0.38124999999999998</v>
      </c>
      <c r="K369" s="1" t="s">
        <v>181</v>
      </c>
    </row>
    <row r="370" spans="1:11" x14ac:dyDescent="0.25">
      <c r="A370" s="1" t="s">
        <v>1362</v>
      </c>
      <c r="B370" s="1" t="s">
        <v>1363</v>
      </c>
      <c r="C370" s="1" t="s">
        <v>1364</v>
      </c>
      <c r="D370" s="1" t="s">
        <v>1365</v>
      </c>
      <c r="E370" s="1" t="s">
        <v>178</v>
      </c>
      <c r="F370" s="1" t="s">
        <v>1021</v>
      </c>
      <c r="G370" s="1" t="s">
        <v>186</v>
      </c>
      <c r="H370" s="1">
        <v>5.0999999999999996</v>
      </c>
      <c r="I370" s="1">
        <v>0.38124999999999998</v>
      </c>
      <c r="K370" s="1" t="s">
        <v>181</v>
      </c>
    </row>
    <row r="371" spans="1:11" x14ac:dyDescent="0.25">
      <c r="A371" s="1" t="s">
        <v>1366</v>
      </c>
      <c r="B371" s="1" t="s">
        <v>1367</v>
      </c>
      <c r="C371" s="1" t="s">
        <v>1368</v>
      </c>
      <c r="D371" s="1" t="s">
        <v>1369</v>
      </c>
      <c r="E371" s="1" t="s">
        <v>178</v>
      </c>
      <c r="F371" s="1" t="s">
        <v>1021</v>
      </c>
      <c r="G371" s="1" t="s">
        <v>186</v>
      </c>
      <c r="H371" s="1">
        <v>5.0999999999999996</v>
      </c>
      <c r="I371" s="1">
        <v>0.38124999999999998</v>
      </c>
      <c r="K371" s="1" t="s">
        <v>181</v>
      </c>
    </row>
    <row r="372" spans="1:11" x14ac:dyDescent="0.25">
      <c r="A372" s="1" t="s">
        <v>1370</v>
      </c>
      <c r="B372" s="1" t="s">
        <v>1371</v>
      </c>
      <c r="C372" s="1" t="s">
        <v>1372</v>
      </c>
      <c r="D372" s="1" t="s">
        <v>1373</v>
      </c>
      <c r="E372" s="1" t="s">
        <v>178</v>
      </c>
      <c r="F372" s="1" t="s">
        <v>1021</v>
      </c>
      <c r="G372" s="1" t="s">
        <v>186</v>
      </c>
      <c r="H372" s="1">
        <v>5.0999999999999996</v>
      </c>
      <c r="I372" s="1">
        <v>0.38124999999999998</v>
      </c>
      <c r="K372" s="1" t="s">
        <v>181</v>
      </c>
    </row>
    <row r="373" spans="1:11" x14ac:dyDescent="0.25">
      <c r="A373" s="1" t="s">
        <v>1374</v>
      </c>
      <c r="B373" s="1" t="s">
        <v>1375</v>
      </c>
      <c r="C373" s="1" t="s">
        <v>1376</v>
      </c>
      <c r="D373" s="1" t="s">
        <v>1377</v>
      </c>
      <c r="E373" s="1" t="s">
        <v>178</v>
      </c>
      <c r="F373" s="1" t="s">
        <v>1021</v>
      </c>
      <c r="G373" s="1" t="s">
        <v>186</v>
      </c>
      <c r="H373" s="1">
        <v>5.0999999999999996</v>
      </c>
      <c r="I373" s="1">
        <v>0.38124999999999998</v>
      </c>
      <c r="K373" s="1" t="s">
        <v>181</v>
      </c>
    </row>
    <row r="374" spans="1:11" x14ac:dyDescent="0.25">
      <c r="A374" s="1" t="s">
        <v>1378</v>
      </c>
      <c r="B374" s="1" t="s">
        <v>1379</v>
      </c>
      <c r="C374" s="1" t="s">
        <v>1380</v>
      </c>
      <c r="D374" s="1" t="s">
        <v>1381</v>
      </c>
      <c r="E374" s="1" t="s">
        <v>178</v>
      </c>
      <c r="F374" s="1" t="s">
        <v>1021</v>
      </c>
      <c r="G374" s="1" t="s">
        <v>186</v>
      </c>
      <c r="H374" s="1">
        <v>5.0999999999999996</v>
      </c>
      <c r="I374" s="1">
        <v>0.38124999999999998</v>
      </c>
      <c r="K374" s="1" t="s">
        <v>181</v>
      </c>
    </row>
    <row r="375" spans="1:11" x14ac:dyDescent="0.25">
      <c r="A375" s="1" t="s">
        <v>1382</v>
      </c>
      <c r="B375" s="1" t="s">
        <v>1383</v>
      </c>
      <c r="C375" s="1" t="s">
        <v>1384</v>
      </c>
      <c r="D375" s="1" t="s">
        <v>1385</v>
      </c>
      <c r="E375" s="1" t="s">
        <v>178</v>
      </c>
      <c r="F375" s="1" t="s">
        <v>1021</v>
      </c>
      <c r="G375" s="1" t="s">
        <v>186</v>
      </c>
      <c r="H375" s="1">
        <v>5.0999999999999996</v>
      </c>
      <c r="I375" s="1">
        <v>0.38124999999999998</v>
      </c>
      <c r="K375" s="1" t="s">
        <v>181</v>
      </c>
    </row>
    <row r="376" spans="1:11" x14ac:dyDescent="0.25">
      <c r="A376" s="1" t="s">
        <v>1386</v>
      </c>
      <c r="B376" s="1" t="s">
        <v>612</v>
      </c>
      <c r="C376" s="1" t="s">
        <v>1387</v>
      </c>
      <c r="D376" s="1" t="s">
        <v>1388</v>
      </c>
      <c r="E376" s="1" t="s">
        <v>178</v>
      </c>
      <c r="F376" s="1" t="s">
        <v>1021</v>
      </c>
      <c r="G376" s="1" t="s">
        <v>186</v>
      </c>
      <c r="H376" s="1">
        <v>5.0999999999999996</v>
      </c>
      <c r="I376" s="1">
        <v>0.38124999999999998</v>
      </c>
      <c r="K376" s="1" t="s">
        <v>181</v>
      </c>
    </row>
    <row r="377" spans="1:11" x14ac:dyDescent="0.25">
      <c r="A377" s="1" t="s">
        <v>1389</v>
      </c>
      <c r="B377" s="1" t="s">
        <v>1390</v>
      </c>
      <c r="C377" s="1" t="s">
        <v>1391</v>
      </c>
      <c r="D377" s="1" t="s">
        <v>1392</v>
      </c>
      <c r="E377" s="1" t="s">
        <v>178</v>
      </c>
      <c r="F377" s="1" t="s">
        <v>1021</v>
      </c>
      <c r="G377" s="1" t="s">
        <v>186</v>
      </c>
      <c r="H377" s="1">
        <v>5.0999999999999996</v>
      </c>
      <c r="I377" s="1">
        <v>0.38124999999999998</v>
      </c>
      <c r="K377" s="1" t="s">
        <v>181</v>
      </c>
    </row>
    <row r="378" spans="1:11" x14ac:dyDescent="0.25">
      <c r="A378" s="1" t="s">
        <v>1393</v>
      </c>
      <c r="B378" s="1" t="s">
        <v>1074</v>
      </c>
      <c r="C378" s="1" t="s">
        <v>1394</v>
      </c>
      <c r="D378" s="1" t="s">
        <v>1395</v>
      </c>
      <c r="E378" s="1" t="s">
        <v>178</v>
      </c>
      <c r="F378" s="1" t="s">
        <v>1021</v>
      </c>
      <c r="G378" s="1" t="s">
        <v>186</v>
      </c>
      <c r="H378" s="1">
        <v>5.0999999999999996</v>
      </c>
      <c r="I378" s="1">
        <v>0.38124999999999998</v>
      </c>
      <c r="K378" s="1" t="s">
        <v>181</v>
      </c>
    </row>
    <row r="379" spans="1:11" x14ac:dyDescent="0.25">
      <c r="A379" s="1" t="s">
        <v>1396</v>
      </c>
      <c r="B379" s="1" t="s">
        <v>1397</v>
      </c>
      <c r="C379" s="1" t="s">
        <v>1398</v>
      </c>
      <c r="D379" s="1" t="s">
        <v>1399</v>
      </c>
      <c r="E379" s="1" t="s">
        <v>178</v>
      </c>
      <c r="F379" s="1" t="s">
        <v>1021</v>
      </c>
      <c r="G379" s="1" t="s">
        <v>186</v>
      </c>
      <c r="H379" s="1">
        <v>5.0999999999999996</v>
      </c>
      <c r="I379" s="1">
        <v>0.38124999999999998</v>
      </c>
      <c r="K379" s="1" t="s">
        <v>181</v>
      </c>
    </row>
    <row r="380" spans="1:11" x14ac:dyDescent="0.25">
      <c r="A380" s="1" t="s">
        <v>1400</v>
      </c>
      <c r="B380" s="1" t="s">
        <v>1401</v>
      </c>
      <c r="C380" s="1" t="s">
        <v>1402</v>
      </c>
      <c r="D380" s="1" t="s">
        <v>1403</v>
      </c>
      <c r="E380" s="1" t="s">
        <v>178</v>
      </c>
      <c r="F380" s="1" t="s">
        <v>1021</v>
      </c>
      <c r="G380" s="1" t="s">
        <v>186</v>
      </c>
      <c r="H380" s="1">
        <v>5.0999999999999996</v>
      </c>
      <c r="I380" s="1">
        <v>0.38124999999999998</v>
      </c>
      <c r="K380" s="1" t="s">
        <v>181</v>
      </c>
    </row>
    <row r="381" spans="1:11" x14ac:dyDescent="0.25">
      <c r="A381" s="1" t="s">
        <v>1404</v>
      </c>
      <c r="B381" s="1" t="s">
        <v>1405</v>
      </c>
      <c r="C381" s="1" t="s">
        <v>1406</v>
      </c>
      <c r="D381" s="1" t="s">
        <v>1407</v>
      </c>
      <c r="E381" s="1" t="s">
        <v>178</v>
      </c>
      <c r="F381" s="1" t="s">
        <v>1021</v>
      </c>
      <c r="G381" s="1" t="s">
        <v>186</v>
      </c>
      <c r="H381" s="1">
        <v>5.0999999999999996</v>
      </c>
      <c r="I381" s="1">
        <v>0.38124999999999998</v>
      </c>
      <c r="K381" s="1" t="s">
        <v>181</v>
      </c>
    </row>
    <row r="382" spans="1:11" x14ac:dyDescent="0.25">
      <c r="A382" s="1" t="s">
        <v>1408</v>
      </c>
      <c r="B382" s="1" t="s">
        <v>1081</v>
      </c>
      <c r="C382" s="1" t="s">
        <v>1409</v>
      </c>
      <c r="D382" s="1" t="s">
        <v>1410</v>
      </c>
      <c r="E382" s="1" t="s">
        <v>178</v>
      </c>
      <c r="F382" s="1" t="s">
        <v>1021</v>
      </c>
      <c r="G382" s="1" t="s">
        <v>186</v>
      </c>
      <c r="H382" s="1">
        <v>5.0999999999999996</v>
      </c>
      <c r="I382" s="1">
        <v>0.38124999999999998</v>
      </c>
      <c r="K382" s="1" t="s">
        <v>181</v>
      </c>
    </row>
    <row r="383" spans="1:11" x14ac:dyDescent="0.25">
      <c r="A383" s="1" t="s">
        <v>1411</v>
      </c>
      <c r="B383" s="1" t="s">
        <v>1405</v>
      </c>
      <c r="C383" s="1" t="s">
        <v>1412</v>
      </c>
      <c r="D383" s="1" t="s">
        <v>1413</v>
      </c>
      <c r="E383" s="1" t="s">
        <v>178</v>
      </c>
      <c r="F383" s="1" t="s">
        <v>1021</v>
      </c>
      <c r="G383" s="1" t="s">
        <v>186</v>
      </c>
      <c r="H383" s="1">
        <v>5.0999999999999996</v>
      </c>
      <c r="I383" s="1">
        <v>0.38124999999999998</v>
      </c>
      <c r="K383" s="1" t="s">
        <v>181</v>
      </c>
    </row>
    <row r="384" spans="1:11" x14ac:dyDescent="0.25">
      <c r="A384" s="1" t="s">
        <v>1414</v>
      </c>
      <c r="B384" s="1" t="s">
        <v>1415</v>
      </c>
      <c r="C384" s="1" t="s">
        <v>1416</v>
      </c>
      <c r="D384" s="1" t="s">
        <v>1417</v>
      </c>
      <c r="E384" s="1" t="s">
        <v>178</v>
      </c>
      <c r="F384" s="1" t="s">
        <v>1021</v>
      </c>
      <c r="G384" s="1" t="s">
        <v>186</v>
      </c>
      <c r="H384" s="1">
        <v>5.0999999999999996</v>
      </c>
      <c r="I384" s="1">
        <v>0.38124999999999998</v>
      </c>
      <c r="K384" s="1" t="s">
        <v>181</v>
      </c>
    </row>
    <row r="385" spans="1:11" x14ac:dyDescent="0.25">
      <c r="A385" s="1" t="s">
        <v>1418</v>
      </c>
      <c r="B385" s="1" t="s">
        <v>319</v>
      </c>
      <c r="C385" s="1" t="s">
        <v>1419</v>
      </c>
      <c r="D385" s="1" t="s">
        <v>1420</v>
      </c>
      <c r="E385" s="1" t="s">
        <v>178</v>
      </c>
      <c r="F385" s="1" t="s">
        <v>1021</v>
      </c>
      <c r="G385" s="1" t="s">
        <v>186</v>
      </c>
      <c r="H385" s="1">
        <v>5.0999999999999996</v>
      </c>
      <c r="I385" s="1">
        <v>0.38124999999999998</v>
      </c>
      <c r="K385" s="1" t="s">
        <v>181</v>
      </c>
    </row>
    <row r="386" spans="1:11" x14ac:dyDescent="0.25">
      <c r="A386" s="1" t="s">
        <v>1421</v>
      </c>
      <c r="B386" s="1" t="s">
        <v>1422</v>
      </c>
      <c r="C386" s="1" t="s">
        <v>1423</v>
      </c>
      <c r="D386" s="1" t="s">
        <v>1424</v>
      </c>
      <c r="E386" s="1" t="s">
        <v>178</v>
      </c>
      <c r="F386" s="1" t="s">
        <v>1021</v>
      </c>
      <c r="G386" s="1" t="s">
        <v>186</v>
      </c>
      <c r="H386" s="1">
        <v>5.0999999999999996</v>
      </c>
      <c r="I386" s="1">
        <v>0.38124999999999998</v>
      </c>
      <c r="K386" s="1" t="s">
        <v>181</v>
      </c>
    </row>
    <row r="387" spans="1:11" x14ac:dyDescent="0.25">
      <c r="A387" s="1" t="s">
        <v>1425</v>
      </c>
      <c r="B387" s="1" t="s">
        <v>1422</v>
      </c>
      <c r="C387" s="1" t="s">
        <v>1426</v>
      </c>
      <c r="D387" s="1" t="s">
        <v>1427</v>
      </c>
      <c r="E387" s="1" t="s">
        <v>178</v>
      </c>
      <c r="F387" s="1" t="s">
        <v>1021</v>
      </c>
      <c r="G387" s="1" t="s">
        <v>186</v>
      </c>
      <c r="H387" s="1">
        <v>5.0999999999999996</v>
      </c>
      <c r="I387" s="1">
        <v>0.38124999999999998</v>
      </c>
      <c r="K387" s="1" t="s">
        <v>181</v>
      </c>
    </row>
    <row r="388" spans="1:11" x14ac:dyDescent="0.25">
      <c r="A388" s="1" t="s">
        <v>1428</v>
      </c>
      <c r="B388" s="1" t="s">
        <v>1422</v>
      </c>
      <c r="C388" s="1" t="s">
        <v>1429</v>
      </c>
      <c r="D388" s="1" t="s">
        <v>1430</v>
      </c>
      <c r="E388" s="1" t="s">
        <v>178</v>
      </c>
      <c r="F388" s="1" t="s">
        <v>1021</v>
      </c>
      <c r="G388" s="1" t="s">
        <v>186</v>
      </c>
      <c r="H388" s="1">
        <v>5.0999999999999996</v>
      </c>
      <c r="I388" s="1">
        <v>0.38124999999999998</v>
      </c>
      <c r="K388" s="1" t="s">
        <v>181</v>
      </c>
    </row>
    <row r="389" spans="1:11" x14ac:dyDescent="0.25">
      <c r="A389" s="1" t="s">
        <v>1431</v>
      </c>
      <c r="B389" s="1" t="s">
        <v>1422</v>
      </c>
      <c r="C389" s="1" t="s">
        <v>1432</v>
      </c>
      <c r="D389" s="1" t="s">
        <v>1433</v>
      </c>
      <c r="E389" s="1" t="s">
        <v>178</v>
      </c>
      <c r="F389" s="1" t="s">
        <v>1021</v>
      </c>
      <c r="G389" s="1" t="s">
        <v>186</v>
      </c>
      <c r="H389" s="1">
        <v>5.0999999999999996</v>
      </c>
      <c r="I389" s="1">
        <v>0.38124999999999998</v>
      </c>
      <c r="K389" s="1" t="s">
        <v>181</v>
      </c>
    </row>
    <row r="390" spans="1:11" x14ac:dyDescent="0.25">
      <c r="A390" s="1" t="s">
        <v>1434</v>
      </c>
      <c r="B390" s="1" t="s">
        <v>1422</v>
      </c>
      <c r="C390" s="1" t="s">
        <v>1435</v>
      </c>
      <c r="D390" s="1" t="s">
        <v>1436</v>
      </c>
      <c r="E390" s="1" t="s">
        <v>178</v>
      </c>
      <c r="F390" s="1" t="s">
        <v>1021</v>
      </c>
      <c r="G390" s="1" t="s">
        <v>186</v>
      </c>
      <c r="H390" s="1">
        <v>5.0999999999999996</v>
      </c>
      <c r="I390" s="1">
        <v>0.38124999999999998</v>
      </c>
      <c r="K390" s="1" t="s">
        <v>181</v>
      </c>
    </row>
    <row r="391" spans="1:11" x14ac:dyDescent="0.25">
      <c r="A391" s="1" t="s">
        <v>1437</v>
      </c>
      <c r="B391" s="1" t="s">
        <v>1422</v>
      </c>
      <c r="C391" s="1" t="s">
        <v>1438</v>
      </c>
      <c r="D391" s="1" t="s">
        <v>1439</v>
      </c>
      <c r="E391" s="1" t="s">
        <v>178</v>
      </c>
      <c r="F391" s="1" t="s">
        <v>1021</v>
      </c>
      <c r="G391" s="1" t="s">
        <v>186</v>
      </c>
      <c r="H391" s="1">
        <v>5.0999999999999996</v>
      </c>
      <c r="I391" s="1">
        <v>0.38124999999999998</v>
      </c>
      <c r="K391" s="1" t="s">
        <v>181</v>
      </c>
    </row>
    <row r="392" spans="1:11" x14ac:dyDescent="0.25">
      <c r="A392" s="1" t="s">
        <v>1440</v>
      </c>
      <c r="B392" s="1" t="s">
        <v>1422</v>
      </c>
      <c r="C392" s="1" t="s">
        <v>1441</v>
      </c>
      <c r="D392" s="1" t="s">
        <v>1442</v>
      </c>
      <c r="E392" s="1" t="s">
        <v>178</v>
      </c>
      <c r="F392" s="1" t="s">
        <v>1021</v>
      </c>
      <c r="G392" s="1" t="s">
        <v>186</v>
      </c>
      <c r="H392" s="1">
        <v>5.0999999999999996</v>
      </c>
      <c r="I392" s="1">
        <v>0.38124999999999998</v>
      </c>
      <c r="K392" s="1" t="s">
        <v>181</v>
      </c>
    </row>
    <row r="393" spans="1:11" x14ac:dyDescent="0.25">
      <c r="A393" s="1" t="s">
        <v>1443</v>
      </c>
      <c r="B393" s="1" t="s">
        <v>1422</v>
      </c>
      <c r="C393" s="1" t="s">
        <v>1444</v>
      </c>
      <c r="D393" s="1" t="s">
        <v>1445</v>
      </c>
      <c r="E393" s="1" t="s">
        <v>178</v>
      </c>
      <c r="F393" s="1" t="s">
        <v>1021</v>
      </c>
      <c r="G393" s="1" t="s">
        <v>186</v>
      </c>
      <c r="H393" s="1">
        <v>5.0999999999999996</v>
      </c>
      <c r="I393" s="1">
        <v>0.38124999999999998</v>
      </c>
      <c r="K393" s="1" t="s">
        <v>181</v>
      </c>
    </row>
    <row r="394" spans="1:11" x14ac:dyDescent="0.25">
      <c r="A394" s="1" t="s">
        <v>1446</v>
      </c>
      <c r="B394" s="1" t="s">
        <v>1324</v>
      </c>
      <c r="C394" s="1" t="s">
        <v>1447</v>
      </c>
      <c r="D394" s="1" t="s">
        <v>1448</v>
      </c>
      <c r="E394" s="1" t="s">
        <v>178</v>
      </c>
      <c r="F394" s="1" t="s">
        <v>1021</v>
      </c>
      <c r="G394" s="1" t="s">
        <v>186</v>
      </c>
      <c r="H394" s="1">
        <v>5.0999999999999996</v>
      </c>
      <c r="I394" s="1">
        <v>0.38124999999999998</v>
      </c>
      <c r="K394" s="1" t="s">
        <v>181</v>
      </c>
    </row>
    <row r="395" spans="1:11" x14ac:dyDescent="0.25">
      <c r="A395" s="1" t="s">
        <v>1449</v>
      </c>
      <c r="B395" s="1" t="s">
        <v>1031</v>
      </c>
      <c r="C395" s="1" t="s">
        <v>1450</v>
      </c>
      <c r="D395" s="1" t="s">
        <v>1451</v>
      </c>
      <c r="E395" s="1" t="s">
        <v>178</v>
      </c>
      <c r="F395" s="1" t="s">
        <v>1021</v>
      </c>
      <c r="G395" s="1" t="s">
        <v>186</v>
      </c>
      <c r="H395" s="1">
        <v>5.0999999999999996</v>
      </c>
      <c r="I395" s="1">
        <v>0.38124999999999998</v>
      </c>
      <c r="K395" s="1" t="s">
        <v>181</v>
      </c>
    </row>
    <row r="396" spans="1:11" x14ac:dyDescent="0.25">
      <c r="A396" s="1" t="s">
        <v>1452</v>
      </c>
      <c r="B396" s="1" t="s">
        <v>1031</v>
      </c>
      <c r="C396" s="1" t="s">
        <v>1453</v>
      </c>
      <c r="D396" s="1" t="s">
        <v>1454</v>
      </c>
      <c r="E396" s="1" t="s">
        <v>178</v>
      </c>
      <c r="F396" s="1" t="s">
        <v>1021</v>
      </c>
      <c r="G396" s="1" t="s">
        <v>186</v>
      </c>
      <c r="H396" s="1">
        <v>5.0999999999999996</v>
      </c>
      <c r="I396" s="1">
        <v>0.38124999999999998</v>
      </c>
      <c r="K396" s="1" t="s">
        <v>181</v>
      </c>
    </row>
    <row r="397" spans="1:11" x14ac:dyDescent="0.25">
      <c r="A397" s="1" t="s">
        <v>1455</v>
      </c>
      <c r="B397" s="1" t="s">
        <v>1031</v>
      </c>
      <c r="C397" s="1" t="s">
        <v>1456</v>
      </c>
      <c r="D397" s="1" t="s">
        <v>1457</v>
      </c>
      <c r="E397" s="1" t="s">
        <v>178</v>
      </c>
      <c r="F397" s="1" t="s">
        <v>1021</v>
      </c>
      <c r="G397" s="1" t="s">
        <v>186</v>
      </c>
      <c r="H397" s="1">
        <v>5.0999999999999996</v>
      </c>
      <c r="I397" s="1">
        <v>0.38124999999999998</v>
      </c>
      <c r="K397" s="1" t="s">
        <v>181</v>
      </c>
    </row>
    <row r="398" spans="1:11" x14ac:dyDescent="0.25">
      <c r="A398" s="1" t="s">
        <v>1458</v>
      </c>
      <c r="B398" s="1" t="s">
        <v>1031</v>
      </c>
      <c r="C398" s="1" t="s">
        <v>1459</v>
      </c>
      <c r="D398" s="1" t="s">
        <v>1460</v>
      </c>
      <c r="E398" s="1" t="s">
        <v>178</v>
      </c>
      <c r="F398" s="1" t="s">
        <v>1021</v>
      </c>
      <c r="G398" s="1" t="s">
        <v>186</v>
      </c>
      <c r="H398" s="1">
        <v>5.0999999999999996</v>
      </c>
      <c r="I398" s="1">
        <v>0.38124999999999998</v>
      </c>
      <c r="K398" s="1" t="s">
        <v>181</v>
      </c>
    </row>
    <row r="399" spans="1:11" x14ac:dyDescent="0.25">
      <c r="A399" s="1" t="s">
        <v>1461</v>
      </c>
      <c r="B399" s="1" t="s">
        <v>1031</v>
      </c>
      <c r="C399" s="1" t="s">
        <v>1462</v>
      </c>
      <c r="D399" s="1" t="s">
        <v>1463</v>
      </c>
      <c r="E399" s="1" t="s">
        <v>178</v>
      </c>
      <c r="F399" s="1" t="s">
        <v>1021</v>
      </c>
      <c r="G399" s="1" t="s">
        <v>186</v>
      </c>
      <c r="H399" s="1">
        <v>5.0999999999999996</v>
      </c>
      <c r="I399" s="1">
        <v>0.38124999999999998</v>
      </c>
      <c r="K399" s="1" t="s">
        <v>181</v>
      </c>
    </row>
    <row r="400" spans="1:11" x14ac:dyDescent="0.25">
      <c r="A400" s="1" t="s">
        <v>1464</v>
      </c>
      <c r="B400" s="1" t="s">
        <v>1031</v>
      </c>
      <c r="C400" s="1" t="s">
        <v>1465</v>
      </c>
      <c r="D400" s="1" t="s">
        <v>1466</v>
      </c>
      <c r="E400" s="1" t="s">
        <v>178</v>
      </c>
      <c r="F400" s="1" t="s">
        <v>1021</v>
      </c>
      <c r="G400" s="1" t="s">
        <v>186</v>
      </c>
      <c r="H400" s="1">
        <v>5.0999999999999996</v>
      </c>
      <c r="I400" s="1">
        <v>0.38124999999999998</v>
      </c>
      <c r="K400" s="1" t="s">
        <v>181</v>
      </c>
    </row>
    <row r="401" spans="1:11" x14ac:dyDescent="0.25">
      <c r="A401" s="1" t="s">
        <v>1467</v>
      </c>
      <c r="B401" s="1" t="s">
        <v>1031</v>
      </c>
      <c r="C401" s="1" t="s">
        <v>1468</v>
      </c>
      <c r="D401" s="1" t="s">
        <v>1469</v>
      </c>
      <c r="E401" s="1" t="s">
        <v>178</v>
      </c>
      <c r="F401" s="1" t="s">
        <v>1021</v>
      </c>
      <c r="G401" s="1" t="s">
        <v>186</v>
      </c>
      <c r="H401" s="1">
        <v>5.0999999999999996</v>
      </c>
      <c r="I401" s="1">
        <v>0.38124999999999998</v>
      </c>
      <c r="K401" s="1" t="s">
        <v>181</v>
      </c>
    </row>
    <row r="402" spans="1:11" x14ac:dyDescent="0.25">
      <c r="A402" s="1" t="s">
        <v>1470</v>
      </c>
      <c r="B402" s="1" t="s">
        <v>1031</v>
      </c>
      <c r="C402" s="1" t="s">
        <v>1471</v>
      </c>
      <c r="D402" s="1" t="s">
        <v>1472</v>
      </c>
      <c r="E402" s="1" t="s">
        <v>178</v>
      </c>
      <c r="F402" s="1" t="s">
        <v>1021</v>
      </c>
      <c r="G402" s="1" t="s">
        <v>186</v>
      </c>
      <c r="H402" s="1">
        <v>5.0999999999999996</v>
      </c>
      <c r="I402" s="1">
        <v>0.38124999999999998</v>
      </c>
      <c r="K402" s="1" t="s">
        <v>181</v>
      </c>
    </row>
    <row r="403" spans="1:11" x14ac:dyDescent="0.25">
      <c r="A403" s="1" t="s">
        <v>1473</v>
      </c>
      <c r="B403" s="1" t="s">
        <v>1031</v>
      </c>
      <c r="C403" s="1" t="s">
        <v>1474</v>
      </c>
      <c r="D403" s="1" t="s">
        <v>1475</v>
      </c>
      <c r="E403" s="1" t="s">
        <v>178</v>
      </c>
      <c r="F403" s="1" t="s">
        <v>1021</v>
      </c>
      <c r="G403" s="1" t="s">
        <v>186</v>
      </c>
      <c r="H403" s="1">
        <v>5.0999999999999996</v>
      </c>
      <c r="I403" s="1">
        <v>0.38124999999999998</v>
      </c>
      <c r="K403" s="1" t="s">
        <v>181</v>
      </c>
    </row>
    <row r="404" spans="1:11" x14ac:dyDescent="0.25">
      <c r="A404" s="1" t="s">
        <v>1476</v>
      </c>
      <c r="B404" s="1" t="s">
        <v>1031</v>
      </c>
      <c r="C404" s="1" t="s">
        <v>1477</v>
      </c>
      <c r="D404" s="1" t="s">
        <v>1478</v>
      </c>
      <c r="E404" s="1" t="s">
        <v>178</v>
      </c>
      <c r="F404" s="1" t="s">
        <v>1021</v>
      </c>
      <c r="G404" s="1" t="s">
        <v>186</v>
      </c>
      <c r="H404" s="1">
        <v>5.0999999999999996</v>
      </c>
      <c r="I404" s="1">
        <v>0.38124999999999998</v>
      </c>
      <c r="K404" s="1" t="s">
        <v>181</v>
      </c>
    </row>
    <row r="405" spans="1:11" x14ac:dyDescent="0.25">
      <c r="A405" s="1" t="s">
        <v>1479</v>
      </c>
      <c r="B405" s="1" t="s">
        <v>1031</v>
      </c>
      <c r="C405" s="1" t="s">
        <v>1480</v>
      </c>
      <c r="D405" s="1" t="s">
        <v>1481</v>
      </c>
      <c r="E405" s="1" t="s">
        <v>178</v>
      </c>
      <c r="F405" s="1" t="s">
        <v>1021</v>
      </c>
      <c r="G405" s="1" t="s">
        <v>186</v>
      </c>
      <c r="H405" s="1">
        <v>5.0999999999999996</v>
      </c>
      <c r="I405" s="1">
        <v>0.38124999999999998</v>
      </c>
      <c r="K405" s="1" t="s">
        <v>181</v>
      </c>
    </row>
    <row r="406" spans="1:11" x14ac:dyDescent="0.25">
      <c r="A406" s="1" t="s">
        <v>1482</v>
      </c>
      <c r="B406" s="1" t="s">
        <v>1031</v>
      </c>
      <c r="C406" s="1" t="s">
        <v>1483</v>
      </c>
      <c r="D406" s="1" t="s">
        <v>1484</v>
      </c>
      <c r="E406" s="1" t="s">
        <v>178</v>
      </c>
      <c r="F406" s="1" t="s">
        <v>1021</v>
      </c>
      <c r="G406" s="1" t="s">
        <v>186</v>
      </c>
      <c r="H406" s="1">
        <v>5.0999999999999996</v>
      </c>
      <c r="I406" s="1">
        <v>0.38124999999999998</v>
      </c>
      <c r="K406" s="1" t="s">
        <v>181</v>
      </c>
    </row>
    <row r="407" spans="1:11" x14ac:dyDescent="0.25">
      <c r="A407" s="1" t="s">
        <v>1485</v>
      </c>
      <c r="B407" s="1" t="s">
        <v>1031</v>
      </c>
      <c r="C407" s="1" t="s">
        <v>1486</v>
      </c>
      <c r="D407" s="1" t="s">
        <v>1487</v>
      </c>
      <c r="E407" s="1" t="s">
        <v>178</v>
      </c>
      <c r="F407" s="1" t="s">
        <v>1021</v>
      </c>
      <c r="G407" s="1" t="s">
        <v>186</v>
      </c>
      <c r="H407" s="1">
        <v>5.0999999999999996</v>
      </c>
      <c r="I407" s="1">
        <v>0.38124999999999998</v>
      </c>
      <c r="K407" s="1" t="s">
        <v>181</v>
      </c>
    </row>
    <row r="408" spans="1:11" x14ac:dyDescent="0.25">
      <c r="A408" s="1" t="s">
        <v>1488</v>
      </c>
      <c r="B408" s="1" t="s">
        <v>1031</v>
      </c>
      <c r="C408" s="1" t="s">
        <v>1489</v>
      </c>
      <c r="D408" s="1" t="s">
        <v>1490</v>
      </c>
      <c r="E408" s="1" t="s">
        <v>178</v>
      </c>
      <c r="F408" s="1" t="s">
        <v>1021</v>
      </c>
      <c r="G408" s="1" t="s">
        <v>186</v>
      </c>
      <c r="H408" s="1">
        <v>5.0999999999999996</v>
      </c>
      <c r="I408" s="1">
        <v>0.38124999999999998</v>
      </c>
      <c r="K408" s="1" t="s">
        <v>181</v>
      </c>
    </row>
    <row r="409" spans="1:11" x14ac:dyDescent="0.25">
      <c r="A409" s="1" t="s">
        <v>1491</v>
      </c>
      <c r="B409" s="1" t="s">
        <v>1031</v>
      </c>
      <c r="C409" s="1" t="s">
        <v>1492</v>
      </c>
      <c r="D409" s="1" t="s">
        <v>1493</v>
      </c>
      <c r="E409" s="1" t="s">
        <v>178</v>
      </c>
      <c r="F409" s="1" t="s">
        <v>1021</v>
      </c>
      <c r="G409" s="1" t="s">
        <v>186</v>
      </c>
      <c r="H409" s="1">
        <v>5.0999999999999996</v>
      </c>
      <c r="I409" s="1">
        <v>0.38124999999999998</v>
      </c>
      <c r="K409" s="1" t="s">
        <v>181</v>
      </c>
    </row>
    <row r="410" spans="1:11" x14ac:dyDescent="0.25">
      <c r="A410" s="1" t="s">
        <v>1494</v>
      </c>
      <c r="B410" s="1" t="s">
        <v>1031</v>
      </c>
      <c r="C410" s="1" t="s">
        <v>1495</v>
      </c>
      <c r="D410" s="1" t="s">
        <v>1496</v>
      </c>
      <c r="E410" s="1" t="s">
        <v>178</v>
      </c>
      <c r="F410" s="1" t="s">
        <v>1021</v>
      </c>
      <c r="G410" s="1" t="s">
        <v>186</v>
      </c>
      <c r="H410" s="1">
        <v>5.0999999999999996</v>
      </c>
      <c r="I410" s="1">
        <v>0.38124999999999998</v>
      </c>
      <c r="K410" s="1" t="s">
        <v>181</v>
      </c>
    </row>
    <row r="411" spans="1:11" x14ac:dyDescent="0.25">
      <c r="A411" s="1" t="s">
        <v>1497</v>
      </c>
      <c r="B411" s="1" t="s">
        <v>1031</v>
      </c>
      <c r="C411" s="1" t="s">
        <v>1498</v>
      </c>
      <c r="D411" s="1" t="s">
        <v>1499</v>
      </c>
      <c r="E411" s="1" t="s">
        <v>178</v>
      </c>
      <c r="F411" s="1" t="s">
        <v>1021</v>
      </c>
      <c r="G411" s="1" t="s">
        <v>186</v>
      </c>
      <c r="H411" s="1">
        <v>5.0999999999999996</v>
      </c>
      <c r="I411" s="1">
        <v>0.38124999999999998</v>
      </c>
      <c r="K411" s="1" t="s">
        <v>181</v>
      </c>
    </row>
    <row r="412" spans="1:11" x14ac:dyDescent="0.25">
      <c r="A412" s="1" t="s">
        <v>1500</v>
      </c>
      <c r="B412" s="1" t="s">
        <v>1031</v>
      </c>
      <c r="C412" s="1" t="s">
        <v>1501</v>
      </c>
      <c r="D412" s="1" t="s">
        <v>1502</v>
      </c>
      <c r="E412" s="1" t="s">
        <v>178</v>
      </c>
      <c r="F412" s="1" t="s">
        <v>1021</v>
      </c>
      <c r="G412" s="1" t="s">
        <v>186</v>
      </c>
      <c r="H412" s="1">
        <v>5.0999999999999996</v>
      </c>
      <c r="I412" s="1">
        <v>0.38124999999999998</v>
      </c>
      <c r="K412" s="1" t="s">
        <v>181</v>
      </c>
    </row>
    <row r="413" spans="1:11" x14ac:dyDescent="0.25">
      <c r="A413" s="1" t="s">
        <v>1503</v>
      </c>
      <c r="B413" s="1" t="s">
        <v>1031</v>
      </c>
      <c r="C413" s="1" t="s">
        <v>1504</v>
      </c>
      <c r="D413" s="1" t="s">
        <v>1505</v>
      </c>
      <c r="E413" s="1" t="s">
        <v>178</v>
      </c>
      <c r="F413" s="1" t="s">
        <v>1021</v>
      </c>
      <c r="G413" s="1" t="s">
        <v>186</v>
      </c>
      <c r="H413" s="1">
        <v>5.0999999999999996</v>
      </c>
      <c r="I413" s="1">
        <v>0.38124999999999998</v>
      </c>
      <c r="K413" s="1" t="s">
        <v>181</v>
      </c>
    </row>
    <row r="414" spans="1:11" x14ac:dyDescent="0.25">
      <c r="A414" s="1" t="s">
        <v>1506</v>
      </c>
      <c r="B414" s="1" t="s">
        <v>1507</v>
      </c>
      <c r="C414" s="1" t="s">
        <v>1508</v>
      </c>
      <c r="D414" s="1" t="s">
        <v>1509</v>
      </c>
      <c r="E414" s="1" t="s">
        <v>178</v>
      </c>
      <c r="F414" s="1" t="s">
        <v>1021</v>
      </c>
      <c r="G414" s="1" t="s">
        <v>186</v>
      </c>
      <c r="H414" s="1">
        <v>5.0999999999999996</v>
      </c>
      <c r="I414" s="1">
        <v>0.38124999999999998</v>
      </c>
      <c r="K414" s="1" t="s">
        <v>181</v>
      </c>
    </row>
    <row r="415" spans="1:11" x14ac:dyDescent="0.25">
      <c r="A415" s="1" t="s">
        <v>1510</v>
      </c>
      <c r="B415" s="1" t="s">
        <v>1031</v>
      </c>
      <c r="C415" s="1" t="s">
        <v>1511</v>
      </c>
      <c r="D415" s="1" t="s">
        <v>1512</v>
      </c>
      <c r="E415" s="1" t="s">
        <v>178</v>
      </c>
      <c r="F415" s="1" t="s">
        <v>1021</v>
      </c>
      <c r="G415" s="1" t="s">
        <v>186</v>
      </c>
      <c r="H415" s="1">
        <v>5.0999999999999996</v>
      </c>
      <c r="I415" s="1">
        <v>0.38124999999999998</v>
      </c>
      <c r="K415" s="1" t="s">
        <v>181</v>
      </c>
    </row>
    <row r="416" spans="1:11" x14ac:dyDescent="0.25">
      <c r="A416" s="1" t="s">
        <v>1513</v>
      </c>
      <c r="B416" s="1" t="s">
        <v>1031</v>
      </c>
      <c r="C416" s="1" t="s">
        <v>1514</v>
      </c>
      <c r="D416" s="1" t="s">
        <v>1515</v>
      </c>
      <c r="E416" s="1" t="s">
        <v>178</v>
      </c>
      <c r="F416" s="1" t="s">
        <v>1021</v>
      </c>
      <c r="G416" s="1" t="s">
        <v>186</v>
      </c>
      <c r="H416" s="1">
        <v>5.0999999999999996</v>
      </c>
      <c r="I416" s="1">
        <v>0.38124999999999998</v>
      </c>
      <c r="K416" s="1" t="s">
        <v>181</v>
      </c>
    </row>
    <row r="417" spans="1:11" x14ac:dyDescent="0.25">
      <c r="A417" s="1" t="s">
        <v>1516</v>
      </c>
      <c r="B417" s="1" t="s">
        <v>1031</v>
      </c>
      <c r="C417" s="1" t="s">
        <v>1517</v>
      </c>
      <c r="D417" s="1" t="s">
        <v>1518</v>
      </c>
      <c r="E417" s="1" t="s">
        <v>178</v>
      </c>
      <c r="F417" s="1" t="s">
        <v>1021</v>
      </c>
      <c r="G417" s="1" t="s">
        <v>186</v>
      </c>
      <c r="H417" s="1">
        <v>5.0999999999999996</v>
      </c>
      <c r="I417" s="1">
        <v>0.38124999999999998</v>
      </c>
      <c r="K417" s="1" t="s">
        <v>181</v>
      </c>
    </row>
    <row r="418" spans="1:11" x14ac:dyDescent="0.25">
      <c r="A418" s="1" t="s">
        <v>1519</v>
      </c>
      <c r="B418" s="1" t="s">
        <v>1031</v>
      </c>
      <c r="C418" s="1" t="s">
        <v>1520</v>
      </c>
      <c r="D418" s="1" t="s">
        <v>1521</v>
      </c>
      <c r="E418" s="1" t="s">
        <v>178</v>
      </c>
      <c r="F418" s="1" t="s">
        <v>1021</v>
      </c>
      <c r="G418" s="1" t="s">
        <v>186</v>
      </c>
      <c r="H418" s="1">
        <v>5.0999999999999996</v>
      </c>
      <c r="I418" s="1">
        <v>0.38124999999999998</v>
      </c>
      <c r="K418" s="1" t="s">
        <v>181</v>
      </c>
    </row>
    <row r="419" spans="1:11" x14ac:dyDescent="0.25">
      <c r="A419" s="1" t="s">
        <v>1522</v>
      </c>
      <c r="B419" s="1" t="s">
        <v>1031</v>
      </c>
      <c r="C419" s="1" t="s">
        <v>1523</v>
      </c>
      <c r="D419" s="1" t="s">
        <v>1524</v>
      </c>
      <c r="E419" s="1" t="s">
        <v>178</v>
      </c>
      <c r="F419" s="1" t="s">
        <v>1021</v>
      </c>
      <c r="G419" s="1" t="s">
        <v>186</v>
      </c>
      <c r="H419" s="1">
        <v>5.0999999999999996</v>
      </c>
      <c r="I419" s="1">
        <v>0.38124999999999998</v>
      </c>
      <c r="K419" s="1" t="s">
        <v>181</v>
      </c>
    </row>
    <row r="420" spans="1:11" x14ac:dyDescent="0.25">
      <c r="A420" s="1" t="s">
        <v>1525</v>
      </c>
      <c r="B420" s="1" t="s">
        <v>1031</v>
      </c>
      <c r="C420" s="1" t="s">
        <v>1526</v>
      </c>
      <c r="D420" s="1" t="s">
        <v>1527</v>
      </c>
      <c r="E420" s="1" t="s">
        <v>178</v>
      </c>
      <c r="F420" s="1" t="s">
        <v>1021</v>
      </c>
      <c r="G420" s="1" t="s">
        <v>186</v>
      </c>
      <c r="H420" s="1">
        <v>5.0999999999999996</v>
      </c>
      <c r="I420" s="1">
        <v>0.38124999999999998</v>
      </c>
      <c r="K420" s="1" t="s">
        <v>181</v>
      </c>
    </row>
    <row r="421" spans="1:11" x14ac:dyDescent="0.25">
      <c r="A421" s="1" t="s">
        <v>1528</v>
      </c>
      <c r="B421" s="1" t="s">
        <v>1031</v>
      </c>
      <c r="C421" s="1" t="s">
        <v>1529</v>
      </c>
      <c r="D421" s="1" t="s">
        <v>1530</v>
      </c>
      <c r="E421" s="1" t="s">
        <v>178</v>
      </c>
      <c r="F421" s="1" t="s">
        <v>1021</v>
      </c>
      <c r="G421" s="1" t="s">
        <v>186</v>
      </c>
      <c r="H421" s="1">
        <v>5.0999999999999996</v>
      </c>
      <c r="I421" s="1">
        <v>0.38124999999999998</v>
      </c>
      <c r="K421" s="1" t="s">
        <v>181</v>
      </c>
    </row>
    <row r="422" spans="1:11" x14ac:dyDescent="0.25">
      <c r="A422" s="1" t="s">
        <v>1531</v>
      </c>
      <c r="B422" s="1" t="s">
        <v>1031</v>
      </c>
      <c r="C422" s="1" t="s">
        <v>1532</v>
      </c>
      <c r="D422" s="1" t="s">
        <v>1533</v>
      </c>
      <c r="E422" s="1" t="s">
        <v>178</v>
      </c>
      <c r="F422" s="1" t="s">
        <v>1021</v>
      </c>
      <c r="G422" s="1" t="s">
        <v>186</v>
      </c>
      <c r="H422" s="1">
        <v>5.0999999999999996</v>
      </c>
      <c r="I422" s="1">
        <v>0.38124999999999998</v>
      </c>
      <c r="K422" s="1" t="s">
        <v>181</v>
      </c>
    </row>
    <row r="423" spans="1:11" x14ac:dyDescent="0.25">
      <c r="A423" s="1" t="s">
        <v>1534</v>
      </c>
      <c r="B423" s="1" t="s">
        <v>1031</v>
      </c>
      <c r="C423" s="1" t="s">
        <v>1535</v>
      </c>
      <c r="D423" s="1" t="s">
        <v>1536</v>
      </c>
      <c r="E423" s="1" t="s">
        <v>178</v>
      </c>
      <c r="F423" s="1" t="s">
        <v>1021</v>
      </c>
      <c r="G423" s="1" t="s">
        <v>186</v>
      </c>
      <c r="H423" s="1">
        <v>5.0999999999999996</v>
      </c>
      <c r="I423" s="1">
        <v>0.38124999999999998</v>
      </c>
      <c r="K423" s="1" t="s">
        <v>181</v>
      </c>
    </row>
    <row r="424" spans="1:11" x14ac:dyDescent="0.25">
      <c r="A424" s="1" t="s">
        <v>1537</v>
      </c>
      <c r="B424" s="1" t="s">
        <v>1031</v>
      </c>
      <c r="C424" s="1" t="s">
        <v>1538</v>
      </c>
      <c r="D424" s="1" t="s">
        <v>1539</v>
      </c>
      <c r="E424" s="1" t="s">
        <v>178</v>
      </c>
      <c r="F424" s="1" t="s">
        <v>1021</v>
      </c>
      <c r="G424" s="1" t="s">
        <v>186</v>
      </c>
      <c r="H424" s="1">
        <v>5.0999999999999996</v>
      </c>
      <c r="I424" s="1">
        <v>0.38124999999999998</v>
      </c>
      <c r="K424" s="1" t="s">
        <v>181</v>
      </c>
    </row>
    <row r="425" spans="1:11" x14ac:dyDescent="0.25">
      <c r="A425" s="1" t="s">
        <v>1540</v>
      </c>
      <c r="B425" s="1" t="s">
        <v>1031</v>
      </c>
      <c r="C425" s="1" t="s">
        <v>1541</v>
      </c>
      <c r="D425" s="1" t="s">
        <v>1542</v>
      </c>
      <c r="E425" s="1" t="s">
        <v>178</v>
      </c>
      <c r="F425" s="1" t="s">
        <v>1021</v>
      </c>
      <c r="G425" s="1" t="s">
        <v>186</v>
      </c>
      <c r="H425" s="1">
        <v>5.0999999999999996</v>
      </c>
      <c r="I425" s="1">
        <v>0.38124999999999998</v>
      </c>
      <c r="K425" s="1" t="s">
        <v>181</v>
      </c>
    </row>
    <row r="426" spans="1:11" x14ac:dyDescent="0.25">
      <c r="A426" s="1" t="s">
        <v>1543</v>
      </c>
      <c r="B426" s="1" t="s">
        <v>1031</v>
      </c>
      <c r="C426" s="1" t="s">
        <v>1544</v>
      </c>
      <c r="D426" s="1" t="s">
        <v>1545</v>
      </c>
      <c r="E426" s="1" t="s">
        <v>178</v>
      </c>
      <c r="F426" s="1" t="s">
        <v>1021</v>
      </c>
      <c r="G426" s="1" t="s">
        <v>186</v>
      </c>
      <c r="H426" s="1">
        <v>5.0999999999999996</v>
      </c>
      <c r="I426" s="1">
        <v>0.38124999999999998</v>
      </c>
      <c r="K426" s="1" t="s">
        <v>181</v>
      </c>
    </row>
    <row r="427" spans="1:11" x14ac:dyDescent="0.25">
      <c r="A427" s="1" t="s">
        <v>1546</v>
      </c>
      <c r="B427" s="1" t="s">
        <v>1031</v>
      </c>
      <c r="C427" s="1" t="s">
        <v>1547</v>
      </c>
      <c r="D427" s="1" t="s">
        <v>1548</v>
      </c>
      <c r="E427" s="1" t="s">
        <v>178</v>
      </c>
      <c r="F427" s="1" t="s">
        <v>1021</v>
      </c>
      <c r="G427" s="1" t="s">
        <v>186</v>
      </c>
      <c r="H427" s="1">
        <v>5.0999999999999996</v>
      </c>
      <c r="I427" s="1">
        <v>0.38124999999999998</v>
      </c>
      <c r="K427" s="1" t="s">
        <v>181</v>
      </c>
    </row>
    <row r="428" spans="1:11" x14ac:dyDescent="0.25">
      <c r="A428" s="1" t="s">
        <v>1549</v>
      </c>
      <c r="B428" s="1" t="s">
        <v>1031</v>
      </c>
      <c r="C428" s="1" t="s">
        <v>1550</v>
      </c>
      <c r="D428" s="1" t="s">
        <v>1551</v>
      </c>
      <c r="E428" s="1" t="s">
        <v>178</v>
      </c>
      <c r="F428" s="1" t="s">
        <v>1021</v>
      </c>
      <c r="G428" s="1" t="s">
        <v>186</v>
      </c>
      <c r="H428" s="1">
        <v>5.0999999999999996</v>
      </c>
      <c r="I428" s="1">
        <v>0.38124999999999998</v>
      </c>
      <c r="K428" s="1" t="s">
        <v>181</v>
      </c>
    </row>
    <row r="429" spans="1:11" x14ac:dyDescent="0.25">
      <c r="A429" s="1" t="s">
        <v>1552</v>
      </c>
      <c r="B429" s="1" t="s">
        <v>1031</v>
      </c>
      <c r="C429" s="1" t="s">
        <v>1553</v>
      </c>
      <c r="D429" s="1" t="s">
        <v>1554</v>
      </c>
      <c r="E429" s="1" t="s">
        <v>178</v>
      </c>
      <c r="F429" s="1" t="s">
        <v>1021</v>
      </c>
      <c r="G429" s="1" t="s">
        <v>186</v>
      </c>
      <c r="H429" s="1">
        <v>5.0999999999999996</v>
      </c>
      <c r="I429" s="1">
        <v>0.38124999999999998</v>
      </c>
      <c r="K429" s="1" t="s">
        <v>181</v>
      </c>
    </row>
    <row r="430" spans="1:11" x14ac:dyDescent="0.25">
      <c r="A430" s="1" t="s">
        <v>1555</v>
      </c>
      <c r="B430" s="1" t="s">
        <v>1031</v>
      </c>
      <c r="C430" s="1" t="s">
        <v>1556</v>
      </c>
      <c r="D430" s="1" t="s">
        <v>1557</v>
      </c>
      <c r="E430" s="1" t="s">
        <v>178</v>
      </c>
      <c r="F430" s="1" t="s">
        <v>1021</v>
      </c>
      <c r="G430" s="1" t="s">
        <v>186</v>
      </c>
      <c r="H430" s="1">
        <v>5.0999999999999996</v>
      </c>
      <c r="I430" s="1">
        <v>0.38124999999999998</v>
      </c>
      <c r="K430" s="1" t="s">
        <v>181</v>
      </c>
    </row>
    <row r="431" spans="1:11" x14ac:dyDescent="0.25">
      <c r="A431" s="1" t="s">
        <v>1558</v>
      </c>
      <c r="B431" s="1" t="s">
        <v>1031</v>
      </c>
      <c r="C431" s="1" t="s">
        <v>1559</v>
      </c>
      <c r="D431" s="1" t="s">
        <v>1560</v>
      </c>
      <c r="E431" s="1" t="s">
        <v>178</v>
      </c>
      <c r="F431" s="1" t="s">
        <v>1021</v>
      </c>
      <c r="G431" s="1" t="s">
        <v>186</v>
      </c>
      <c r="H431" s="1">
        <v>5.0999999999999996</v>
      </c>
      <c r="I431" s="1">
        <v>0.38124999999999998</v>
      </c>
      <c r="K431" s="1" t="s">
        <v>181</v>
      </c>
    </row>
    <row r="432" spans="1:11" x14ac:dyDescent="0.25">
      <c r="A432" s="1" t="s">
        <v>1561</v>
      </c>
      <c r="B432" s="1" t="s">
        <v>1031</v>
      </c>
      <c r="C432" s="1" t="s">
        <v>1562</v>
      </c>
      <c r="D432" s="1" t="s">
        <v>1563</v>
      </c>
      <c r="E432" s="1" t="s">
        <v>178</v>
      </c>
      <c r="F432" s="1" t="s">
        <v>1021</v>
      </c>
      <c r="G432" s="1" t="s">
        <v>186</v>
      </c>
      <c r="H432" s="1">
        <v>5.0999999999999996</v>
      </c>
      <c r="I432" s="1">
        <v>0.38124999999999998</v>
      </c>
      <c r="K432" s="1" t="s">
        <v>181</v>
      </c>
    </row>
    <row r="433" spans="1:11" x14ac:dyDescent="0.25">
      <c r="A433" s="1" t="s">
        <v>1564</v>
      </c>
      <c r="B433" s="1" t="s">
        <v>1031</v>
      </c>
      <c r="C433" s="1" t="s">
        <v>1565</v>
      </c>
      <c r="D433" s="1" t="s">
        <v>1566</v>
      </c>
      <c r="E433" s="1" t="s">
        <v>178</v>
      </c>
      <c r="F433" s="1" t="s">
        <v>1021</v>
      </c>
      <c r="G433" s="1" t="s">
        <v>186</v>
      </c>
      <c r="H433" s="1">
        <v>5.0999999999999996</v>
      </c>
      <c r="I433" s="1">
        <v>0.38124999999999998</v>
      </c>
      <c r="K433" s="1" t="s">
        <v>181</v>
      </c>
    </row>
    <row r="434" spans="1:11" x14ac:dyDescent="0.25">
      <c r="A434" s="1" t="s">
        <v>1567</v>
      </c>
      <c r="B434" s="1" t="s">
        <v>1031</v>
      </c>
      <c r="C434" s="1" t="s">
        <v>1568</v>
      </c>
      <c r="D434" s="1" t="s">
        <v>1569</v>
      </c>
      <c r="E434" s="1" t="s">
        <v>178</v>
      </c>
      <c r="F434" s="1" t="s">
        <v>1021</v>
      </c>
      <c r="G434" s="1" t="s">
        <v>186</v>
      </c>
      <c r="H434" s="1">
        <v>5.0999999999999996</v>
      </c>
      <c r="I434" s="1">
        <v>0.38124999999999998</v>
      </c>
      <c r="K434" s="1" t="s">
        <v>181</v>
      </c>
    </row>
    <row r="435" spans="1:11" x14ac:dyDescent="0.25">
      <c r="A435" s="1" t="s">
        <v>1570</v>
      </c>
      <c r="B435" s="1" t="s">
        <v>1031</v>
      </c>
      <c r="C435" s="1" t="s">
        <v>1571</v>
      </c>
      <c r="D435" s="1" t="s">
        <v>1572</v>
      </c>
      <c r="E435" s="1" t="s">
        <v>178</v>
      </c>
      <c r="F435" s="1" t="s">
        <v>1021</v>
      </c>
      <c r="G435" s="1" t="s">
        <v>186</v>
      </c>
      <c r="H435" s="1">
        <v>5.0999999999999996</v>
      </c>
      <c r="I435" s="1">
        <v>0.38124999999999998</v>
      </c>
      <c r="K435" s="1" t="s">
        <v>181</v>
      </c>
    </row>
    <row r="436" spans="1:11" x14ac:dyDescent="0.25">
      <c r="A436" s="1" t="s">
        <v>1573</v>
      </c>
      <c r="B436" s="1" t="s">
        <v>1031</v>
      </c>
      <c r="C436" s="1" t="s">
        <v>1574</v>
      </c>
      <c r="D436" s="1" t="s">
        <v>1575</v>
      </c>
      <c r="E436" s="1" t="s">
        <v>178</v>
      </c>
      <c r="F436" s="1" t="s">
        <v>1021</v>
      </c>
      <c r="G436" s="1" t="s">
        <v>186</v>
      </c>
      <c r="H436" s="1">
        <v>5.0999999999999996</v>
      </c>
      <c r="I436" s="1">
        <v>0.38124999999999998</v>
      </c>
      <c r="K436" s="1" t="s">
        <v>181</v>
      </c>
    </row>
    <row r="437" spans="1:11" x14ac:dyDescent="0.25">
      <c r="A437" s="1" t="s">
        <v>1576</v>
      </c>
      <c r="B437" s="1" t="s">
        <v>1031</v>
      </c>
      <c r="C437" s="1" t="s">
        <v>1577</v>
      </c>
      <c r="D437" s="1" t="s">
        <v>1578</v>
      </c>
      <c r="E437" s="1" t="s">
        <v>178</v>
      </c>
      <c r="F437" s="1" t="s">
        <v>1021</v>
      </c>
      <c r="G437" s="1" t="s">
        <v>186</v>
      </c>
      <c r="H437" s="1">
        <v>5.0999999999999996</v>
      </c>
      <c r="I437" s="1">
        <v>0.38124999999999998</v>
      </c>
      <c r="K437" s="1" t="s">
        <v>181</v>
      </c>
    </row>
    <row r="438" spans="1:11" x14ac:dyDescent="0.25">
      <c r="A438" s="1" t="s">
        <v>1579</v>
      </c>
      <c r="B438" s="1" t="s">
        <v>1031</v>
      </c>
      <c r="C438" s="1" t="s">
        <v>1580</v>
      </c>
      <c r="D438" s="1" t="s">
        <v>1581</v>
      </c>
      <c r="E438" s="1" t="s">
        <v>178</v>
      </c>
      <c r="F438" s="1" t="s">
        <v>1021</v>
      </c>
      <c r="G438" s="1" t="s">
        <v>186</v>
      </c>
      <c r="H438" s="1">
        <v>5.0999999999999996</v>
      </c>
      <c r="I438" s="1">
        <v>0.38124999999999998</v>
      </c>
      <c r="K438" s="1" t="s">
        <v>181</v>
      </c>
    </row>
    <row r="439" spans="1:11" x14ac:dyDescent="0.25">
      <c r="A439" s="1" t="s">
        <v>1582</v>
      </c>
      <c r="B439" s="1" t="s">
        <v>1031</v>
      </c>
      <c r="C439" s="1" t="s">
        <v>1583</v>
      </c>
      <c r="D439" s="1" t="s">
        <v>1584</v>
      </c>
      <c r="E439" s="1" t="s">
        <v>178</v>
      </c>
      <c r="F439" s="1" t="s">
        <v>1021</v>
      </c>
      <c r="G439" s="1" t="s">
        <v>186</v>
      </c>
      <c r="H439" s="1">
        <v>5.0999999999999996</v>
      </c>
      <c r="I439" s="1">
        <v>0.38124999999999998</v>
      </c>
      <c r="K439" s="1" t="s">
        <v>181</v>
      </c>
    </row>
    <row r="440" spans="1:11" x14ac:dyDescent="0.25">
      <c r="A440" s="1" t="s">
        <v>1585</v>
      </c>
      <c r="B440" s="1" t="s">
        <v>1031</v>
      </c>
      <c r="C440" s="1" t="s">
        <v>1586</v>
      </c>
      <c r="D440" s="1" t="s">
        <v>1587</v>
      </c>
      <c r="E440" s="1" t="s">
        <v>178</v>
      </c>
      <c r="F440" s="1" t="s">
        <v>1021</v>
      </c>
      <c r="G440" s="1" t="s">
        <v>186</v>
      </c>
      <c r="H440" s="1">
        <v>5.0999999999999996</v>
      </c>
      <c r="I440" s="1">
        <v>0.38124999999999998</v>
      </c>
      <c r="K440" s="1" t="s">
        <v>181</v>
      </c>
    </row>
    <row r="441" spans="1:11" x14ac:dyDescent="0.25">
      <c r="A441" s="1" t="s">
        <v>1588</v>
      </c>
      <c r="B441" s="1" t="s">
        <v>1031</v>
      </c>
      <c r="C441" s="1" t="s">
        <v>1589</v>
      </c>
      <c r="D441" s="1" t="s">
        <v>1590</v>
      </c>
      <c r="E441" s="1" t="s">
        <v>178</v>
      </c>
      <c r="F441" s="1" t="s">
        <v>1021</v>
      </c>
      <c r="G441" s="1" t="s">
        <v>186</v>
      </c>
      <c r="H441" s="1">
        <v>5.0999999999999996</v>
      </c>
      <c r="I441" s="1">
        <v>0.38124999999999998</v>
      </c>
      <c r="K441" s="1" t="s">
        <v>181</v>
      </c>
    </row>
    <row r="442" spans="1:11" x14ac:dyDescent="0.25">
      <c r="A442" s="1" t="s">
        <v>1591</v>
      </c>
      <c r="B442" s="1" t="s">
        <v>1031</v>
      </c>
      <c r="C442" s="1" t="s">
        <v>1592</v>
      </c>
      <c r="D442" s="1" t="s">
        <v>1593</v>
      </c>
      <c r="E442" s="1" t="s">
        <v>178</v>
      </c>
      <c r="F442" s="1" t="s">
        <v>1021</v>
      </c>
      <c r="G442" s="1" t="s">
        <v>186</v>
      </c>
      <c r="H442" s="1">
        <v>5.0999999999999996</v>
      </c>
      <c r="I442" s="1">
        <v>0.38124999999999998</v>
      </c>
      <c r="K442" s="1" t="s">
        <v>181</v>
      </c>
    </row>
    <row r="443" spans="1:11" x14ac:dyDescent="0.25">
      <c r="A443" s="1" t="s">
        <v>1594</v>
      </c>
      <c r="B443" s="1" t="s">
        <v>1031</v>
      </c>
      <c r="C443" s="1" t="s">
        <v>1595</v>
      </c>
      <c r="D443" s="1" t="s">
        <v>1596</v>
      </c>
      <c r="E443" s="1" t="s">
        <v>178</v>
      </c>
      <c r="F443" s="1" t="s">
        <v>1021</v>
      </c>
      <c r="G443" s="1" t="s">
        <v>186</v>
      </c>
      <c r="H443" s="1">
        <v>5.0999999999999996</v>
      </c>
      <c r="I443" s="1">
        <v>0.38124999999999998</v>
      </c>
      <c r="K443" s="1" t="s">
        <v>181</v>
      </c>
    </row>
    <row r="444" spans="1:11" x14ac:dyDescent="0.25">
      <c r="A444" s="1" t="s">
        <v>1597</v>
      </c>
      <c r="B444" s="1" t="s">
        <v>1031</v>
      </c>
      <c r="C444" s="1" t="s">
        <v>1598</v>
      </c>
      <c r="D444" s="1" t="s">
        <v>1599</v>
      </c>
      <c r="E444" s="1" t="s">
        <v>178</v>
      </c>
      <c r="F444" s="1" t="s">
        <v>1021</v>
      </c>
      <c r="G444" s="1" t="s">
        <v>186</v>
      </c>
      <c r="H444" s="1">
        <v>5.0999999999999996</v>
      </c>
      <c r="I444" s="1">
        <v>0.38124999999999998</v>
      </c>
      <c r="K444" s="1" t="s">
        <v>181</v>
      </c>
    </row>
    <row r="445" spans="1:11" x14ac:dyDescent="0.25">
      <c r="A445" s="1" t="s">
        <v>1600</v>
      </c>
      <c r="B445" s="1" t="s">
        <v>1031</v>
      </c>
      <c r="C445" s="1" t="s">
        <v>1601</v>
      </c>
      <c r="D445" s="1" t="s">
        <v>1602</v>
      </c>
      <c r="E445" s="1" t="s">
        <v>178</v>
      </c>
      <c r="F445" s="1" t="s">
        <v>1021</v>
      </c>
      <c r="G445" s="1" t="s">
        <v>186</v>
      </c>
      <c r="H445" s="1">
        <v>5.0999999999999996</v>
      </c>
      <c r="I445" s="1">
        <v>0.38124999999999998</v>
      </c>
      <c r="K445" s="1" t="s">
        <v>181</v>
      </c>
    </row>
    <row r="446" spans="1:11" x14ac:dyDescent="0.25">
      <c r="A446" s="1" t="s">
        <v>1603</v>
      </c>
      <c r="B446" s="1" t="s">
        <v>1031</v>
      </c>
      <c r="C446" s="1" t="s">
        <v>1604</v>
      </c>
      <c r="D446" s="1" t="s">
        <v>1605</v>
      </c>
      <c r="E446" s="1" t="s">
        <v>178</v>
      </c>
      <c r="F446" s="1" t="s">
        <v>1021</v>
      </c>
      <c r="G446" s="1" t="s">
        <v>186</v>
      </c>
      <c r="H446" s="1">
        <v>5.0999999999999996</v>
      </c>
      <c r="I446" s="1">
        <v>0.38124999999999998</v>
      </c>
      <c r="K446" s="1" t="s">
        <v>181</v>
      </c>
    </row>
    <row r="447" spans="1:11" x14ac:dyDescent="0.25">
      <c r="A447" s="1" t="s">
        <v>1606</v>
      </c>
      <c r="B447" s="1" t="s">
        <v>1031</v>
      </c>
      <c r="C447" s="1" t="s">
        <v>1607</v>
      </c>
      <c r="D447" s="1" t="s">
        <v>1608</v>
      </c>
      <c r="E447" s="1" t="s">
        <v>178</v>
      </c>
      <c r="F447" s="1" t="s">
        <v>1021</v>
      </c>
      <c r="G447" s="1" t="s">
        <v>186</v>
      </c>
      <c r="H447" s="1">
        <v>5.0999999999999996</v>
      </c>
      <c r="I447" s="1">
        <v>0.38124999999999998</v>
      </c>
      <c r="K447" s="1" t="s">
        <v>181</v>
      </c>
    </row>
    <row r="448" spans="1:11" x14ac:dyDescent="0.25">
      <c r="A448" s="1" t="s">
        <v>1609</v>
      </c>
      <c r="B448" s="1" t="s">
        <v>1031</v>
      </c>
      <c r="C448" s="1" t="s">
        <v>1610</v>
      </c>
      <c r="D448" s="1" t="s">
        <v>1611</v>
      </c>
      <c r="E448" s="1" t="s">
        <v>178</v>
      </c>
      <c r="F448" s="1" t="s">
        <v>1021</v>
      </c>
      <c r="G448" s="1" t="s">
        <v>186</v>
      </c>
      <c r="H448" s="1">
        <v>5.0999999999999996</v>
      </c>
      <c r="I448" s="1">
        <v>0.38124999999999998</v>
      </c>
      <c r="K448" s="1" t="s">
        <v>181</v>
      </c>
    </row>
    <row r="449" spans="1:11" x14ac:dyDescent="0.25">
      <c r="A449" s="1" t="s">
        <v>1612</v>
      </c>
      <c r="B449" s="1" t="s">
        <v>1613</v>
      </c>
      <c r="C449" s="1" t="s">
        <v>1614</v>
      </c>
      <c r="D449" s="1" t="s">
        <v>1615</v>
      </c>
      <c r="E449" s="1" t="s">
        <v>178</v>
      </c>
      <c r="F449" s="1" t="s">
        <v>1021</v>
      </c>
      <c r="G449" s="1" t="s">
        <v>186</v>
      </c>
      <c r="H449" s="1">
        <v>5.0999999999999996</v>
      </c>
      <c r="I449" s="1">
        <v>0.38124999999999998</v>
      </c>
      <c r="K449" s="1" t="s">
        <v>181</v>
      </c>
    </row>
    <row r="450" spans="1:11" x14ac:dyDescent="0.25">
      <c r="A450" s="1" t="s">
        <v>1616</v>
      </c>
      <c r="B450" s="1" t="s">
        <v>1617</v>
      </c>
      <c r="C450" s="1" t="s">
        <v>1618</v>
      </c>
      <c r="D450" s="1" t="s">
        <v>1619</v>
      </c>
      <c r="E450" s="1" t="s">
        <v>178</v>
      </c>
      <c r="F450" s="1" t="s">
        <v>1021</v>
      </c>
      <c r="G450" s="1" t="s">
        <v>186</v>
      </c>
      <c r="H450" s="1">
        <v>5.0999999999999996</v>
      </c>
      <c r="I450" s="1">
        <v>0.38124999999999998</v>
      </c>
      <c r="K450" s="1" t="s">
        <v>181</v>
      </c>
    </row>
    <row r="451" spans="1:11" x14ac:dyDescent="0.25">
      <c r="A451" s="1" t="s">
        <v>1620</v>
      </c>
      <c r="B451" s="1" t="s">
        <v>1617</v>
      </c>
      <c r="C451" s="1" t="s">
        <v>1621</v>
      </c>
      <c r="D451" s="1" t="s">
        <v>1622</v>
      </c>
      <c r="E451" s="1" t="s">
        <v>178</v>
      </c>
      <c r="F451" s="1" t="s">
        <v>1021</v>
      </c>
      <c r="G451" s="1" t="s">
        <v>186</v>
      </c>
      <c r="H451" s="1">
        <v>5.0999999999999996</v>
      </c>
      <c r="I451" s="1">
        <v>0.38124999999999998</v>
      </c>
      <c r="K451" s="1" t="s">
        <v>181</v>
      </c>
    </row>
    <row r="452" spans="1:11" x14ac:dyDescent="0.25">
      <c r="A452" s="1" t="s">
        <v>1623</v>
      </c>
      <c r="B452" s="1" t="s">
        <v>1624</v>
      </c>
      <c r="C452" s="1" t="s">
        <v>1625</v>
      </c>
      <c r="D452" s="1" t="s">
        <v>1626</v>
      </c>
      <c r="E452" s="1" t="s">
        <v>178</v>
      </c>
      <c r="F452" s="1" t="s">
        <v>1021</v>
      </c>
      <c r="G452" s="1" t="s">
        <v>186</v>
      </c>
      <c r="H452" s="1">
        <v>5.0999999999999996</v>
      </c>
      <c r="I452" s="1">
        <v>0.38124999999999998</v>
      </c>
      <c r="K452" s="1" t="s">
        <v>181</v>
      </c>
    </row>
    <row r="453" spans="1:11" x14ac:dyDescent="0.25">
      <c r="A453" s="1" t="s">
        <v>1627</v>
      </c>
      <c r="B453" s="1" t="s">
        <v>1624</v>
      </c>
      <c r="C453" s="1" t="s">
        <v>1628</v>
      </c>
      <c r="D453" s="1" t="s">
        <v>1629</v>
      </c>
      <c r="E453" s="1" t="s">
        <v>178</v>
      </c>
      <c r="F453" s="1" t="s">
        <v>1021</v>
      </c>
      <c r="G453" s="1" t="s">
        <v>186</v>
      </c>
      <c r="H453" s="1">
        <v>5.0999999999999996</v>
      </c>
      <c r="I453" s="1">
        <v>0.38124999999999998</v>
      </c>
      <c r="K453" s="1" t="s">
        <v>181</v>
      </c>
    </row>
    <row r="454" spans="1:11" x14ac:dyDescent="0.25">
      <c r="A454" s="1" t="s">
        <v>1630</v>
      </c>
      <c r="B454" s="1" t="s">
        <v>1624</v>
      </c>
      <c r="C454" s="1" t="s">
        <v>1631</v>
      </c>
      <c r="D454" s="1" t="s">
        <v>1632</v>
      </c>
      <c r="E454" s="1" t="s">
        <v>178</v>
      </c>
      <c r="F454" s="1" t="s">
        <v>1021</v>
      </c>
      <c r="G454" s="1" t="s">
        <v>186</v>
      </c>
      <c r="H454" s="1">
        <v>5.0999999999999996</v>
      </c>
      <c r="I454" s="1">
        <v>0.38124999999999998</v>
      </c>
      <c r="K454" s="1" t="s">
        <v>181</v>
      </c>
    </row>
    <row r="455" spans="1:11" x14ac:dyDescent="0.25">
      <c r="A455" s="1" t="s">
        <v>1633</v>
      </c>
      <c r="B455" s="1" t="s">
        <v>1624</v>
      </c>
      <c r="C455" s="1" t="s">
        <v>1634</v>
      </c>
      <c r="D455" s="1" t="s">
        <v>1635</v>
      </c>
      <c r="E455" s="1" t="s">
        <v>178</v>
      </c>
      <c r="F455" s="1" t="s">
        <v>1021</v>
      </c>
      <c r="G455" s="1" t="s">
        <v>186</v>
      </c>
      <c r="H455" s="1">
        <v>5.0999999999999996</v>
      </c>
      <c r="I455" s="1">
        <v>0.38124999999999998</v>
      </c>
      <c r="K455" s="1" t="s">
        <v>181</v>
      </c>
    </row>
    <row r="456" spans="1:11" x14ac:dyDescent="0.25">
      <c r="A456" s="1" t="s">
        <v>1636</v>
      </c>
      <c r="B456" s="1" t="s">
        <v>1637</v>
      </c>
      <c r="C456" s="1" t="s">
        <v>1638</v>
      </c>
      <c r="D456" s="1" t="s">
        <v>1639</v>
      </c>
      <c r="E456" s="1" t="s">
        <v>178</v>
      </c>
      <c r="F456" s="1" t="s">
        <v>1021</v>
      </c>
      <c r="G456" s="1" t="s">
        <v>186</v>
      </c>
      <c r="H456" s="1">
        <v>5.0999999999999996</v>
      </c>
      <c r="I456" s="1">
        <v>0.38124999999999998</v>
      </c>
      <c r="K456" s="1" t="s">
        <v>181</v>
      </c>
    </row>
    <row r="457" spans="1:11" x14ac:dyDescent="0.25">
      <c r="A457" s="1" t="s">
        <v>1640</v>
      </c>
      <c r="B457" s="1" t="s">
        <v>1637</v>
      </c>
      <c r="C457" s="1" t="s">
        <v>1641</v>
      </c>
      <c r="D457" s="1" t="s">
        <v>1642</v>
      </c>
      <c r="E457" s="1" t="s">
        <v>178</v>
      </c>
      <c r="F457" s="1" t="s">
        <v>1021</v>
      </c>
      <c r="G457" s="1" t="s">
        <v>186</v>
      </c>
      <c r="H457" s="1">
        <v>5.0999999999999996</v>
      </c>
      <c r="I457" s="1">
        <v>0.38124999999999998</v>
      </c>
      <c r="K457" s="1" t="s">
        <v>181</v>
      </c>
    </row>
    <row r="458" spans="1:11" x14ac:dyDescent="0.25">
      <c r="A458" s="1" t="s">
        <v>1643</v>
      </c>
      <c r="B458" s="1" t="s">
        <v>1637</v>
      </c>
      <c r="C458" s="1" t="s">
        <v>1644</v>
      </c>
      <c r="D458" s="1" t="s">
        <v>1645</v>
      </c>
      <c r="E458" s="1" t="s">
        <v>178</v>
      </c>
      <c r="F458" s="1" t="s">
        <v>1021</v>
      </c>
      <c r="G458" s="1" t="s">
        <v>186</v>
      </c>
      <c r="H458" s="1">
        <v>5.0999999999999996</v>
      </c>
      <c r="I458" s="1">
        <v>0.38124999999999998</v>
      </c>
      <c r="K458" s="1" t="s">
        <v>181</v>
      </c>
    </row>
    <row r="459" spans="1:11" x14ac:dyDescent="0.25">
      <c r="A459" s="1" t="s">
        <v>1646</v>
      </c>
      <c r="B459" s="1" t="s">
        <v>1637</v>
      </c>
      <c r="C459" s="1" t="s">
        <v>1647</v>
      </c>
      <c r="D459" s="1" t="s">
        <v>1648</v>
      </c>
      <c r="E459" s="1" t="s">
        <v>178</v>
      </c>
      <c r="F459" s="1" t="s">
        <v>1021</v>
      </c>
      <c r="G459" s="1" t="s">
        <v>186</v>
      </c>
      <c r="H459" s="1">
        <v>5.0999999999999996</v>
      </c>
      <c r="I459" s="1">
        <v>0.38124999999999998</v>
      </c>
      <c r="K459" s="1" t="s">
        <v>181</v>
      </c>
    </row>
    <row r="460" spans="1:11" x14ac:dyDescent="0.25">
      <c r="A460" s="1" t="s">
        <v>1649</v>
      </c>
      <c r="B460" s="1" t="s">
        <v>1617</v>
      </c>
      <c r="C460" s="1" t="s">
        <v>1650</v>
      </c>
      <c r="D460" s="1" t="s">
        <v>1651</v>
      </c>
      <c r="E460" s="1" t="s">
        <v>178</v>
      </c>
      <c r="F460" s="1" t="s">
        <v>1021</v>
      </c>
      <c r="G460" s="1" t="s">
        <v>186</v>
      </c>
      <c r="H460" s="1">
        <v>5.0999999999999996</v>
      </c>
      <c r="I460" s="1">
        <v>0.38124999999999998</v>
      </c>
      <c r="K460" s="1" t="s">
        <v>181</v>
      </c>
    </row>
    <row r="461" spans="1:11" x14ac:dyDescent="0.25">
      <c r="A461" s="1" t="s">
        <v>1652</v>
      </c>
      <c r="B461" s="1" t="s">
        <v>1617</v>
      </c>
      <c r="C461" s="1" t="s">
        <v>1653</v>
      </c>
      <c r="D461" s="1" t="s">
        <v>1654</v>
      </c>
      <c r="E461" s="1" t="s">
        <v>178</v>
      </c>
      <c r="F461" s="1" t="s">
        <v>1021</v>
      </c>
      <c r="G461" s="1" t="s">
        <v>186</v>
      </c>
      <c r="H461" s="1">
        <v>5.0999999999999996</v>
      </c>
      <c r="I461" s="1">
        <v>0.38124999999999998</v>
      </c>
      <c r="K461" s="1" t="s">
        <v>181</v>
      </c>
    </row>
    <row r="462" spans="1:11" x14ac:dyDescent="0.25">
      <c r="A462" s="1" t="s">
        <v>1655</v>
      </c>
      <c r="B462" s="1" t="s">
        <v>1656</v>
      </c>
      <c r="C462" s="1" t="s">
        <v>1657</v>
      </c>
      <c r="D462" s="1" t="s">
        <v>1658</v>
      </c>
      <c r="E462" s="1" t="s">
        <v>178</v>
      </c>
      <c r="F462" s="1" t="s">
        <v>1021</v>
      </c>
      <c r="G462" s="1" t="s">
        <v>186</v>
      </c>
      <c r="H462" s="1">
        <v>5.0999999999999996</v>
      </c>
      <c r="I462" s="1">
        <v>0.38124999999999998</v>
      </c>
      <c r="K462" s="1" t="s">
        <v>181</v>
      </c>
    </row>
    <row r="463" spans="1:11" x14ac:dyDescent="0.25">
      <c r="A463" s="1" t="s">
        <v>1659</v>
      </c>
      <c r="B463" s="1" t="s">
        <v>1660</v>
      </c>
      <c r="C463" s="1" t="s">
        <v>1661</v>
      </c>
      <c r="D463" s="1" t="s">
        <v>1662</v>
      </c>
      <c r="E463" s="1" t="s">
        <v>178</v>
      </c>
      <c r="F463" s="1" t="s">
        <v>1021</v>
      </c>
      <c r="G463" s="1" t="s">
        <v>180</v>
      </c>
      <c r="H463" s="1">
        <v>5.0999999999999996</v>
      </c>
      <c r="I463" s="1">
        <v>0.38124999999999998</v>
      </c>
      <c r="K463" s="1" t="s">
        <v>181</v>
      </c>
    </row>
    <row r="464" spans="1:11" x14ac:dyDescent="0.25">
      <c r="A464" s="1" t="s">
        <v>1663</v>
      </c>
      <c r="B464" s="1" t="s">
        <v>1617</v>
      </c>
      <c r="C464" s="1" t="s">
        <v>1664</v>
      </c>
      <c r="D464" s="1" t="s">
        <v>1665</v>
      </c>
      <c r="E464" s="1" t="s">
        <v>178</v>
      </c>
      <c r="F464" s="1" t="s">
        <v>1021</v>
      </c>
      <c r="G464" s="1" t="s">
        <v>186</v>
      </c>
      <c r="H464" s="1">
        <v>5.0999999999999996</v>
      </c>
      <c r="I464" s="1">
        <v>0.38124999999999998</v>
      </c>
      <c r="K464" s="1" t="s">
        <v>181</v>
      </c>
    </row>
    <row r="465" spans="1:11" x14ac:dyDescent="0.25">
      <c r="A465" s="1" t="s">
        <v>1666</v>
      </c>
      <c r="B465" s="1" t="s">
        <v>1667</v>
      </c>
      <c r="C465" s="1" t="s">
        <v>1668</v>
      </c>
      <c r="D465" s="1" t="s">
        <v>1669</v>
      </c>
      <c r="E465" s="1" t="s">
        <v>178</v>
      </c>
      <c r="F465" s="1" t="s">
        <v>1021</v>
      </c>
      <c r="G465" s="1" t="s">
        <v>186</v>
      </c>
      <c r="H465" s="1">
        <v>5.0999999999999996</v>
      </c>
      <c r="I465" s="1">
        <v>0.38124999999999998</v>
      </c>
      <c r="K465" s="1" t="s">
        <v>181</v>
      </c>
    </row>
    <row r="466" spans="1:11" x14ac:dyDescent="0.25">
      <c r="A466" s="1" t="s">
        <v>1670</v>
      </c>
      <c r="B466" s="1" t="s">
        <v>1667</v>
      </c>
      <c r="C466" s="1" t="s">
        <v>1671</v>
      </c>
      <c r="D466" s="1" t="s">
        <v>1669</v>
      </c>
      <c r="E466" s="1" t="s">
        <v>178</v>
      </c>
      <c r="F466" s="1" t="s">
        <v>1021</v>
      </c>
      <c r="G466" s="1" t="s">
        <v>186</v>
      </c>
      <c r="H466" s="1">
        <v>5.0999999999999996</v>
      </c>
      <c r="I466" s="1">
        <v>0.38124999999999998</v>
      </c>
      <c r="K466" s="1" t="s">
        <v>181</v>
      </c>
    </row>
    <row r="467" spans="1:11" x14ac:dyDescent="0.25">
      <c r="A467" s="1" t="s">
        <v>1672</v>
      </c>
      <c r="B467" s="1" t="s">
        <v>1673</v>
      </c>
      <c r="D467" s="1" t="s">
        <v>1674</v>
      </c>
      <c r="E467" s="1" t="s">
        <v>209</v>
      </c>
      <c r="F467" s="1" t="s">
        <v>1675</v>
      </c>
      <c r="G467" s="1" t="s">
        <v>215</v>
      </c>
      <c r="H467" s="1">
        <v>5</v>
      </c>
      <c r="I467" s="1">
        <v>0.37562499999999999</v>
      </c>
      <c r="K467" s="1" t="s">
        <v>181</v>
      </c>
    </row>
    <row r="468" spans="1:11" x14ac:dyDescent="0.25">
      <c r="A468" s="1" t="s">
        <v>1676</v>
      </c>
      <c r="B468" s="1" t="s">
        <v>1677</v>
      </c>
      <c r="D468" s="1" t="s">
        <v>1678</v>
      </c>
      <c r="E468" s="1" t="s">
        <v>209</v>
      </c>
      <c r="F468" s="1" t="s">
        <v>1675</v>
      </c>
      <c r="G468" s="1" t="s">
        <v>215</v>
      </c>
      <c r="H468" s="1">
        <v>5</v>
      </c>
      <c r="I468" s="1">
        <v>0.37562499999999999</v>
      </c>
      <c r="K468" s="1" t="s">
        <v>181</v>
      </c>
    </row>
    <row r="469" spans="1:11" x14ac:dyDescent="0.25">
      <c r="A469" s="1" t="s">
        <v>1679</v>
      </c>
      <c r="B469" s="1" t="s">
        <v>1680</v>
      </c>
      <c r="D469" s="1" t="s">
        <v>1681</v>
      </c>
      <c r="E469" s="1" t="s">
        <v>209</v>
      </c>
      <c r="F469" s="1" t="s">
        <v>1675</v>
      </c>
      <c r="G469" s="1" t="s">
        <v>215</v>
      </c>
      <c r="H469" s="1">
        <v>5</v>
      </c>
      <c r="I469" s="1">
        <v>0.37562499999999999</v>
      </c>
      <c r="K469" s="1" t="s">
        <v>181</v>
      </c>
    </row>
    <row r="470" spans="1:11" x14ac:dyDescent="0.25">
      <c r="A470" s="1" t="s">
        <v>1682</v>
      </c>
      <c r="B470" s="1" t="s">
        <v>1683</v>
      </c>
      <c r="D470" s="1" t="s">
        <v>1684</v>
      </c>
      <c r="E470" s="1" t="s">
        <v>209</v>
      </c>
      <c r="F470" s="1" t="s">
        <v>1675</v>
      </c>
      <c r="G470" s="1" t="s">
        <v>215</v>
      </c>
      <c r="H470" s="1">
        <v>5</v>
      </c>
      <c r="I470" s="1">
        <v>0.37562499999999999</v>
      </c>
      <c r="K470" s="1" t="s">
        <v>181</v>
      </c>
    </row>
    <row r="471" spans="1:11" x14ac:dyDescent="0.25">
      <c r="A471" s="1" t="s">
        <v>1685</v>
      </c>
      <c r="B471" s="1" t="s">
        <v>1686</v>
      </c>
      <c r="D471" s="1" t="s">
        <v>1687</v>
      </c>
      <c r="E471" s="1" t="s">
        <v>209</v>
      </c>
      <c r="F471" s="1" t="s">
        <v>1675</v>
      </c>
      <c r="G471" s="1" t="s">
        <v>215</v>
      </c>
      <c r="H471" s="1">
        <v>5</v>
      </c>
      <c r="I471" s="1">
        <v>0.37562499999999999</v>
      </c>
      <c r="K471" s="1" t="s">
        <v>181</v>
      </c>
    </row>
    <row r="472" spans="1:11" x14ac:dyDescent="0.25">
      <c r="A472" s="1" t="s">
        <v>1688</v>
      </c>
      <c r="B472" s="1" t="s">
        <v>1689</v>
      </c>
      <c r="D472" s="1" t="s">
        <v>1690</v>
      </c>
      <c r="E472" s="1" t="s">
        <v>209</v>
      </c>
      <c r="F472" s="1" t="s">
        <v>1675</v>
      </c>
      <c r="G472" s="1" t="s">
        <v>215</v>
      </c>
      <c r="H472" s="1">
        <v>5</v>
      </c>
      <c r="I472" s="1">
        <v>0.37562499999999999</v>
      </c>
      <c r="K472" s="1" t="s">
        <v>181</v>
      </c>
    </row>
    <row r="473" spans="1:11" x14ac:dyDescent="0.25">
      <c r="A473" s="1" t="s">
        <v>1691</v>
      </c>
      <c r="B473" s="1" t="s">
        <v>1692</v>
      </c>
      <c r="D473" s="1" t="s">
        <v>1693</v>
      </c>
      <c r="E473" s="1" t="s">
        <v>209</v>
      </c>
      <c r="F473" s="1" t="s">
        <v>1675</v>
      </c>
      <c r="G473" s="1" t="s">
        <v>215</v>
      </c>
      <c r="H473" s="1">
        <v>5</v>
      </c>
      <c r="I473" s="1">
        <v>0.37562499999999999</v>
      </c>
      <c r="K473" s="1" t="s">
        <v>181</v>
      </c>
    </row>
    <row r="474" spans="1:11" x14ac:dyDescent="0.25">
      <c r="A474" s="1" t="s">
        <v>1694</v>
      </c>
      <c r="B474" s="1" t="s">
        <v>1695</v>
      </c>
      <c r="D474" s="1" t="s">
        <v>1696</v>
      </c>
      <c r="E474" s="1" t="s">
        <v>209</v>
      </c>
      <c r="F474" s="1" t="s">
        <v>1675</v>
      </c>
      <c r="G474" s="1" t="s">
        <v>215</v>
      </c>
      <c r="H474" s="1">
        <v>5</v>
      </c>
      <c r="I474" s="1">
        <v>0.37562499999999999</v>
      </c>
      <c r="K474" s="1" t="s">
        <v>181</v>
      </c>
    </row>
    <row r="475" spans="1:11" x14ac:dyDescent="0.25">
      <c r="A475" s="1" t="s">
        <v>1697</v>
      </c>
      <c r="B475" s="1" t="s">
        <v>1698</v>
      </c>
      <c r="D475" s="1" t="s">
        <v>1699</v>
      </c>
      <c r="E475" s="1" t="s">
        <v>209</v>
      </c>
      <c r="F475" s="1" t="s">
        <v>1675</v>
      </c>
      <c r="G475" s="1" t="s">
        <v>215</v>
      </c>
      <c r="H475" s="1">
        <v>5</v>
      </c>
      <c r="I475" s="1">
        <v>0.37562499999999999</v>
      </c>
      <c r="K475" s="1" t="s">
        <v>181</v>
      </c>
    </row>
    <row r="476" spans="1:11" x14ac:dyDescent="0.25">
      <c r="A476" s="1" t="s">
        <v>1700</v>
      </c>
      <c r="B476" s="1" t="s">
        <v>1701</v>
      </c>
      <c r="D476" s="1" t="s">
        <v>1702</v>
      </c>
      <c r="E476" s="1" t="s">
        <v>209</v>
      </c>
      <c r="F476" s="1" t="s">
        <v>1675</v>
      </c>
      <c r="G476" s="1" t="s">
        <v>215</v>
      </c>
      <c r="H476" s="1">
        <v>5</v>
      </c>
      <c r="I476" s="1">
        <v>0.37562499999999999</v>
      </c>
      <c r="K476" s="1" t="s">
        <v>181</v>
      </c>
    </row>
    <row r="477" spans="1:11" x14ac:dyDescent="0.25">
      <c r="A477" s="1" t="s">
        <v>1703</v>
      </c>
      <c r="B477" s="1" t="s">
        <v>1704</v>
      </c>
      <c r="D477" s="1" t="s">
        <v>1705</v>
      </c>
      <c r="E477" s="1" t="s">
        <v>209</v>
      </c>
      <c r="F477" s="1" t="s">
        <v>1675</v>
      </c>
      <c r="G477" s="1" t="s">
        <v>215</v>
      </c>
      <c r="H477" s="1">
        <v>5</v>
      </c>
      <c r="I477" s="1">
        <v>0.37562499999999999</v>
      </c>
      <c r="K477" s="1" t="s">
        <v>181</v>
      </c>
    </row>
    <row r="478" spans="1:11" x14ac:dyDescent="0.25">
      <c r="A478" s="1" t="s">
        <v>1706</v>
      </c>
      <c r="B478" s="1" t="s">
        <v>1707</v>
      </c>
      <c r="D478" s="1" t="s">
        <v>1708</v>
      </c>
      <c r="E478" s="1" t="s">
        <v>209</v>
      </c>
      <c r="F478" s="1" t="s">
        <v>1675</v>
      </c>
      <c r="G478" s="1" t="s">
        <v>215</v>
      </c>
      <c r="H478" s="1">
        <v>5</v>
      </c>
      <c r="I478" s="1">
        <v>0.37562499999999999</v>
      </c>
      <c r="K478" s="1" t="s">
        <v>181</v>
      </c>
    </row>
    <row r="479" spans="1:11" x14ac:dyDescent="0.25">
      <c r="A479" s="1" t="s">
        <v>1709</v>
      </c>
      <c r="B479" s="1" t="s">
        <v>1710</v>
      </c>
      <c r="D479" s="1" t="s">
        <v>1711</v>
      </c>
      <c r="E479" s="1" t="s">
        <v>209</v>
      </c>
      <c r="F479" s="1" t="s">
        <v>1675</v>
      </c>
      <c r="G479" s="1" t="s">
        <v>215</v>
      </c>
      <c r="H479" s="1">
        <v>5</v>
      </c>
      <c r="I479" s="1">
        <v>0.37562499999999999</v>
      </c>
      <c r="K479" s="1" t="s">
        <v>181</v>
      </c>
    </row>
    <row r="480" spans="1:11" x14ac:dyDescent="0.25">
      <c r="A480" s="1" t="s">
        <v>1712</v>
      </c>
      <c r="B480" s="1" t="s">
        <v>1713</v>
      </c>
      <c r="D480" s="1" t="s">
        <v>1714</v>
      </c>
      <c r="E480" s="1" t="s">
        <v>209</v>
      </c>
      <c r="F480" s="1" t="s">
        <v>1675</v>
      </c>
      <c r="G480" s="1" t="s">
        <v>215</v>
      </c>
      <c r="H480" s="1">
        <v>5</v>
      </c>
      <c r="I480" s="1">
        <v>0.37562499999999999</v>
      </c>
      <c r="K480" s="1" t="s">
        <v>181</v>
      </c>
    </row>
    <row r="481" spans="1:11" x14ac:dyDescent="0.25">
      <c r="A481" s="1" t="s">
        <v>1715</v>
      </c>
      <c r="B481" s="1" t="s">
        <v>1716</v>
      </c>
      <c r="D481" s="1" t="s">
        <v>1717</v>
      </c>
      <c r="E481" s="1" t="s">
        <v>209</v>
      </c>
      <c r="F481" s="1" t="s">
        <v>1675</v>
      </c>
      <c r="G481" s="1" t="s">
        <v>215</v>
      </c>
      <c r="H481" s="1">
        <v>5</v>
      </c>
      <c r="I481" s="1">
        <v>0.37562499999999999</v>
      </c>
      <c r="K481" s="1" t="s">
        <v>181</v>
      </c>
    </row>
    <row r="482" spans="1:11" x14ac:dyDescent="0.25">
      <c r="A482" s="1" t="s">
        <v>1718</v>
      </c>
      <c r="B482" s="1" t="s">
        <v>1719</v>
      </c>
      <c r="D482" s="1" t="s">
        <v>1720</v>
      </c>
      <c r="E482" s="1" t="s">
        <v>209</v>
      </c>
      <c r="F482" s="1" t="s">
        <v>1675</v>
      </c>
      <c r="G482" s="1" t="s">
        <v>215</v>
      </c>
      <c r="H482" s="1">
        <v>5</v>
      </c>
      <c r="I482" s="1">
        <v>0.37562499999999999</v>
      </c>
      <c r="K482" s="1" t="s">
        <v>181</v>
      </c>
    </row>
    <row r="483" spans="1:11" x14ac:dyDescent="0.25">
      <c r="A483" s="1" t="s">
        <v>1721</v>
      </c>
      <c r="B483" s="1" t="s">
        <v>1722</v>
      </c>
      <c r="D483" s="1" t="s">
        <v>1723</v>
      </c>
      <c r="E483" s="1" t="s">
        <v>209</v>
      </c>
      <c r="F483" s="1" t="s">
        <v>1675</v>
      </c>
      <c r="G483" s="1" t="s">
        <v>215</v>
      </c>
      <c r="H483" s="1">
        <v>5</v>
      </c>
      <c r="I483" s="1">
        <v>0.37562499999999999</v>
      </c>
      <c r="K483" s="1" t="s">
        <v>181</v>
      </c>
    </row>
    <row r="484" spans="1:11" x14ac:dyDescent="0.25">
      <c r="A484" s="1" t="s">
        <v>1724</v>
      </c>
      <c r="B484" s="1" t="s">
        <v>1725</v>
      </c>
      <c r="D484" s="1" t="s">
        <v>1726</v>
      </c>
      <c r="E484" s="1" t="s">
        <v>209</v>
      </c>
      <c r="F484" s="1" t="s">
        <v>1675</v>
      </c>
      <c r="G484" s="1" t="s">
        <v>215</v>
      </c>
      <c r="H484" s="1">
        <v>5</v>
      </c>
      <c r="I484" s="1">
        <v>0.37562499999999999</v>
      </c>
      <c r="K484" s="1" t="s">
        <v>181</v>
      </c>
    </row>
    <row r="485" spans="1:11" x14ac:dyDescent="0.25">
      <c r="A485" s="1" t="s">
        <v>1727</v>
      </c>
      <c r="B485" s="1" t="s">
        <v>1728</v>
      </c>
      <c r="D485" s="1" t="s">
        <v>1729</v>
      </c>
      <c r="E485" s="1" t="s">
        <v>209</v>
      </c>
      <c r="F485" s="1" t="s">
        <v>1675</v>
      </c>
      <c r="G485" s="1" t="s">
        <v>215</v>
      </c>
      <c r="H485" s="1">
        <v>5</v>
      </c>
      <c r="I485" s="1">
        <v>0.37562499999999999</v>
      </c>
      <c r="K485" s="1" t="s">
        <v>181</v>
      </c>
    </row>
    <row r="486" spans="1:11" x14ac:dyDescent="0.25">
      <c r="A486" s="1" t="s">
        <v>1730</v>
      </c>
      <c r="B486" s="1" t="s">
        <v>1731</v>
      </c>
      <c r="D486" s="1" t="s">
        <v>1732</v>
      </c>
      <c r="E486" s="1" t="s">
        <v>209</v>
      </c>
      <c r="F486" s="1" t="s">
        <v>1675</v>
      </c>
      <c r="G486" s="1" t="s">
        <v>215</v>
      </c>
      <c r="H486" s="1">
        <v>5</v>
      </c>
      <c r="I486" s="1">
        <v>0.37562499999999999</v>
      </c>
      <c r="K486" s="1" t="s">
        <v>181</v>
      </c>
    </row>
    <row r="487" spans="1:11" x14ac:dyDescent="0.25">
      <c r="A487" s="1" t="s">
        <v>1733</v>
      </c>
      <c r="B487" s="1" t="s">
        <v>1734</v>
      </c>
      <c r="D487" s="1" t="s">
        <v>1735</v>
      </c>
      <c r="E487" s="1" t="s">
        <v>209</v>
      </c>
      <c r="F487" s="1" t="s">
        <v>1675</v>
      </c>
      <c r="G487" s="1" t="s">
        <v>215</v>
      </c>
      <c r="H487" s="1">
        <v>5</v>
      </c>
      <c r="I487" s="1">
        <v>0.37562499999999999</v>
      </c>
      <c r="K487" s="1" t="s">
        <v>181</v>
      </c>
    </row>
    <row r="488" spans="1:11" x14ac:dyDescent="0.25">
      <c r="A488" s="1" t="s">
        <v>1736</v>
      </c>
      <c r="B488" s="1" t="s">
        <v>1737</v>
      </c>
      <c r="D488" s="1" t="s">
        <v>1738</v>
      </c>
      <c r="E488" s="1" t="s">
        <v>209</v>
      </c>
      <c r="F488" s="1" t="s">
        <v>1675</v>
      </c>
      <c r="G488" s="1" t="s">
        <v>215</v>
      </c>
      <c r="H488" s="1">
        <v>5</v>
      </c>
      <c r="I488" s="1">
        <v>0.37562499999999999</v>
      </c>
      <c r="K488" s="1" t="s">
        <v>181</v>
      </c>
    </row>
    <row r="489" spans="1:11" x14ac:dyDescent="0.25">
      <c r="A489" s="1" t="s">
        <v>1739</v>
      </c>
      <c r="B489" s="1" t="s">
        <v>1740</v>
      </c>
      <c r="D489" s="1" t="s">
        <v>1741</v>
      </c>
      <c r="E489" s="1" t="s">
        <v>209</v>
      </c>
      <c r="F489" s="1" t="s">
        <v>1675</v>
      </c>
      <c r="G489" s="1" t="s">
        <v>215</v>
      </c>
      <c r="H489" s="1">
        <v>5</v>
      </c>
      <c r="I489" s="1">
        <v>0.37562499999999999</v>
      </c>
      <c r="K489" s="1" t="s">
        <v>181</v>
      </c>
    </row>
    <row r="490" spans="1:11" x14ac:dyDescent="0.25">
      <c r="A490" s="1" t="s">
        <v>1742</v>
      </c>
      <c r="B490" s="1" t="s">
        <v>1743</v>
      </c>
      <c r="D490" s="1" t="s">
        <v>1744</v>
      </c>
      <c r="E490" s="1" t="s">
        <v>209</v>
      </c>
      <c r="F490" s="1" t="s">
        <v>1675</v>
      </c>
      <c r="G490" s="1" t="s">
        <v>215</v>
      </c>
      <c r="H490" s="1">
        <v>5</v>
      </c>
      <c r="I490" s="1">
        <v>0.37562499999999999</v>
      </c>
      <c r="K490" s="1" t="s">
        <v>181</v>
      </c>
    </row>
    <row r="491" spans="1:11" x14ac:dyDescent="0.25">
      <c r="A491" s="1" t="s">
        <v>1745</v>
      </c>
      <c r="B491" s="1" t="s">
        <v>1746</v>
      </c>
      <c r="D491" s="1" t="s">
        <v>1747</v>
      </c>
      <c r="E491" s="1" t="s">
        <v>209</v>
      </c>
      <c r="F491" s="1" t="s">
        <v>1675</v>
      </c>
      <c r="G491" s="1" t="s">
        <v>215</v>
      </c>
      <c r="H491" s="1">
        <v>5</v>
      </c>
      <c r="I491" s="1">
        <v>0.37562499999999999</v>
      </c>
      <c r="K491" s="1" t="s">
        <v>181</v>
      </c>
    </row>
    <row r="492" spans="1:11" x14ac:dyDescent="0.25">
      <c r="A492" s="1" t="s">
        <v>1748</v>
      </c>
      <c r="B492" s="1" t="s">
        <v>1749</v>
      </c>
      <c r="D492" s="1" t="s">
        <v>1750</v>
      </c>
      <c r="E492" s="1" t="s">
        <v>209</v>
      </c>
      <c r="F492" s="1" t="s">
        <v>1675</v>
      </c>
      <c r="G492" s="1" t="s">
        <v>215</v>
      </c>
      <c r="H492" s="1">
        <v>5</v>
      </c>
      <c r="I492" s="1">
        <v>0.37562499999999999</v>
      </c>
      <c r="K492" s="1" t="s">
        <v>181</v>
      </c>
    </row>
    <row r="493" spans="1:11" x14ac:dyDescent="0.25">
      <c r="A493" s="1" t="s">
        <v>1751</v>
      </c>
      <c r="B493" s="1" t="s">
        <v>1752</v>
      </c>
      <c r="D493" s="1" t="s">
        <v>1753</v>
      </c>
      <c r="E493" s="1" t="s">
        <v>209</v>
      </c>
      <c r="F493" s="1" t="s">
        <v>1675</v>
      </c>
      <c r="G493" s="1" t="s">
        <v>215</v>
      </c>
      <c r="H493" s="1">
        <v>5</v>
      </c>
      <c r="I493" s="1">
        <v>0.37562499999999999</v>
      </c>
      <c r="K493" s="1" t="s">
        <v>181</v>
      </c>
    </row>
    <row r="494" spans="1:11" x14ac:dyDescent="0.25">
      <c r="A494" s="1" t="s">
        <v>1754</v>
      </c>
      <c r="B494" s="1" t="s">
        <v>1755</v>
      </c>
      <c r="D494" s="1" t="s">
        <v>1756</v>
      </c>
      <c r="E494" s="1" t="s">
        <v>209</v>
      </c>
      <c r="F494" s="1" t="s">
        <v>1675</v>
      </c>
      <c r="G494" s="1" t="s">
        <v>215</v>
      </c>
      <c r="H494" s="1">
        <v>5</v>
      </c>
      <c r="I494" s="1">
        <v>0.37562499999999999</v>
      </c>
      <c r="K494" s="1" t="s">
        <v>181</v>
      </c>
    </row>
    <row r="495" spans="1:11" x14ac:dyDescent="0.25">
      <c r="A495" s="1" t="s">
        <v>1757</v>
      </c>
      <c r="B495" s="1" t="s">
        <v>1758</v>
      </c>
      <c r="D495" s="1" t="s">
        <v>1759</v>
      </c>
      <c r="E495" s="1" t="s">
        <v>209</v>
      </c>
      <c r="F495" s="1" t="s">
        <v>1675</v>
      </c>
      <c r="G495" s="1" t="s">
        <v>215</v>
      </c>
      <c r="H495" s="1">
        <v>5</v>
      </c>
      <c r="I495" s="1">
        <v>0.37562499999999999</v>
      </c>
      <c r="K495" s="1" t="s">
        <v>181</v>
      </c>
    </row>
    <row r="496" spans="1:11" x14ac:dyDescent="0.25">
      <c r="A496" s="1" t="s">
        <v>1760</v>
      </c>
      <c r="B496" s="1" t="s">
        <v>1761</v>
      </c>
      <c r="D496" s="1" t="s">
        <v>1762</v>
      </c>
      <c r="E496" s="1" t="s">
        <v>209</v>
      </c>
      <c r="F496" s="1" t="s">
        <v>1675</v>
      </c>
      <c r="G496" s="1" t="s">
        <v>211</v>
      </c>
      <c r="H496" s="1">
        <v>5</v>
      </c>
      <c r="I496" s="1">
        <v>0.37562499999999999</v>
      </c>
      <c r="K496" s="1" t="s">
        <v>181</v>
      </c>
    </row>
    <row r="497" spans="1:11" x14ac:dyDescent="0.25">
      <c r="A497" s="1" t="s">
        <v>1763</v>
      </c>
      <c r="B497" s="1" t="s">
        <v>1764</v>
      </c>
      <c r="D497" s="1" t="s">
        <v>1765</v>
      </c>
      <c r="E497" s="1" t="s">
        <v>209</v>
      </c>
      <c r="F497" s="1" t="s">
        <v>1675</v>
      </c>
      <c r="G497" s="1" t="s">
        <v>215</v>
      </c>
      <c r="H497" s="1">
        <v>5</v>
      </c>
      <c r="I497" s="1">
        <v>0.37562499999999999</v>
      </c>
      <c r="K497" s="1" t="s">
        <v>181</v>
      </c>
    </row>
    <row r="498" spans="1:11" x14ac:dyDescent="0.25">
      <c r="A498" s="1" t="s">
        <v>1766</v>
      </c>
      <c r="B498" s="1" t="s">
        <v>1767</v>
      </c>
      <c r="D498" s="1" t="s">
        <v>1768</v>
      </c>
      <c r="E498" s="1" t="s">
        <v>209</v>
      </c>
      <c r="F498" s="1" t="s">
        <v>1675</v>
      </c>
      <c r="G498" s="1" t="s">
        <v>211</v>
      </c>
      <c r="H498" s="1">
        <v>5</v>
      </c>
      <c r="I498" s="1">
        <v>0.37562499999999999</v>
      </c>
      <c r="K498" s="1" t="s">
        <v>181</v>
      </c>
    </row>
    <row r="499" spans="1:11" x14ac:dyDescent="0.25">
      <c r="A499" s="1" t="s">
        <v>1769</v>
      </c>
      <c r="B499" s="1" t="s">
        <v>1770</v>
      </c>
      <c r="D499" s="1" t="s">
        <v>1771</v>
      </c>
      <c r="E499" s="1" t="s">
        <v>209</v>
      </c>
      <c r="F499" s="1" t="s">
        <v>1675</v>
      </c>
      <c r="G499" s="1" t="s">
        <v>215</v>
      </c>
      <c r="H499" s="1">
        <v>5</v>
      </c>
      <c r="I499" s="1">
        <v>0.37562499999999999</v>
      </c>
      <c r="K499" s="1" t="s">
        <v>181</v>
      </c>
    </row>
    <row r="500" spans="1:11" x14ac:dyDescent="0.25">
      <c r="A500" s="1" t="s">
        <v>1772</v>
      </c>
      <c r="B500" s="1" t="s">
        <v>1773</v>
      </c>
      <c r="D500" s="1" t="s">
        <v>1774</v>
      </c>
      <c r="E500" s="1" t="s">
        <v>209</v>
      </c>
      <c r="F500" s="1" t="s">
        <v>1675</v>
      </c>
      <c r="G500" s="1" t="s">
        <v>215</v>
      </c>
      <c r="H500" s="1">
        <v>5</v>
      </c>
      <c r="I500" s="1">
        <v>0.37562499999999999</v>
      </c>
      <c r="K500" s="1" t="s">
        <v>181</v>
      </c>
    </row>
    <row r="501" spans="1:11" x14ac:dyDescent="0.25">
      <c r="A501" s="1" t="s">
        <v>1775</v>
      </c>
      <c r="B501" s="1" t="s">
        <v>1776</v>
      </c>
      <c r="D501" s="1" t="s">
        <v>1777</v>
      </c>
      <c r="E501" s="1" t="s">
        <v>209</v>
      </c>
      <c r="F501" s="1" t="s">
        <v>1675</v>
      </c>
      <c r="G501" s="1" t="s">
        <v>215</v>
      </c>
      <c r="H501" s="1">
        <v>5</v>
      </c>
      <c r="I501" s="1">
        <v>0.37562499999999999</v>
      </c>
      <c r="K501" s="1" t="s">
        <v>181</v>
      </c>
    </row>
    <row r="502" spans="1:11" x14ac:dyDescent="0.25">
      <c r="A502" s="1" t="s">
        <v>1778</v>
      </c>
      <c r="B502" s="1" t="s">
        <v>1779</v>
      </c>
      <c r="D502" s="1" t="s">
        <v>1780</v>
      </c>
      <c r="E502" s="1" t="s">
        <v>209</v>
      </c>
      <c r="F502" s="1" t="s">
        <v>1675</v>
      </c>
      <c r="G502" s="1" t="s">
        <v>215</v>
      </c>
      <c r="H502" s="1">
        <v>5</v>
      </c>
      <c r="I502" s="1">
        <v>0.37562499999999999</v>
      </c>
      <c r="K502" s="1" t="s">
        <v>181</v>
      </c>
    </row>
    <row r="503" spans="1:11" x14ac:dyDescent="0.25">
      <c r="A503" s="1" t="s">
        <v>1781</v>
      </c>
      <c r="B503" s="1" t="s">
        <v>1782</v>
      </c>
      <c r="D503" s="1" t="s">
        <v>1783</v>
      </c>
      <c r="E503" s="1" t="s">
        <v>209</v>
      </c>
      <c r="F503" s="1" t="s">
        <v>1675</v>
      </c>
      <c r="G503" s="1" t="s">
        <v>215</v>
      </c>
      <c r="H503" s="1">
        <v>5</v>
      </c>
      <c r="I503" s="1">
        <v>0.37562499999999999</v>
      </c>
      <c r="K503" s="1" t="s">
        <v>181</v>
      </c>
    </row>
    <row r="504" spans="1:11" x14ac:dyDescent="0.25">
      <c r="A504" s="1" t="s">
        <v>1784</v>
      </c>
      <c r="B504" s="1" t="s">
        <v>1785</v>
      </c>
      <c r="D504" s="1" t="s">
        <v>1786</v>
      </c>
      <c r="E504" s="1" t="s">
        <v>209</v>
      </c>
      <c r="F504" s="1" t="s">
        <v>1675</v>
      </c>
      <c r="G504" s="1" t="s">
        <v>215</v>
      </c>
      <c r="H504" s="1">
        <v>5</v>
      </c>
      <c r="I504" s="1">
        <v>0.37562499999999999</v>
      </c>
      <c r="K504" s="1" t="s">
        <v>181</v>
      </c>
    </row>
    <row r="505" spans="1:11" x14ac:dyDescent="0.25">
      <c r="A505" s="1" t="s">
        <v>1787</v>
      </c>
      <c r="B505" s="1" t="s">
        <v>1788</v>
      </c>
      <c r="D505" s="1" t="s">
        <v>1789</v>
      </c>
      <c r="E505" s="1" t="s">
        <v>209</v>
      </c>
      <c r="F505" s="1" t="s">
        <v>1675</v>
      </c>
      <c r="G505" s="1" t="s">
        <v>215</v>
      </c>
      <c r="H505" s="1">
        <v>5</v>
      </c>
      <c r="I505" s="1">
        <v>0.37562499999999999</v>
      </c>
      <c r="K505" s="1" t="s">
        <v>181</v>
      </c>
    </row>
    <row r="506" spans="1:11" x14ac:dyDescent="0.25">
      <c r="A506" s="1" t="s">
        <v>1790</v>
      </c>
      <c r="B506" s="1" t="s">
        <v>1791</v>
      </c>
      <c r="D506" s="1" t="s">
        <v>1792</v>
      </c>
      <c r="E506" s="1" t="s">
        <v>209</v>
      </c>
      <c r="F506" s="1" t="s">
        <v>1675</v>
      </c>
      <c r="G506" s="1" t="s">
        <v>215</v>
      </c>
      <c r="H506" s="1">
        <v>5</v>
      </c>
      <c r="I506" s="1">
        <v>0.37562499999999999</v>
      </c>
      <c r="K506" s="1" t="s">
        <v>181</v>
      </c>
    </row>
    <row r="507" spans="1:11" x14ac:dyDescent="0.25">
      <c r="A507" s="1" t="s">
        <v>1793</v>
      </c>
      <c r="B507" s="1" t="s">
        <v>1794</v>
      </c>
      <c r="D507" s="1" t="s">
        <v>1795</v>
      </c>
      <c r="E507" s="1" t="s">
        <v>209</v>
      </c>
      <c r="F507" s="1" t="s">
        <v>1675</v>
      </c>
      <c r="G507" s="1" t="s">
        <v>215</v>
      </c>
      <c r="H507" s="1">
        <v>5</v>
      </c>
      <c r="I507" s="1">
        <v>0.37562499999999999</v>
      </c>
      <c r="K507" s="1" t="s">
        <v>181</v>
      </c>
    </row>
    <row r="508" spans="1:11" x14ac:dyDescent="0.25">
      <c r="A508" s="1" t="s">
        <v>1796</v>
      </c>
      <c r="B508" s="1" t="s">
        <v>1797</v>
      </c>
      <c r="D508" s="1" t="s">
        <v>1798</v>
      </c>
      <c r="E508" s="1" t="s">
        <v>209</v>
      </c>
      <c r="F508" s="1" t="s">
        <v>1675</v>
      </c>
      <c r="G508" s="1" t="s">
        <v>215</v>
      </c>
      <c r="H508" s="1">
        <v>5</v>
      </c>
      <c r="I508" s="1">
        <v>0.37562499999999999</v>
      </c>
      <c r="K508" s="1" t="s">
        <v>181</v>
      </c>
    </row>
    <row r="509" spans="1:11" x14ac:dyDescent="0.25">
      <c r="A509" s="1" t="s">
        <v>1799</v>
      </c>
      <c r="B509" s="1" t="s">
        <v>1800</v>
      </c>
      <c r="D509" s="1" t="s">
        <v>1801</v>
      </c>
      <c r="E509" s="1" t="s">
        <v>209</v>
      </c>
      <c r="F509" s="1" t="s">
        <v>1675</v>
      </c>
      <c r="G509" s="1" t="s">
        <v>215</v>
      </c>
      <c r="H509" s="1">
        <v>5</v>
      </c>
      <c r="I509" s="1">
        <v>0.37562499999999999</v>
      </c>
      <c r="K509" s="1" t="s">
        <v>181</v>
      </c>
    </row>
    <row r="510" spans="1:11" x14ac:dyDescent="0.25">
      <c r="A510" s="1" t="s">
        <v>1802</v>
      </c>
      <c r="B510" s="1" t="s">
        <v>1803</v>
      </c>
      <c r="D510" s="1" t="s">
        <v>1804</v>
      </c>
      <c r="E510" s="1" t="s">
        <v>209</v>
      </c>
      <c r="F510" s="1" t="s">
        <v>1675</v>
      </c>
      <c r="G510" s="1" t="s">
        <v>215</v>
      </c>
      <c r="H510" s="1">
        <v>5</v>
      </c>
      <c r="I510" s="1">
        <v>0.37562499999999999</v>
      </c>
      <c r="K510" s="1" t="s">
        <v>181</v>
      </c>
    </row>
    <row r="511" spans="1:11" x14ac:dyDescent="0.25">
      <c r="A511" s="1" t="s">
        <v>1805</v>
      </c>
      <c r="B511" s="1" t="s">
        <v>1806</v>
      </c>
      <c r="D511" s="1" t="s">
        <v>1807</v>
      </c>
      <c r="E511" s="1" t="s">
        <v>209</v>
      </c>
      <c r="F511" s="1" t="s">
        <v>1675</v>
      </c>
      <c r="G511" s="1" t="s">
        <v>215</v>
      </c>
      <c r="H511" s="1">
        <v>5</v>
      </c>
      <c r="I511" s="1">
        <v>0.37562499999999999</v>
      </c>
      <c r="K511" s="1" t="s">
        <v>181</v>
      </c>
    </row>
    <row r="512" spans="1:11" x14ac:dyDescent="0.25">
      <c r="A512" s="1" t="s">
        <v>1808</v>
      </c>
      <c r="B512" s="1" t="s">
        <v>1809</v>
      </c>
      <c r="D512" s="1" t="s">
        <v>1810</v>
      </c>
      <c r="E512" s="1" t="s">
        <v>209</v>
      </c>
      <c r="F512" s="1" t="s">
        <v>1675</v>
      </c>
      <c r="G512" s="1" t="s">
        <v>215</v>
      </c>
      <c r="H512" s="1">
        <v>5</v>
      </c>
      <c r="I512" s="1">
        <v>0.37562499999999999</v>
      </c>
      <c r="K512" s="1" t="s">
        <v>181</v>
      </c>
    </row>
    <row r="513" spans="1:11" x14ac:dyDescent="0.25">
      <c r="A513" s="1" t="s">
        <v>1811</v>
      </c>
      <c r="B513" s="1" t="s">
        <v>1812</v>
      </c>
      <c r="D513" s="1" t="s">
        <v>1813</v>
      </c>
      <c r="E513" s="1" t="s">
        <v>209</v>
      </c>
      <c r="F513" s="1" t="s">
        <v>1675</v>
      </c>
      <c r="G513" s="1" t="s">
        <v>215</v>
      </c>
      <c r="H513" s="1">
        <v>5</v>
      </c>
      <c r="I513" s="1">
        <v>0.37562499999999999</v>
      </c>
      <c r="K513" s="1" t="s">
        <v>181</v>
      </c>
    </row>
    <row r="514" spans="1:11" x14ac:dyDescent="0.25">
      <c r="A514" s="1" t="s">
        <v>1814</v>
      </c>
      <c r="B514" s="1" t="s">
        <v>1815</v>
      </c>
      <c r="D514" s="1" t="s">
        <v>1816</v>
      </c>
      <c r="E514" s="1" t="s">
        <v>209</v>
      </c>
      <c r="F514" s="1" t="s">
        <v>1675</v>
      </c>
      <c r="G514" s="1" t="s">
        <v>215</v>
      </c>
      <c r="H514" s="1">
        <v>5</v>
      </c>
      <c r="I514" s="1">
        <v>0.37562499999999999</v>
      </c>
      <c r="K514" s="1" t="s">
        <v>181</v>
      </c>
    </row>
    <row r="515" spans="1:11" x14ac:dyDescent="0.25">
      <c r="A515" s="1" t="s">
        <v>1817</v>
      </c>
      <c r="B515" s="1" t="s">
        <v>1818</v>
      </c>
      <c r="D515" s="1" t="s">
        <v>1819</v>
      </c>
      <c r="E515" s="1" t="s">
        <v>209</v>
      </c>
      <c r="F515" s="1" t="s">
        <v>1675</v>
      </c>
      <c r="G515" s="1" t="s">
        <v>215</v>
      </c>
      <c r="H515" s="1">
        <v>5</v>
      </c>
      <c r="I515" s="1">
        <v>0.37562499999999999</v>
      </c>
      <c r="K515" s="1" t="s">
        <v>181</v>
      </c>
    </row>
    <row r="516" spans="1:11" x14ac:dyDescent="0.25">
      <c r="A516" s="1" t="s">
        <v>1820</v>
      </c>
      <c r="B516" s="1" t="s">
        <v>1821</v>
      </c>
      <c r="D516" s="1" t="s">
        <v>1822</v>
      </c>
      <c r="E516" s="1" t="s">
        <v>209</v>
      </c>
      <c r="F516" s="1" t="s">
        <v>1675</v>
      </c>
      <c r="G516" s="1" t="s">
        <v>215</v>
      </c>
      <c r="H516" s="1">
        <v>5</v>
      </c>
      <c r="I516" s="1">
        <v>0.37562499999999999</v>
      </c>
      <c r="K516" s="1" t="s">
        <v>181</v>
      </c>
    </row>
    <row r="517" spans="1:11" x14ac:dyDescent="0.25">
      <c r="A517" s="1" t="s">
        <v>1823</v>
      </c>
      <c r="B517" s="1" t="s">
        <v>1824</v>
      </c>
      <c r="D517" s="1" t="s">
        <v>1825</v>
      </c>
      <c r="E517" s="1" t="s">
        <v>209</v>
      </c>
      <c r="F517" s="1" t="s">
        <v>1675</v>
      </c>
      <c r="G517" s="1" t="s">
        <v>215</v>
      </c>
      <c r="H517" s="1">
        <v>5</v>
      </c>
      <c r="I517" s="1">
        <v>0.37562499999999999</v>
      </c>
      <c r="K517" s="1" t="s">
        <v>181</v>
      </c>
    </row>
    <row r="518" spans="1:11" x14ac:dyDescent="0.25">
      <c r="A518" s="1" t="s">
        <v>1826</v>
      </c>
      <c r="B518" s="1" t="s">
        <v>1827</v>
      </c>
      <c r="D518" s="1" t="s">
        <v>1828</v>
      </c>
      <c r="E518" s="1" t="s">
        <v>209</v>
      </c>
      <c r="F518" s="1" t="s">
        <v>1675</v>
      </c>
      <c r="G518" s="1" t="s">
        <v>215</v>
      </c>
      <c r="H518" s="1">
        <v>5</v>
      </c>
      <c r="I518" s="1">
        <v>0.37562499999999999</v>
      </c>
      <c r="K518" s="1" t="s">
        <v>181</v>
      </c>
    </row>
    <row r="519" spans="1:11" x14ac:dyDescent="0.25">
      <c r="A519" s="1" t="s">
        <v>1829</v>
      </c>
      <c r="B519" s="1" t="s">
        <v>1830</v>
      </c>
      <c r="D519" s="1" t="s">
        <v>1831</v>
      </c>
      <c r="E519" s="1" t="s">
        <v>209</v>
      </c>
      <c r="F519" s="1" t="s">
        <v>1675</v>
      </c>
      <c r="G519" s="1" t="s">
        <v>215</v>
      </c>
      <c r="H519" s="1">
        <v>5</v>
      </c>
      <c r="I519" s="1">
        <v>0.37562499999999999</v>
      </c>
      <c r="K519" s="1" t="s">
        <v>181</v>
      </c>
    </row>
    <row r="520" spans="1:11" x14ac:dyDescent="0.25">
      <c r="A520" s="1" t="s">
        <v>1832</v>
      </c>
      <c r="B520" s="1" t="s">
        <v>1833</v>
      </c>
      <c r="D520" s="1" t="s">
        <v>1834</v>
      </c>
      <c r="E520" s="1" t="s">
        <v>209</v>
      </c>
      <c r="F520" s="1" t="s">
        <v>1675</v>
      </c>
      <c r="G520" s="1" t="s">
        <v>215</v>
      </c>
      <c r="H520" s="1">
        <v>5</v>
      </c>
      <c r="I520" s="1">
        <v>0.37562499999999999</v>
      </c>
      <c r="K520" s="1" t="s">
        <v>181</v>
      </c>
    </row>
    <row r="521" spans="1:11" x14ac:dyDescent="0.25">
      <c r="A521" s="1" t="s">
        <v>1835</v>
      </c>
      <c r="B521" s="1" t="s">
        <v>1836</v>
      </c>
      <c r="D521" s="1" t="s">
        <v>1837</v>
      </c>
      <c r="E521" s="1" t="s">
        <v>209</v>
      </c>
      <c r="F521" s="1" t="s">
        <v>1675</v>
      </c>
      <c r="G521" s="1" t="s">
        <v>215</v>
      </c>
      <c r="H521" s="1">
        <v>5</v>
      </c>
      <c r="I521" s="1">
        <v>0.37562499999999999</v>
      </c>
      <c r="K521" s="1" t="s">
        <v>181</v>
      </c>
    </row>
    <row r="522" spans="1:11" x14ac:dyDescent="0.25">
      <c r="A522" s="1" t="s">
        <v>1838</v>
      </c>
      <c r="B522" s="1" t="s">
        <v>1839</v>
      </c>
      <c r="D522" s="1" t="s">
        <v>1840</v>
      </c>
      <c r="E522" s="1" t="s">
        <v>209</v>
      </c>
      <c r="F522" s="1" t="s">
        <v>1675</v>
      </c>
      <c r="G522" s="1" t="s">
        <v>215</v>
      </c>
      <c r="H522" s="1">
        <v>5</v>
      </c>
      <c r="I522" s="1">
        <v>0.37562499999999999</v>
      </c>
      <c r="K522" s="1" t="s">
        <v>181</v>
      </c>
    </row>
    <row r="523" spans="1:11" x14ac:dyDescent="0.25">
      <c r="A523" s="1" t="s">
        <v>1841</v>
      </c>
      <c r="B523" s="1" t="s">
        <v>1842</v>
      </c>
      <c r="D523" s="1" t="s">
        <v>1843</v>
      </c>
      <c r="E523" s="1" t="s">
        <v>209</v>
      </c>
      <c r="F523" s="1" t="s">
        <v>1675</v>
      </c>
      <c r="G523" s="1" t="s">
        <v>215</v>
      </c>
      <c r="H523" s="1">
        <v>5</v>
      </c>
      <c r="I523" s="1">
        <v>0.37562499999999999</v>
      </c>
      <c r="K523" s="1" t="s">
        <v>181</v>
      </c>
    </row>
    <row r="524" spans="1:11" x14ac:dyDescent="0.25">
      <c r="A524" s="1" t="s">
        <v>1844</v>
      </c>
      <c r="B524" s="1" t="s">
        <v>1845</v>
      </c>
      <c r="D524" s="1" t="s">
        <v>1846</v>
      </c>
      <c r="E524" s="1" t="s">
        <v>209</v>
      </c>
      <c r="F524" s="1" t="s">
        <v>1675</v>
      </c>
      <c r="G524" s="1" t="s">
        <v>574</v>
      </c>
      <c r="H524" s="1">
        <v>5</v>
      </c>
      <c r="I524" s="1">
        <v>0.37562499999999999</v>
      </c>
      <c r="K524" s="1" t="s">
        <v>181</v>
      </c>
    </row>
    <row r="525" spans="1:11" x14ac:dyDescent="0.25">
      <c r="A525" s="1" t="s">
        <v>1847</v>
      </c>
      <c r="B525" s="1" t="s">
        <v>1848</v>
      </c>
      <c r="D525" s="1" t="s">
        <v>1849</v>
      </c>
      <c r="E525" s="1" t="s">
        <v>209</v>
      </c>
      <c r="F525" s="1" t="s">
        <v>1675</v>
      </c>
      <c r="G525" s="1" t="s">
        <v>574</v>
      </c>
      <c r="H525" s="1">
        <v>5</v>
      </c>
      <c r="I525" s="1">
        <v>0.37562499999999999</v>
      </c>
      <c r="K525" s="1" t="s">
        <v>181</v>
      </c>
    </row>
    <row r="526" spans="1:11" x14ac:dyDescent="0.25">
      <c r="A526" s="1" t="s">
        <v>1850</v>
      </c>
      <c r="B526" s="1" t="s">
        <v>1851</v>
      </c>
      <c r="D526" s="1" t="s">
        <v>1852</v>
      </c>
      <c r="E526" s="1" t="s">
        <v>209</v>
      </c>
      <c r="F526" s="1" t="s">
        <v>1675</v>
      </c>
      <c r="G526" s="1" t="s">
        <v>215</v>
      </c>
      <c r="H526" s="1">
        <v>5</v>
      </c>
      <c r="I526" s="1">
        <v>0.37562499999999999</v>
      </c>
      <c r="K526" s="1" t="s">
        <v>181</v>
      </c>
    </row>
    <row r="527" spans="1:11" x14ac:dyDescent="0.25">
      <c r="A527" s="1" t="s">
        <v>1853</v>
      </c>
      <c r="B527" s="1" t="s">
        <v>1854</v>
      </c>
      <c r="D527" s="1" t="s">
        <v>1855</v>
      </c>
      <c r="E527" s="1" t="s">
        <v>209</v>
      </c>
      <c r="F527" s="1" t="s">
        <v>1675</v>
      </c>
      <c r="G527" s="1" t="s">
        <v>215</v>
      </c>
      <c r="H527" s="1">
        <v>5</v>
      </c>
      <c r="I527" s="1">
        <v>0.37562499999999999</v>
      </c>
      <c r="K527" s="1" t="s">
        <v>181</v>
      </c>
    </row>
    <row r="528" spans="1:11" x14ac:dyDescent="0.25">
      <c r="A528" s="1" t="s">
        <v>1856</v>
      </c>
      <c r="B528" s="1" t="s">
        <v>1857</v>
      </c>
      <c r="D528" s="1" t="s">
        <v>1858</v>
      </c>
      <c r="E528" s="1" t="s">
        <v>209</v>
      </c>
      <c r="F528" s="1" t="s">
        <v>1675</v>
      </c>
      <c r="G528" s="1" t="s">
        <v>215</v>
      </c>
      <c r="H528" s="1">
        <v>5</v>
      </c>
      <c r="I528" s="1">
        <v>0.37562499999999999</v>
      </c>
      <c r="K528" s="1" t="s">
        <v>181</v>
      </c>
    </row>
    <row r="529" spans="1:11" x14ac:dyDescent="0.25">
      <c r="A529" s="1" t="s">
        <v>1859</v>
      </c>
      <c r="B529" s="1" t="s">
        <v>1860</v>
      </c>
      <c r="D529" s="1" t="s">
        <v>1861</v>
      </c>
      <c r="E529" s="1" t="s">
        <v>209</v>
      </c>
      <c r="F529" s="1" t="s">
        <v>1675</v>
      </c>
      <c r="G529" s="1" t="s">
        <v>215</v>
      </c>
      <c r="H529" s="1">
        <v>5</v>
      </c>
      <c r="I529" s="1">
        <v>0.37562499999999999</v>
      </c>
      <c r="K529" s="1" t="s">
        <v>181</v>
      </c>
    </row>
    <row r="530" spans="1:11" x14ac:dyDescent="0.25">
      <c r="A530" s="1" t="s">
        <v>1862</v>
      </c>
      <c r="B530" s="1" t="s">
        <v>1863</v>
      </c>
      <c r="D530" s="1" t="s">
        <v>1864</v>
      </c>
      <c r="E530" s="1" t="s">
        <v>209</v>
      </c>
      <c r="F530" s="1" t="s">
        <v>1675</v>
      </c>
      <c r="G530" s="1" t="s">
        <v>215</v>
      </c>
      <c r="H530" s="1">
        <v>5</v>
      </c>
      <c r="I530" s="1">
        <v>0.37562499999999999</v>
      </c>
      <c r="K530" s="1" t="s">
        <v>181</v>
      </c>
    </row>
    <row r="531" spans="1:11" x14ac:dyDescent="0.25">
      <c r="A531" s="1" t="s">
        <v>1865</v>
      </c>
      <c r="B531" s="1" t="s">
        <v>1866</v>
      </c>
      <c r="D531" s="1" t="s">
        <v>1867</v>
      </c>
      <c r="E531" s="1" t="s">
        <v>209</v>
      </c>
      <c r="F531" s="1" t="s">
        <v>1675</v>
      </c>
      <c r="G531" s="1" t="s">
        <v>215</v>
      </c>
      <c r="H531" s="1">
        <v>5</v>
      </c>
      <c r="I531" s="1">
        <v>0.37562499999999999</v>
      </c>
      <c r="K531" s="1" t="s">
        <v>181</v>
      </c>
    </row>
    <row r="532" spans="1:11" x14ac:dyDescent="0.25">
      <c r="A532" s="1" t="s">
        <v>1868</v>
      </c>
      <c r="B532" s="1" t="s">
        <v>1869</v>
      </c>
      <c r="D532" s="1" t="s">
        <v>1870</v>
      </c>
      <c r="E532" s="1" t="s">
        <v>209</v>
      </c>
      <c r="F532" s="1" t="s">
        <v>1675</v>
      </c>
      <c r="G532" s="1" t="s">
        <v>215</v>
      </c>
      <c r="H532" s="1">
        <v>5</v>
      </c>
      <c r="I532" s="1">
        <v>0.37562499999999999</v>
      </c>
      <c r="K532" s="1" t="s">
        <v>181</v>
      </c>
    </row>
    <row r="533" spans="1:11" x14ac:dyDescent="0.25">
      <c r="A533" s="1" t="s">
        <v>1871</v>
      </c>
      <c r="B533" s="1" t="s">
        <v>1872</v>
      </c>
      <c r="D533" s="1" t="s">
        <v>1873</v>
      </c>
      <c r="E533" s="1" t="s">
        <v>209</v>
      </c>
      <c r="F533" s="1" t="s">
        <v>1675</v>
      </c>
      <c r="G533" s="1" t="s">
        <v>215</v>
      </c>
      <c r="H533" s="1">
        <v>5</v>
      </c>
      <c r="I533" s="1">
        <v>0.37562499999999999</v>
      </c>
      <c r="K533" s="1" t="s">
        <v>181</v>
      </c>
    </row>
    <row r="534" spans="1:11" x14ac:dyDescent="0.25">
      <c r="A534" s="1" t="s">
        <v>1874</v>
      </c>
      <c r="B534" s="1" t="s">
        <v>1875</v>
      </c>
      <c r="D534" s="1" t="s">
        <v>1876</v>
      </c>
      <c r="E534" s="1" t="s">
        <v>209</v>
      </c>
      <c r="F534" s="1" t="s">
        <v>1675</v>
      </c>
      <c r="G534" s="1" t="s">
        <v>215</v>
      </c>
      <c r="H534" s="1">
        <v>5</v>
      </c>
      <c r="I534" s="1">
        <v>0.37562499999999999</v>
      </c>
      <c r="K534" s="1" t="s">
        <v>181</v>
      </c>
    </row>
    <row r="535" spans="1:11" x14ac:dyDescent="0.25">
      <c r="A535" s="1" t="s">
        <v>1877</v>
      </c>
      <c r="B535" s="1" t="s">
        <v>1878</v>
      </c>
      <c r="D535" s="1" t="s">
        <v>1879</v>
      </c>
      <c r="E535" s="1" t="s">
        <v>209</v>
      </c>
      <c r="F535" s="1" t="s">
        <v>1675</v>
      </c>
      <c r="G535" s="1" t="s">
        <v>215</v>
      </c>
      <c r="H535" s="1">
        <v>5</v>
      </c>
      <c r="I535" s="1">
        <v>0.37562499999999999</v>
      </c>
      <c r="K535" s="1" t="s">
        <v>181</v>
      </c>
    </row>
    <row r="536" spans="1:11" x14ac:dyDescent="0.25">
      <c r="A536" s="1" t="s">
        <v>1880</v>
      </c>
      <c r="B536" s="1" t="s">
        <v>1881</v>
      </c>
      <c r="D536" s="1" t="s">
        <v>1882</v>
      </c>
      <c r="E536" s="1" t="s">
        <v>209</v>
      </c>
      <c r="F536" s="1" t="s">
        <v>1675</v>
      </c>
      <c r="G536" s="1" t="s">
        <v>215</v>
      </c>
      <c r="H536" s="1">
        <v>5</v>
      </c>
      <c r="I536" s="1">
        <v>0.37562499999999999</v>
      </c>
      <c r="K536" s="1" t="s">
        <v>181</v>
      </c>
    </row>
    <row r="537" spans="1:11" x14ac:dyDescent="0.25">
      <c r="A537" s="1" t="s">
        <v>1883</v>
      </c>
      <c r="B537" s="1" t="s">
        <v>1884</v>
      </c>
      <c r="D537" s="1" t="s">
        <v>1885</v>
      </c>
      <c r="E537" s="1" t="s">
        <v>209</v>
      </c>
      <c r="F537" s="1" t="s">
        <v>1675</v>
      </c>
      <c r="G537" s="1" t="s">
        <v>215</v>
      </c>
      <c r="H537" s="1">
        <v>5</v>
      </c>
      <c r="I537" s="1">
        <v>0.37562499999999999</v>
      </c>
      <c r="K537" s="1" t="s">
        <v>181</v>
      </c>
    </row>
    <row r="538" spans="1:11" x14ac:dyDescent="0.25">
      <c r="A538" s="1" t="s">
        <v>1886</v>
      </c>
      <c r="B538" s="1" t="s">
        <v>1887</v>
      </c>
      <c r="D538" s="1" t="s">
        <v>1888</v>
      </c>
      <c r="E538" s="1" t="s">
        <v>209</v>
      </c>
      <c r="F538" s="1" t="s">
        <v>1675</v>
      </c>
      <c r="G538" s="1" t="s">
        <v>215</v>
      </c>
      <c r="H538" s="1">
        <v>5</v>
      </c>
      <c r="I538" s="1">
        <v>0.37562499999999999</v>
      </c>
      <c r="K538" s="1" t="s">
        <v>181</v>
      </c>
    </row>
    <row r="539" spans="1:11" x14ac:dyDescent="0.25">
      <c r="A539" s="1" t="s">
        <v>1889</v>
      </c>
      <c r="B539" s="1" t="s">
        <v>1890</v>
      </c>
      <c r="D539" s="1" t="s">
        <v>1891</v>
      </c>
      <c r="E539" s="1" t="s">
        <v>209</v>
      </c>
      <c r="F539" s="1" t="s">
        <v>1675</v>
      </c>
      <c r="G539" s="1" t="s">
        <v>215</v>
      </c>
      <c r="H539" s="1">
        <v>5</v>
      </c>
      <c r="I539" s="1">
        <v>0.37562499999999999</v>
      </c>
      <c r="K539" s="1" t="s">
        <v>181</v>
      </c>
    </row>
    <row r="540" spans="1:11" x14ac:dyDescent="0.25">
      <c r="A540" s="1" t="s">
        <v>1892</v>
      </c>
      <c r="B540" s="1" t="s">
        <v>1893</v>
      </c>
      <c r="D540" s="1" t="s">
        <v>1894</v>
      </c>
      <c r="E540" s="1" t="s">
        <v>209</v>
      </c>
      <c r="F540" s="1" t="s">
        <v>1675</v>
      </c>
      <c r="G540" s="1" t="s">
        <v>215</v>
      </c>
      <c r="H540" s="1">
        <v>5</v>
      </c>
      <c r="I540" s="1">
        <v>0.37562499999999999</v>
      </c>
      <c r="K540" s="1" t="s">
        <v>181</v>
      </c>
    </row>
    <row r="541" spans="1:11" x14ac:dyDescent="0.25">
      <c r="A541" s="1" t="s">
        <v>1895</v>
      </c>
      <c r="B541" s="1" t="s">
        <v>1896</v>
      </c>
      <c r="D541" s="1" t="s">
        <v>1897</v>
      </c>
      <c r="E541" s="1" t="s">
        <v>209</v>
      </c>
      <c r="F541" s="1" t="s">
        <v>1675</v>
      </c>
      <c r="G541" s="1" t="s">
        <v>215</v>
      </c>
      <c r="H541" s="1">
        <v>5</v>
      </c>
      <c r="I541" s="1">
        <v>0.37562499999999999</v>
      </c>
      <c r="K541" s="1" t="s">
        <v>181</v>
      </c>
    </row>
    <row r="542" spans="1:11" x14ac:dyDescent="0.25">
      <c r="A542" s="1" t="s">
        <v>1898</v>
      </c>
      <c r="B542" s="1" t="s">
        <v>1899</v>
      </c>
      <c r="D542" s="1" t="s">
        <v>1900</v>
      </c>
      <c r="E542" s="1" t="s">
        <v>209</v>
      </c>
      <c r="F542" s="1" t="s">
        <v>1675</v>
      </c>
      <c r="G542" s="1" t="s">
        <v>215</v>
      </c>
      <c r="H542" s="1">
        <v>5</v>
      </c>
      <c r="I542" s="1">
        <v>0.37562499999999999</v>
      </c>
      <c r="K542" s="1" t="s">
        <v>181</v>
      </c>
    </row>
    <row r="543" spans="1:11" x14ac:dyDescent="0.25">
      <c r="A543" s="1" t="s">
        <v>1901</v>
      </c>
      <c r="B543" s="1" t="s">
        <v>1902</v>
      </c>
      <c r="D543" s="1" t="s">
        <v>1903</v>
      </c>
      <c r="E543" s="1" t="s">
        <v>209</v>
      </c>
      <c r="F543" s="1" t="s">
        <v>1675</v>
      </c>
      <c r="G543" s="1" t="s">
        <v>215</v>
      </c>
      <c r="H543" s="1">
        <v>5</v>
      </c>
      <c r="I543" s="1">
        <v>0.37562499999999999</v>
      </c>
      <c r="K543" s="1" t="s">
        <v>181</v>
      </c>
    </row>
    <row r="544" spans="1:11" x14ac:dyDescent="0.25">
      <c r="A544" s="1" t="s">
        <v>1904</v>
      </c>
      <c r="B544" s="1" t="s">
        <v>1905</v>
      </c>
      <c r="D544" s="1" t="s">
        <v>1906</v>
      </c>
      <c r="E544" s="1" t="s">
        <v>209</v>
      </c>
      <c r="F544" s="1" t="s">
        <v>1675</v>
      </c>
      <c r="G544" s="1" t="s">
        <v>215</v>
      </c>
      <c r="H544" s="1">
        <v>5</v>
      </c>
      <c r="I544" s="1">
        <v>0.37562499999999999</v>
      </c>
      <c r="K544" s="1" t="s">
        <v>181</v>
      </c>
    </row>
    <row r="545" spans="1:11" x14ac:dyDescent="0.25">
      <c r="A545" s="1" t="s">
        <v>1907</v>
      </c>
      <c r="B545" s="1" t="s">
        <v>1908</v>
      </c>
      <c r="D545" s="1" t="s">
        <v>1909</v>
      </c>
      <c r="E545" s="1" t="s">
        <v>209</v>
      </c>
      <c r="F545" s="1" t="s">
        <v>1675</v>
      </c>
      <c r="G545" s="1" t="s">
        <v>211</v>
      </c>
      <c r="H545" s="1">
        <v>5</v>
      </c>
      <c r="I545" s="1">
        <v>0.37562499999999999</v>
      </c>
      <c r="K545" s="1" t="s">
        <v>181</v>
      </c>
    </row>
    <row r="546" spans="1:11" x14ac:dyDescent="0.25">
      <c r="A546" s="1" t="s">
        <v>1910</v>
      </c>
      <c r="B546" s="1" t="s">
        <v>1911</v>
      </c>
      <c r="D546" s="1" t="s">
        <v>1912</v>
      </c>
      <c r="E546" s="1" t="s">
        <v>209</v>
      </c>
      <c r="F546" s="1" t="s">
        <v>1675</v>
      </c>
      <c r="G546" s="1" t="s">
        <v>215</v>
      </c>
      <c r="H546" s="1">
        <v>5</v>
      </c>
      <c r="I546" s="1">
        <v>0.37562499999999999</v>
      </c>
      <c r="K546" s="1" t="s">
        <v>181</v>
      </c>
    </row>
    <row r="547" spans="1:11" x14ac:dyDescent="0.25">
      <c r="A547" s="1" t="s">
        <v>1913</v>
      </c>
      <c r="B547" s="1" t="s">
        <v>1914</v>
      </c>
      <c r="D547" s="1" t="s">
        <v>1915</v>
      </c>
      <c r="E547" s="1" t="s">
        <v>209</v>
      </c>
      <c r="F547" s="1" t="s">
        <v>1675</v>
      </c>
      <c r="G547" s="1" t="s">
        <v>215</v>
      </c>
      <c r="H547" s="1">
        <v>5</v>
      </c>
      <c r="I547" s="1">
        <v>0.37562499999999999</v>
      </c>
      <c r="K547" s="1" t="s">
        <v>181</v>
      </c>
    </row>
    <row r="548" spans="1:11" x14ac:dyDescent="0.25">
      <c r="A548" s="1" t="s">
        <v>1916</v>
      </c>
      <c r="B548" s="1" t="s">
        <v>1917</v>
      </c>
      <c r="D548" s="1" t="s">
        <v>1918</v>
      </c>
      <c r="E548" s="1" t="s">
        <v>209</v>
      </c>
      <c r="F548" s="1" t="s">
        <v>1675</v>
      </c>
      <c r="G548" s="1" t="s">
        <v>215</v>
      </c>
      <c r="H548" s="1">
        <v>5</v>
      </c>
      <c r="I548" s="1">
        <v>0.37562499999999999</v>
      </c>
      <c r="K548" s="1" t="s">
        <v>181</v>
      </c>
    </row>
    <row r="549" spans="1:11" x14ac:dyDescent="0.25">
      <c r="A549" s="1" t="s">
        <v>1919</v>
      </c>
      <c r="B549" s="1" t="s">
        <v>1920</v>
      </c>
      <c r="D549" s="1" t="s">
        <v>1921</v>
      </c>
      <c r="E549" s="1" t="s">
        <v>209</v>
      </c>
      <c r="F549" s="1" t="s">
        <v>1675</v>
      </c>
      <c r="G549" s="1" t="s">
        <v>215</v>
      </c>
      <c r="H549" s="1">
        <v>5</v>
      </c>
      <c r="I549" s="1">
        <v>0.37562499999999999</v>
      </c>
      <c r="K549" s="1" t="s">
        <v>181</v>
      </c>
    </row>
    <row r="550" spans="1:11" x14ac:dyDescent="0.25">
      <c r="A550" s="1" t="s">
        <v>1922</v>
      </c>
      <c r="B550" s="1" t="s">
        <v>1923</v>
      </c>
      <c r="D550" s="1" t="s">
        <v>1924</v>
      </c>
      <c r="E550" s="1" t="s">
        <v>209</v>
      </c>
      <c r="F550" s="1" t="s">
        <v>1675</v>
      </c>
      <c r="G550" s="1" t="s">
        <v>215</v>
      </c>
      <c r="H550" s="1">
        <v>5</v>
      </c>
      <c r="I550" s="1">
        <v>0.37562499999999999</v>
      </c>
      <c r="K550" s="1" t="s">
        <v>181</v>
      </c>
    </row>
    <row r="551" spans="1:11" x14ac:dyDescent="0.25">
      <c r="A551" s="1" t="s">
        <v>1925</v>
      </c>
      <c r="B551" s="1" t="s">
        <v>1926</v>
      </c>
      <c r="D551" s="1" t="s">
        <v>1927</v>
      </c>
      <c r="E551" s="1" t="s">
        <v>209</v>
      </c>
      <c r="F551" s="1" t="s">
        <v>1675</v>
      </c>
      <c r="G551" s="1" t="s">
        <v>215</v>
      </c>
      <c r="H551" s="1">
        <v>5</v>
      </c>
      <c r="I551" s="1">
        <v>0.37562499999999999</v>
      </c>
      <c r="K551" s="1" t="s">
        <v>181</v>
      </c>
    </row>
    <row r="552" spans="1:11" x14ac:dyDescent="0.25">
      <c r="A552" s="1" t="s">
        <v>1928</v>
      </c>
      <c r="B552" s="1" t="s">
        <v>1929</v>
      </c>
      <c r="D552" s="1" t="s">
        <v>1930</v>
      </c>
      <c r="E552" s="1" t="s">
        <v>209</v>
      </c>
      <c r="F552" s="1" t="s">
        <v>1675</v>
      </c>
      <c r="G552" s="1" t="s">
        <v>215</v>
      </c>
      <c r="H552" s="1">
        <v>5</v>
      </c>
      <c r="I552" s="1">
        <v>0.37562499999999999</v>
      </c>
      <c r="K552" s="1" t="s">
        <v>181</v>
      </c>
    </row>
    <row r="553" spans="1:11" x14ac:dyDescent="0.25">
      <c r="A553" s="1" t="s">
        <v>1931</v>
      </c>
      <c r="B553" s="1" t="s">
        <v>1932</v>
      </c>
      <c r="D553" s="1" t="s">
        <v>1933</v>
      </c>
      <c r="E553" s="1" t="s">
        <v>209</v>
      </c>
      <c r="F553" s="1" t="s">
        <v>1675</v>
      </c>
      <c r="G553" s="1" t="s">
        <v>215</v>
      </c>
      <c r="H553" s="1">
        <v>5</v>
      </c>
      <c r="I553" s="1">
        <v>0.37562499999999999</v>
      </c>
      <c r="K553" s="1" t="s">
        <v>181</v>
      </c>
    </row>
    <row r="554" spans="1:11" x14ac:dyDescent="0.25">
      <c r="A554" s="1" t="s">
        <v>1934</v>
      </c>
      <c r="B554" s="1" t="s">
        <v>1935</v>
      </c>
      <c r="D554" s="1" t="s">
        <v>1936</v>
      </c>
      <c r="E554" s="1" t="s">
        <v>209</v>
      </c>
      <c r="F554" s="1" t="s">
        <v>1675</v>
      </c>
      <c r="G554" s="1" t="s">
        <v>215</v>
      </c>
      <c r="H554" s="1">
        <v>5</v>
      </c>
      <c r="I554" s="1">
        <v>0.37562499999999999</v>
      </c>
      <c r="K554" s="1" t="s">
        <v>181</v>
      </c>
    </row>
    <row r="555" spans="1:11" x14ac:dyDescent="0.25">
      <c r="A555" s="1" t="s">
        <v>1937</v>
      </c>
      <c r="B555" s="1" t="s">
        <v>1938</v>
      </c>
      <c r="D555" s="1" t="s">
        <v>1939</v>
      </c>
      <c r="E555" s="1" t="s">
        <v>209</v>
      </c>
      <c r="F555" s="1" t="s">
        <v>1675</v>
      </c>
      <c r="G555" s="1" t="s">
        <v>215</v>
      </c>
      <c r="H555" s="1">
        <v>5</v>
      </c>
      <c r="I555" s="1">
        <v>0.37562499999999999</v>
      </c>
      <c r="K555" s="1" t="s">
        <v>181</v>
      </c>
    </row>
    <row r="556" spans="1:11" x14ac:dyDescent="0.25">
      <c r="A556" s="1" t="s">
        <v>1940</v>
      </c>
      <c r="B556" s="1" t="s">
        <v>1941</v>
      </c>
      <c r="D556" s="1" t="s">
        <v>1942</v>
      </c>
      <c r="E556" s="1" t="s">
        <v>209</v>
      </c>
      <c r="F556" s="1" t="s">
        <v>1675</v>
      </c>
      <c r="G556" s="1" t="s">
        <v>215</v>
      </c>
      <c r="H556" s="1">
        <v>5</v>
      </c>
      <c r="I556" s="1">
        <v>0.37562499999999999</v>
      </c>
      <c r="K556" s="1" t="s">
        <v>181</v>
      </c>
    </row>
    <row r="557" spans="1:11" x14ac:dyDescent="0.25">
      <c r="A557" s="1" t="s">
        <v>1943</v>
      </c>
      <c r="B557" s="1" t="s">
        <v>1944</v>
      </c>
      <c r="D557" s="1" t="s">
        <v>1945</v>
      </c>
      <c r="E557" s="1" t="s">
        <v>209</v>
      </c>
      <c r="F557" s="1" t="s">
        <v>1675</v>
      </c>
      <c r="G557" s="1" t="s">
        <v>215</v>
      </c>
      <c r="H557" s="1">
        <v>5</v>
      </c>
      <c r="I557" s="1">
        <v>0.37562499999999999</v>
      </c>
      <c r="K557" s="1" t="s">
        <v>181</v>
      </c>
    </row>
    <row r="558" spans="1:11" x14ac:dyDescent="0.25">
      <c r="A558" s="1" t="s">
        <v>1946</v>
      </c>
      <c r="B558" s="1" t="s">
        <v>1947</v>
      </c>
      <c r="D558" s="1" t="s">
        <v>1948</v>
      </c>
      <c r="E558" s="1" t="s">
        <v>209</v>
      </c>
      <c r="F558" s="1" t="s">
        <v>1675</v>
      </c>
      <c r="G558" s="1" t="s">
        <v>215</v>
      </c>
      <c r="H558" s="1">
        <v>5</v>
      </c>
      <c r="I558" s="1">
        <v>0.37562499999999999</v>
      </c>
      <c r="K558" s="1" t="s">
        <v>181</v>
      </c>
    </row>
    <row r="559" spans="1:11" x14ac:dyDescent="0.25">
      <c r="A559" s="1" t="s">
        <v>1949</v>
      </c>
      <c r="B559" s="1" t="s">
        <v>1950</v>
      </c>
      <c r="D559" s="1" t="s">
        <v>1951</v>
      </c>
      <c r="E559" s="1" t="s">
        <v>209</v>
      </c>
      <c r="F559" s="1" t="s">
        <v>1675</v>
      </c>
      <c r="G559" s="1" t="s">
        <v>215</v>
      </c>
      <c r="H559" s="1">
        <v>5</v>
      </c>
      <c r="I559" s="1">
        <v>0.37562499999999999</v>
      </c>
      <c r="K559" s="1" t="s">
        <v>181</v>
      </c>
    </row>
    <row r="560" spans="1:11" x14ac:dyDescent="0.25">
      <c r="A560" s="1" t="s">
        <v>1952</v>
      </c>
      <c r="B560" s="1" t="s">
        <v>1953</v>
      </c>
      <c r="D560" s="1" t="s">
        <v>1954</v>
      </c>
      <c r="E560" s="1" t="s">
        <v>209</v>
      </c>
      <c r="F560" s="1" t="s">
        <v>1675</v>
      </c>
      <c r="G560" s="1" t="s">
        <v>215</v>
      </c>
      <c r="H560" s="1">
        <v>5</v>
      </c>
      <c r="I560" s="1">
        <v>0.37562499999999999</v>
      </c>
      <c r="K560" s="1" t="s">
        <v>181</v>
      </c>
    </row>
    <row r="561" spans="1:11" x14ac:dyDescent="0.25">
      <c r="A561" s="1" t="s">
        <v>1955</v>
      </c>
      <c r="B561" s="1" t="s">
        <v>1956</v>
      </c>
      <c r="D561" s="1" t="s">
        <v>1957</v>
      </c>
      <c r="E561" s="1" t="s">
        <v>209</v>
      </c>
      <c r="F561" s="1" t="s">
        <v>1675</v>
      </c>
      <c r="G561" s="1" t="s">
        <v>215</v>
      </c>
      <c r="H561" s="1">
        <v>5</v>
      </c>
      <c r="I561" s="1">
        <v>0.37562499999999999</v>
      </c>
      <c r="K561" s="1" t="s">
        <v>181</v>
      </c>
    </row>
    <row r="562" spans="1:11" x14ac:dyDescent="0.25">
      <c r="A562" s="1" t="s">
        <v>1958</v>
      </c>
      <c r="B562" s="1" t="s">
        <v>1959</v>
      </c>
      <c r="D562" s="1" t="s">
        <v>1960</v>
      </c>
      <c r="E562" s="1" t="s">
        <v>209</v>
      </c>
      <c r="F562" s="1" t="s">
        <v>1675</v>
      </c>
      <c r="G562" s="1" t="s">
        <v>215</v>
      </c>
      <c r="H562" s="1">
        <v>5</v>
      </c>
      <c r="I562" s="1">
        <v>0.37562499999999999</v>
      </c>
      <c r="K562" s="1" t="s">
        <v>181</v>
      </c>
    </row>
    <row r="563" spans="1:11" x14ac:dyDescent="0.25">
      <c r="A563" s="1" t="s">
        <v>1961</v>
      </c>
      <c r="B563" s="1" t="s">
        <v>1962</v>
      </c>
      <c r="D563" s="1" t="s">
        <v>1963</v>
      </c>
      <c r="E563" s="1" t="s">
        <v>209</v>
      </c>
      <c r="F563" s="1" t="s">
        <v>1675</v>
      </c>
      <c r="G563" s="1" t="s">
        <v>215</v>
      </c>
      <c r="H563" s="1">
        <v>5</v>
      </c>
      <c r="I563" s="1">
        <v>0.37562499999999999</v>
      </c>
      <c r="K563" s="1" t="s">
        <v>181</v>
      </c>
    </row>
    <row r="564" spans="1:11" x14ac:dyDescent="0.25">
      <c r="A564" s="1" t="s">
        <v>1964</v>
      </c>
      <c r="B564" s="1" t="s">
        <v>1965</v>
      </c>
      <c r="D564" s="1" t="s">
        <v>1966</v>
      </c>
      <c r="E564" s="1" t="s">
        <v>209</v>
      </c>
      <c r="F564" s="1" t="s">
        <v>1675</v>
      </c>
      <c r="G564" s="1" t="s">
        <v>215</v>
      </c>
      <c r="H564" s="1">
        <v>5</v>
      </c>
      <c r="I564" s="1">
        <v>0.37562499999999999</v>
      </c>
      <c r="K564" s="1" t="s">
        <v>181</v>
      </c>
    </row>
    <row r="565" spans="1:11" x14ac:dyDescent="0.25">
      <c r="A565" s="1" t="s">
        <v>1967</v>
      </c>
      <c r="B565" s="1" t="s">
        <v>1968</v>
      </c>
      <c r="D565" s="1" t="s">
        <v>1969</v>
      </c>
      <c r="E565" s="1" t="s">
        <v>209</v>
      </c>
      <c r="F565" s="1" t="s">
        <v>1675</v>
      </c>
      <c r="G565" s="1" t="s">
        <v>215</v>
      </c>
      <c r="H565" s="1">
        <v>5</v>
      </c>
      <c r="I565" s="1">
        <v>0.37562499999999999</v>
      </c>
      <c r="K565" s="1" t="s">
        <v>181</v>
      </c>
    </row>
    <row r="566" spans="1:11" x14ac:dyDescent="0.25">
      <c r="A566" s="1" t="s">
        <v>1970</v>
      </c>
      <c r="B566" s="1" t="s">
        <v>1971</v>
      </c>
      <c r="D566" s="1" t="s">
        <v>1972</v>
      </c>
      <c r="E566" s="1" t="s">
        <v>209</v>
      </c>
      <c r="F566" s="1" t="s">
        <v>1675</v>
      </c>
      <c r="G566" s="1" t="s">
        <v>215</v>
      </c>
      <c r="H566" s="1">
        <v>5</v>
      </c>
      <c r="I566" s="1">
        <v>0.37562499999999999</v>
      </c>
      <c r="K566" s="1" t="s">
        <v>181</v>
      </c>
    </row>
    <row r="567" spans="1:11" x14ac:dyDescent="0.25">
      <c r="A567" s="1" t="s">
        <v>1973</v>
      </c>
      <c r="B567" s="1" t="s">
        <v>1974</v>
      </c>
      <c r="D567" s="1" t="s">
        <v>1975</v>
      </c>
      <c r="E567" s="1" t="s">
        <v>209</v>
      </c>
      <c r="F567" s="1" t="s">
        <v>1675</v>
      </c>
      <c r="G567" s="1" t="s">
        <v>215</v>
      </c>
      <c r="H567" s="1">
        <v>5</v>
      </c>
      <c r="I567" s="1">
        <v>0.37562499999999999</v>
      </c>
      <c r="K567" s="1" t="s">
        <v>181</v>
      </c>
    </row>
    <row r="568" spans="1:11" x14ac:dyDescent="0.25">
      <c r="A568" s="1" t="s">
        <v>1976</v>
      </c>
      <c r="B568" s="1" t="s">
        <v>1977</v>
      </c>
      <c r="D568" s="1" t="s">
        <v>1978</v>
      </c>
      <c r="E568" s="1" t="s">
        <v>209</v>
      </c>
      <c r="F568" s="1" t="s">
        <v>1675</v>
      </c>
      <c r="G568" s="1" t="s">
        <v>215</v>
      </c>
      <c r="H568" s="1">
        <v>5</v>
      </c>
      <c r="I568" s="1">
        <v>0.37562499999999999</v>
      </c>
      <c r="K568" s="1" t="s">
        <v>181</v>
      </c>
    </row>
    <row r="569" spans="1:11" x14ac:dyDescent="0.25">
      <c r="A569" s="1" t="s">
        <v>1979</v>
      </c>
      <c r="B569" s="1" t="s">
        <v>1980</v>
      </c>
      <c r="D569" s="1" t="s">
        <v>1981</v>
      </c>
      <c r="E569" s="1" t="s">
        <v>209</v>
      </c>
      <c r="F569" s="1" t="s">
        <v>1675</v>
      </c>
      <c r="G569" s="1" t="s">
        <v>215</v>
      </c>
      <c r="H569" s="1">
        <v>5</v>
      </c>
      <c r="I569" s="1">
        <v>0.37562499999999999</v>
      </c>
      <c r="K569" s="1" t="s">
        <v>181</v>
      </c>
    </row>
    <row r="570" spans="1:11" x14ac:dyDescent="0.25">
      <c r="A570" s="1" t="s">
        <v>1982</v>
      </c>
      <c r="B570" s="1" t="s">
        <v>1983</v>
      </c>
      <c r="D570" s="1" t="s">
        <v>1984</v>
      </c>
      <c r="E570" s="1" t="s">
        <v>209</v>
      </c>
      <c r="F570" s="1" t="s">
        <v>1675</v>
      </c>
      <c r="G570" s="1" t="s">
        <v>215</v>
      </c>
      <c r="H570" s="1">
        <v>5</v>
      </c>
      <c r="I570" s="1">
        <v>0.37562499999999999</v>
      </c>
      <c r="K570" s="1" t="s">
        <v>181</v>
      </c>
    </row>
    <row r="571" spans="1:11" x14ac:dyDescent="0.25">
      <c r="A571" s="1" t="s">
        <v>1985</v>
      </c>
      <c r="B571" s="1" t="s">
        <v>1986</v>
      </c>
      <c r="D571" s="1" t="s">
        <v>1987</v>
      </c>
      <c r="E571" s="1" t="s">
        <v>209</v>
      </c>
      <c r="F571" s="1" t="s">
        <v>1675</v>
      </c>
      <c r="G571" s="1" t="s">
        <v>215</v>
      </c>
      <c r="H571" s="1">
        <v>5</v>
      </c>
      <c r="I571" s="1">
        <v>0.37562499999999999</v>
      </c>
      <c r="K571" s="1" t="s">
        <v>181</v>
      </c>
    </row>
    <row r="572" spans="1:11" x14ac:dyDescent="0.25">
      <c r="A572" s="1" t="s">
        <v>1988</v>
      </c>
      <c r="B572" s="1" t="s">
        <v>1989</v>
      </c>
      <c r="D572" s="1" t="s">
        <v>1990</v>
      </c>
      <c r="E572" s="1" t="s">
        <v>209</v>
      </c>
      <c r="F572" s="1" t="s">
        <v>1675</v>
      </c>
      <c r="G572" s="1" t="s">
        <v>215</v>
      </c>
      <c r="H572" s="1">
        <v>5</v>
      </c>
      <c r="I572" s="1">
        <v>0.37562499999999999</v>
      </c>
      <c r="K572" s="1" t="s">
        <v>181</v>
      </c>
    </row>
    <row r="573" spans="1:11" x14ac:dyDescent="0.25">
      <c r="A573" s="1" t="s">
        <v>1991</v>
      </c>
      <c r="B573" s="1" t="s">
        <v>1992</v>
      </c>
      <c r="D573" s="1" t="s">
        <v>1993</v>
      </c>
      <c r="E573" s="1" t="s">
        <v>209</v>
      </c>
      <c r="F573" s="1" t="s">
        <v>1675</v>
      </c>
      <c r="G573" s="1" t="s">
        <v>215</v>
      </c>
      <c r="H573" s="1">
        <v>5</v>
      </c>
      <c r="I573" s="1">
        <v>0.37562499999999999</v>
      </c>
      <c r="K573" s="1" t="s">
        <v>181</v>
      </c>
    </row>
    <row r="574" spans="1:11" x14ac:dyDescent="0.25">
      <c r="A574" s="1" t="s">
        <v>1994</v>
      </c>
      <c r="B574" s="1" t="s">
        <v>1995</v>
      </c>
      <c r="D574" s="1" t="s">
        <v>1996</v>
      </c>
      <c r="E574" s="1" t="s">
        <v>209</v>
      </c>
      <c r="F574" s="1" t="s">
        <v>1675</v>
      </c>
      <c r="G574" s="1" t="s">
        <v>215</v>
      </c>
      <c r="H574" s="1">
        <v>5</v>
      </c>
      <c r="I574" s="1">
        <v>0.37562499999999999</v>
      </c>
      <c r="K574" s="1" t="s">
        <v>181</v>
      </c>
    </row>
    <row r="575" spans="1:11" x14ac:dyDescent="0.25">
      <c r="A575" s="1" t="s">
        <v>1997</v>
      </c>
      <c r="B575" s="1" t="s">
        <v>1998</v>
      </c>
      <c r="D575" s="1" t="s">
        <v>1999</v>
      </c>
      <c r="E575" s="1" t="s">
        <v>209</v>
      </c>
      <c r="F575" s="1" t="s">
        <v>1675</v>
      </c>
      <c r="G575" s="1" t="s">
        <v>215</v>
      </c>
      <c r="H575" s="1">
        <v>5</v>
      </c>
      <c r="I575" s="1">
        <v>0.37562499999999999</v>
      </c>
      <c r="K575" s="1" t="s">
        <v>181</v>
      </c>
    </row>
    <row r="576" spans="1:11" x14ac:dyDescent="0.25">
      <c r="A576" s="1" t="s">
        <v>2000</v>
      </c>
      <c r="B576" s="1" t="s">
        <v>2001</v>
      </c>
      <c r="D576" s="1" t="s">
        <v>2002</v>
      </c>
      <c r="E576" s="1" t="s">
        <v>209</v>
      </c>
      <c r="F576" s="1" t="s">
        <v>1675</v>
      </c>
      <c r="G576" s="1" t="s">
        <v>215</v>
      </c>
      <c r="H576" s="1">
        <v>5</v>
      </c>
      <c r="I576" s="1">
        <v>0.37562499999999999</v>
      </c>
      <c r="K576" s="1" t="s">
        <v>181</v>
      </c>
    </row>
    <row r="577" spans="1:11" x14ac:dyDescent="0.25">
      <c r="A577" s="1" t="s">
        <v>2003</v>
      </c>
      <c r="B577" s="1" t="s">
        <v>2004</v>
      </c>
      <c r="D577" s="1" t="s">
        <v>2005</v>
      </c>
      <c r="E577" s="1" t="s">
        <v>209</v>
      </c>
      <c r="F577" s="1" t="s">
        <v>1675</v>
      </c>
      <c r="G577" s="1" t="s">
        <v>574</v>
      </c>
      <c r="H577" s="1">
        <v>5</v>
      </c>
      <c r="I577" s="1">
        <v>0.37562499999999999</v>
      </c>
      <c r="K577" s="1" t="s">
        <v>181</v>
      </c>
    </row>
    <row r="578" spans="1:11" x14ac:dyDescent="0.25">
      <c r="A578" s="1" t="s">
        <v>2006</v>
      </c>
      <c r="B578" s="1" t="s">
        <v>2007</v>
      </c>
      <c r="D578" s="1" t="s">
        <v>2008</v>
      </c>
      <c r="E578" s="1" t="s">
        <v>209</v>
      </c>
      <c r="F578" s="1" t="s">
        <v>1675</v>
      </c>
      <c r="G578" s="1" t="s">
        <v>215</v>
      </c>
      <c r="H578" s="1">
        <v>5</v>
      </c>
      <c r="I578" s="1">
        <v>0.37562499999999999</v>
      </c>
      <c r="K578" s="1" t="s">
        <v>181</v>
      </c>
    </row>
    <row r="579" spans="1:11" x14ac:dyDescent="0.25">
      <c r="A579" s="1" t="s">
        <v>2009</v>
      </c>
      <c r="B579" s="1" t="s">
        <v>2010</v>
      </c>
      <c r="D579" s="1" t="s">
        <v>2011</v>
      </c>
      <c r="E579" s="1" t="s">
        <v>209</v>
      </c>
      <c r="F579" s="1" t="s">
        <v>1675</v>
      </c>
      <c r="G579" s="1" t="s">
        <v>215</v>
      </c>
      <c r="H579" s="1">
        <v>5</v>
      </c>
      <c r="I579" s="1">
        <v>0.37562499999999999</v>
      </c>
      <c r="K579" s="1" t="s">
        <v>181</v>
      </c>
    </row>
    <row r="580" spans="1:11" x14ac:dyDescent="0.25">
      <c r="A580" s="1" t="s">
        <v>2012</v>
      </c>
      <c r="B580" s="1" t="s">
        <v>2013</v>
      </c>
      <c r="D580" s="1" t="s">
        <v>2014</v>
      </c>
      <c r="E580" s="1" t="s">
        <v>209</v>
      </c>
      <c r="F580" s="1" t="s">
        <v>1675</v>
      </c>
      <c r="G580" s="1" t="s">
        <v>215</v>
      </c>
      <c r="H580" s="1">
        <v>5</v>
      </c>
      <c r="I580" s="1">
        <v>0.37562499999999999</v>
      </c>
      <c r="K580" s="1" t="s">
        <v>181</v>
      </c>
    </row>
    <row r="581" spans="1:11" x14ac:dyDescent="0.25">
      <c r="A581" s="1" t="s">
        <v>2015</v>
      </c>
      <c r="B581" s="1" t="s">
        <v>2016</v>
      </c>
      <c r="D581" s="1" t="s">
        <v>2017</v>
      </c>
      <c r="E581" s="1" t="s">
        <v>209</v>
      </c>
      <c r="F581" s="1" t="s">
        <v>1675</v>
      </c>
      <c r="G581" s="1" t="s">
        <v>215</v>
      </c>
      <c r="H581" s="1">
        <v>5</v>
      </c>
      <c r="I581" s="1">
        <v>0.37562499999999999</v>
      </c>
      <c r="K581" s="1" t="s">
        <v>181</v>
      </c>
    </row>
    <row r="582" spans="1:11" x14ac:dyDescent="0.25">
      <c r="A582" s="1" t="s">
        <v>2018</v>
      </c>
      <c r="B582" s="1" t="s">
        <v>2019</v>
      </c>
      <c r="D582" s="1" t="s">
        <v>2020</v>
      </c>
      <c r="E582" s="1" t="s">
        <v>209</v>
      </c>
      <c r="F582" s="1" t="s">
        <v>1675</v>
      </c>
      <c r="G582" s="1" t="s">
        <v>215</v>
      </c>
      <c r="H582" s="1">
        <v>5</v>
      </c>
      <c r="I582" s="1">
        <v>0.37562499999999999</v>
      </c>
      <c r="K582" s="1" t="s">
        <v>181</v>
      </c>
    </row>
    <row r="583" spans="1:11" x14ac:dyDescent="0.25">
      <c r="A583" s="1" t="s">
        <v>2021</v>
      </c>
      <c r="B583" s="1" t="s">
        <v>2022</v>
      </c>
      <c r="D583" s="1" t="s">
        <v>2023</v>
      </c>
      <c r="E583" s="1" t="s">
        <v>209</v>
      </c>
      <c r="F583" s="1" t="s">
        <v>1675</v>
      </c>
      <c r="G583" s="1" t="s">
        <v>215</v>
      </c>
      <c r="H583" s="1">
        <v>5</v>
      </c>
      <c r="I583" s="1">
        <v>0.37562499999999999</v>
      </c>
      <c r="K583" s="1" t="s">
        <v>181</v>
      </c>
    </row>
    <row r="584" spans="1:11" x14ac:dyDescent="0.25">
      <c r="A584" s="1" t="s">
        <v>2024</v>
      </c>
      <c r="B584" s="1" t="s">
        <v>2025</v>
      </c>
      <c r="D584" s="1" t="s">
        <v>2026</v>
      </c>
      <c r="E584" s="1" t="s">
        <v>209</v>
      </c>
      <c r="F584" s="1" t="s">
        <v>1675</v>
      </c>
      <c r="G584" s="1" t="s">
        <v>215</v>
      </c>
      <c r="H584" s="1">
        <v>5</v>
      </c>
      <c r="I584" s="1">
        <v>0.37562499999999999</v>
      </c>
      <c r="K584" s="1" t="s">
        <v>181</v>
      </c>
    </row>
    <row r="585" spans="1:11" x14ac:dyDescent="0.25">
      <c r="A585" s="1" t="s">
        <v>2027</v>
      </c>
      <c r="B585" s="1" t="s">
        <v>2028</v>
      </c>
      <c r="D585" s="1" t="s">
        <v>2029</v>
      </c>
      <c r="E585" s="1" t="s">
        <v>209</v>
      </c>
      <c r="F585" s="1" t="s">
        <v>1675</v>
      </c>
      <c r="G585" s="1" t="s">
        <v>215</v>
      </c>
      <c r="H585" s="1">
        <v>5</v>
      </c>
      <c r="I585" s="1">
        <v>0.37562499999999999</v>
      </c>
      <c r="K585" s="1" t="s">
        <v>181</v>
      </c>
    </row>
    <row r="586" spans="1:11" x14ac:dyDescent="0.25">
      <c r="A586" s="1" t="s">
        <v>2030</v>
      </c>
      <c r="B586" s="1" t="s">
        <v>2031</v>
      </c>
      <c r="D586" s="1" t="s">
        <v>2032</v>
      </c>
      <c r="E586" s="1" t="s">
        <v>209</v>
      </c>
      <c r="F586" s="1" t="s">
        <v>1675</v>
      </c>
      <c r="G586" s="1" t="s">
        <v>215</v>
      </c>
      <c r="H586" s="1">
        <v>5</v>
      </c>
      <c r="I586" s="1">
        <v>0.37562499999999999</v>
      </c>
      <c r="K586" s="1" t="s">
        <v>181</v>
      </c>
    </row>
    <row r="587" spans="1:11" x14ac:dyDescent="0.25">
      <c r="A587" s="1" t="s">
        <v>2033</v>
      </c>
      <c r="B587" s="1" t="s">
        <v>2034</v>
      </c>
      <c r="D587" s="1" t="s">
        <v>2035</v>
      </c>
      <c r="E587" s="1" t="s">
        <v>209</v>
      </c>
      <c r="F587" s="1" t="s">
        <v>1675</v>
      </c>
      <c r="G587" s="1" t="s">
        <v>215</v>
      </c>
      <c r="H587" s="1">
        <v>5</v>
      </c>
      <c r="I587" s="1">
        <v>0.37562499999999999</v>
      </c>
      <c r="K587" s="1" t="s">
        <v>181</v>
      </c>
    </row>
    <row r="588" spans="1:11" x14ac:dyDescent="0.25">
      <c r="A588" s="1" t="s">
        <v>2036</v>
      </c>
      <c r="B588" s="1" t="s">
        <v>2037</v>
      </c>
      <c r="D588" s="1" t="s">
        <v>2038</v>
      </c>
      <c r="E588" s="1" t="s">
        <v>209</v>
      </c>
      <c r="F588" s="1" t="s">
        <v>1675</v>
      </c>
      <c r="G588" s="1" t="s">
        <v>215</v>
      </c>
      <c r="H588" s="1">
        <v>5</v>
      </c>
      <c r="I588" s="1">
        <v>0.37562499999999999</v>
      </c>
      <c r="K588" s="1" t="s">
        <v>181</v>
      </c>
    </row>
    <row r="589" spans="1:11" x14ac:dyDescent="0.25">
      <c r="A589" s="1" t="s">
        <v>2039</v>
      </c>
      <c r="B589" s="1" t="s">
        <v>2040</v>
      </c>
      <c r="D589" s="1" t="s">
        <v>2041</v>
      </c>
      <c r="E589" s="1" t="s">
        <v>209</v>
      </c>
      <c r="F589" s="1" t="s">
        <v>1675</v>
      </c>
      <c r="G589" s="1" t="s">
        <v>215</v>
      </c>
      <c r="H589" s="1">
        <v>5</v>
      </c>
      <c r="I589" s="1">
        <v>0.37562499999999999</v>
      </c>
      <c r="K589" s="1" t="s">
        <v>181</v>
      </c>
    </row>
    <row r="590" spans="1:11" x14ac:dyDescent="0.25">
      <c r="A590" s="1" t="s">
        <v>2042</v>
      </c>
      <c r="B590" s="1" t="s">
        <v>2043</v>
      </c>
      <c r="D590" s="1" t="s">
        <v>2044</v>
      </c>
      <c r="E590" s="1" t="s">
        <v>209</v>
      </c>
      <c r="F590" s="1" t="s">
        <v>1675</v>
      </c>
      <c r="G590" s="1" t="s">
        <v>215</v>
      </c>
      <c r="H590" s="1">
        <v>5</v>
      </c>
      <c r="I590" s="1">
        <v>0.37562499999999999</v>
      </c>
      <c r="K590" s="1" t="s">
        <v>181</v>
      </c>
    </row>
    <row r="591" spans="1:11" x14ac:dyDescent="0.25">
      <c r="A591" s="1" t="s">
        <v>2045</v>
      </c>
      <c r="B591" s="1" t="s">
        <v>2046</v>
      </c>
      <c r="D591" s="1" t="s">
        <v>2047</v>
      </c>
      <c r="E591" s="1" t="s">
        <v>209</v>
      </c>
      <c r="F591" s="1" t="s">
        <v>1675</v>
      </c>
      <c r="G591" s="1" t="s">
        <v>215</v>
      </c>
      <c r="H591" s="1">
        <v>5</v>
      </c>
      <c r="I591" s="1">
        <v>0.37562499999999999</v>
      </c>
      <c r="K591" s="1" t="s">
        <v>181</v>
      </c>
    </row>
    <row r="592" spans="1:11" x14ac:dyDescent="0.25">
      <c r="A592" s="1" t="s">
        <v>2048</v>
      </c>
      <c r="B592" s="1" t="s">
        <v>2049</v>
      </c>
      <c r="D592" s="1" t="s">
        <v>2050</v>
      </c>
      <c r="E592" s="1" t="s">
        <v>209</v>
      </c>
      <c r="F592" s="1" t="s">
        <v>1675</v>
      </c>
      <c r="G592" s="1" t="s">
        <v>215</v>
      </c>
      <c r="H592" s="1">
        <v>5</v>
      </c>
      <c r="I592" s="1">
        <v>0.37562499999999999</v>
      </c>
      <c r="K592" s="1" t="s">
        <v>181</v>
      </c>
    </row>
    <row r="593" spans="1:11" x14ac:dyDescent="0.25">
      <c r="A593" s="1" t="s">
        <v>2051</v>
      </c>
      <c r="B593" s="1" t="s">
        <v>2052</v>
      </c>
      <c r="D593" s="1" t="s">
        <v>2053</v>
      </c>
      <c r="E593" s="1" t="s">
        <v>209</v>
      </c>
      <c r="F593" s="1" t="s">
        <v>1675</v>
      </c>
      <c r="G593" s="1" t="s">
        <v>215</v>
      </c>
      <c r="H593" s="1">
        <v>5</v>
      </c>
      <c r="I593" s="1">
        <v>0.37562499999999999</v>
      </c>
      <c r="K593" s="1" t="s">
        <v>181</v>
      </c>
    </row>
    <row r="594" spans="1:11" x14ac:dyDescent="0.25">
      <c r="A594" s="1" t="s">
        <v>2054</v>
      </c>
      <c r="B594" s="1" t="s">
        <v>2055</v>
      </c>
      <c r="D594" s="1" t="s">
        <v>2056</v>
      </c>
      <c r="E594" s="1" t="s">
        <v>209</v>
      </c>
      <c r="F594" s="1" t="s">
        <v>1675</v>
      </c>
      <c r="G594" s="1" t="s">
        <v>215</v>
      </c>
      <c r="H594" s="1">
        <v>5</v>
      </c>
      <c r="I594" s="1">
        <v>0.37562499999999999</v>
      </c>
      <c r="K594" s="1" t="s">
        <v>181</v>
      </c>
    </row>
    <row r="595" spans="1:11" x14ac:dyDescent="0.25">
      <c r="A595" s="1" t="s">
        <v>2057</v>
      </c>
      <c r="B595" s="1" t="s">
        <v>2058</v>
      </c>
      <c r="D595" s="1" t="s">
        <v>2059</v>
      </c>
      <c r="E595" s="1" t="s">
        <v>209</v>
      </c>
      <c r="F595" s="1" t="s">
        <v>1675</v>
      </c>
      <c r="G595" s="1" t="s">
        <v>215</v>
      </c>
      <c r="H595" s="1">
        <v>5</v>
      </c>
      <c r="I595" s="1">
        <v>0.37562499999999999</v>
      </c>
      <c r="K595" s="1" t="s">
        <v>181</v>
      </c>
    </row>
    <row r="596" spans="1:11" x14ac:dyDescent="0.25">
      <c r="A596" s="1" t="s">
        <v>2060</v>
      </c>
      <c r="B596" s="1" t="s">
        <v>2061</v>
      </c>
      <c r="D596" s="1" t="s">
        <v>2062</v>
      </c>
      <c r="E596" s="1" t="s">
        <v>209</v>
      </c>
      <c r="F596" s="1" t="s">
        <v>1675</v>
      </c>
      <c r="G596" s="1" t="s">
        <v>215</v>
      </c>
      <c r="H596" s="1">
        <v>5</v>
      </c>
      <c r="I596" s="1">
        <v>0.37562499999999999</v>
      </c>
      <c r="K596" s="1" t="s">
        <v>181</v>
      </c>
    </row>
    <row r="597" spans="1:11" x14ac:dyDescent="0.25">
      <c r="A597" s="1" t="s">
        <v>2063</v>
      </c>
      <c r="B597" s="1" t="s">
        <v>2064</v>
      </c>
      <c r="D597" s="1" t="s">
        <v>2065</v>
      </c>
      <c r="E597" s="1" t="s">
        <v>209</v>
      </c>
      <c r="F597" s="1" t="s">
        <v>1675</v>
      </c>
      <c r="G597" s="1" t="s">
        <v>215</v>
      </c>
      <c r="H597" s="1">
        <v>5</v>
      </c>
      <c r="I597" s="1">
        <v>0.37562499999999999</v>
      </c>
      <c r="K597" s="1" t="s">
        <v>181</v>
      </c>
    </row>
    <row r="598" spans="1:11" x14ac:dyDescent="0.25">
      <c r="A598" s="1" t="s">
        <v>2066</v>
      </c>
      <c r="B598" s="1" t="s">
        <v>2067</v>
      </c>
      <c r="D598" s="1" t="s">
        <v>2068</v>
      </c>
      <c r="E598" s="1" t="s">
        <v>209</v>
      </c>
      <c r="F598" s="1" t="s">
        <v>1675</v>
      </c>
      <c r="G598" s="1" t="s">
        <v>215</v>
      </c>
      <c r="H598" s="1">
        <v>5</v>
      </c>
      <c r="I598" s="1">
        <v>0.37562499999999999</v>
      </c>
      <c r="K598" s="1" t="s">
        <v>181</v>
      </c>
    </row>
    <row r="599" spans="1:11" x14ac:dyDescent="0.25">
      <c r="A599" s="1" t="s">
        <v>2069</v>
      </c>
      <c r="B599" s="1" t="s">
        <v>2070</v>
      </c>
      <c r="D599" s="1" t="s">
        <v>2071</v>
      </c>
      <c r="E599" s="1" t="s">
        <v>209</v>
      </c>
      <c r="F599" s="1" t="s">
        <v>1675</v>
      </c>
      <c r="G599" s="1" t="s">
        <v>215</v>
      </c>
      <c r="H599" s="1">
        <v>5</v>
      </c>
      <c r="I599" s="1">
        <v>0.37562499999999999</v>
      </c>
      <c r="K599" s="1" t="s">
        <v>181</v>
      </c>
    </row>
    <row r="600" spans="1:11" x14ac:dyDescent="0.25">
      <c r="A600" s="1" t="s">
        <v>2072</v>
      </c>
      <c r="B600" s="1" t="s">
        <v>2073</v>
      </c>
      <c r="D600" s="1" t="s">
        <v>2074</v>
      </c>
      <c r="E600" s="1" t="s">
        <v>209</v>
      </c>
      <c r="F600" s="1" t="s">
        <v>1675</v>
      </c>
      <c r="G600" s="1" t="s">
        <v>215</v>
      </c>
      <c r="H600" s="1">
        <v>5</v>
      </c>
      <c r="I600" s="1">
        <v>0.37562499999999999</v>
      </c>
      <c r="K600" s="1" t="s">
        <v>181</v>
      </c>
    </row>
    <row r="601" spans="1:11" x14ac:dyDescent="0.25">
      <c r="A601" s="1" t="s">
        <v>2075</v>
      </c>
      <c r="B601" s="1" t="s">
        <v>2076</v>
      </c>
      <c r="D601" s="1" t="s">
        <v>2077</v>
      </c>
      <c r="E601" s="1" t="s">
        <v>209</v>
      </c>
      <c r="F601" s="1" t="s">
        <v>1675</v>
      </c>
      <c r="G601" s="1" t="s">
        <v>215</v>
      </c>
      <c r="H601" s="1">
        <v>5</v>
      </c>
      <c r="I601" s="1">
        <v>0.37562499999999999</v>
      </c>
      <c r="K601" s="1" t="s">
        <v>181</v>
      </c>
    </row>
    <row r="602" spans="1:11" x14ac:dyDescent="0.25">
      <c r="A602" s="1" t="s">
        <v>2078</v>
      </c>
      <c r="B602" s="1" t="s">
        <v>2079</v>
      </c>
      <c r="D602" s="1" t="s">
        <v>2080</v>
      </c>
      <c r="E602" s="1" t="s">
        <v>209</v>
      </c>
      <c r="F602" s="1" t="s">
        <v>1675</v>
      </c>
      <c r="G602" s="1" t="s">
        <v>215</v>
      </c>
      <c r="H602" s="1">
        <v>5</v>
      </c>
      <c r="I602" s="1">
        <v>0.37562499999999999</v>
      </c>
      <c r="K602" s="1" t="s">
        <v>181</v>
      </c>
    </row>
    <row r="603" spans="1:11" x14ac:dyDescent="0.25">
      <c r="A603" s="1" t="s">
        <v>2081</v>
      </c>
      <c r="B603" s="1" t="s">
        <v>1208</v>
      </c>
      <c r="D603" s="1" t="s">
        <v>2082</v>
      </c>
      <c r="E603" s="1" t="s">
        <v>209</v>
      </c>
      <c r="F603" s="1" t="s">
        <v>1675</v>
      </c>
      <c r="G603" s="1" t="s">
        <v>215</v>
      </c>
      <c r="H603" s="1">
        <v>5</v>
      </c>
      <c r="I603" s="1">
        <v>0.37562499999999999</v>
      </c>
      <c r="K603" s="1" t="s">
        <v>181</v>
      </c>
    </row>
    <row r="604" spans="1:11" x14ac:dyDescent="0.25">
      <c r="A604" s="1" t="s">
        <v>2083</v>
      </c>
      <c r="B604" s="1" t="s">
        <v>1339</v>
      </c>
      <c r="D604" s="1" t="s">
        <v>2084</v>
      </c>
      <c r="E604" s="1" t="s">
        <v>209</v>
      </c>
      <c r="F604" s="1" t="s">
        <v>1675</v>
      </c>
      <c r="G604" s="1" t="s">
        <v>215</v>
      </c>
      <c r="H604" s="1">
        <v>5</v>
      </c>
      <c r="I604" s="1">
        <v>0.37562499999999999</v>
      </c>
      <c r="K604" s="1" t="s">
        <v>181</v>
      </c>
    </row>
    <row r="605" spans="1:11" x14ac:dyDescent="0.25">
      <c r="A605" s="1" t="s">
        <v>2085</v>
      </c>
      <c r="B605" s="1" t="s">
        <v>2086</v>
      </c>
      <c r="D605" s="1" t="s">
        <v>2087</v>
      </c>
      <c r="E605" s="1" t="s">
        <v>209</v>
      </c>
      <c r="F605" s="1" t="s">
        <v>1675</v>
      </c>
      <c r="G605" s="1" t="s">
        <v>215</v>
      </c>
      <c r="H605" s="1">
        <v>5</v>
      </c>
      <c r="I605" s="1">
        <v>0.37562499999999999</v>
      </c>
      <c r="K605" s="1" t="s">
        <v>181</v>
      </c>
    </row>
    <row r="606" spans="1:11" x14ac:dyDescent="0.25">
      <c r="A606" s="1" t="s">
        <v>2088</v>
      </c>
      <c r="B606" s="1" t="s">
        <v>2089</v>
      </c>
      <c r="D606" s="1" t="s">
        <v>2090</v>
      </c>
      <c r="E606" s="1" t="s">
        <v>209</v>
      </c>
      <c r="F606" s="1" t="s">
        <v>1675</v>
      </c>
      <c r="G606" s="1" t="s">
        <v>215</v>
      </c>
      <c r="H606" s="1">
        <v>5</v>
      </c>
      <c r="I606" s="1">
        <v>0.37562499999999999</v>
      </c>
      <c r="K606" s="1" t="s">
        <v>181</v>
      </c>
    </row>
    <row r="607" spans="1:11" x14ac:dyDescent="0.25">
      <c r="A607" s="1" t="s">
        <v>2091</v>
      </c>
      <c r="B607" s="1" t="s">
        <v>2092</v>
      </c>
      <c r="D607" s="1" t="s">
        <v>2093</v>
      </c>
      <c r="E607" s="1" t="s">
        <v>209</v>
      </c>
      <c r="F607" s="1" t="s">
        <v>1675</v>
      </c>
      <c r="G607" s="1" t="s">
        <v>215</v>
      </c>
      <c r="H607" s="1">
        <v>5</v>
      </c>
      <c r="I607" s="1">
        <v>0.37562499999999999</v>
      </c>
      <c r="K607" s="1" t="s">
        <v>181</v>
      </c>
    </row>
    <row r="608" spans="1:11" x14ac:dyDescent="0.25">
      <c r="A608" s="1" t="s">
        <v>2094</v>
      </c>
      <c r="B608" s="1" t="s">
        <v>2095</v>
      </c>
      <c r="D608" s="1" t="s">
        <v>2096</v>
      </c>
      <c r="E608" s="1" t="s">
        <v>209</v>
      </c>
      <c r="F608" s="1" t="s">
        <v>1675</v>
      </c>
      <c r="G608" s="1" t="s">
        <v>215</v>
      </c>
      <c r="H608" s="1">
        <v>5</v>
      </c>
      <c r="I608" s="1">
        <v>0.37562499999999999</v>
      </c>
      <c r="K608" s="1" t="s">
        <v>181</v>
      </c>
    </row>
    <row r="609" spans="1:11" x14ac:dyDescent="0.25">
      <c r="A609" s="1" t="s">
        <v>2097</v>
      </c>
      <c r="B609" s="1" t="s">
        <v>2098</v>
      </c>
      <c r="D609" s="1" t="s">
        <v>2099</v>
      </c>
      <c r="E609" s="1" t="s">
        <v>209</v>
      </c>
      <c r="F609" s="1" t="s">
        <v>1675</v>
      </c>
      <c r="G609" s="1" t="s">
        <v>215</v>
      </c>
      <c r="H609" s="1">
        <v>5</v>
      </c>
      <c r="I609" s="1">
        <v>0.37562499999999999</v>
      </c>
      <c r="K609" s="1" t="s">
        <v>181</v>
      </c>
    </row>
    <row r="610" spans="1:11" x14ac:dyDescent="0.25">
      <c r="A610" s="1" t="s">
        <v>2100</v>
      </c>
      <c r="B610" s="1" t="s">
        <v>2101</v>
      </c>
      <c r="D610" s="1" t="s">
        <v>2102</v>
      </c>
      <c r="E610" s="1" t="s">
        <v>209</v>
      </c>
      <c r="F610" s="1" t="s">
        <v>1675</v>
      </c>
      <c r="G610" s="1" t="s">
        <v>215</v>
      </c>
      <c r="H610" s="1">
        <v>5</v>
      </c>
      <c r="I610" s="1">
        <v>0.37562499999999999</v>
      </c>
      <c r="K610" s="1" t="s">
        <v>181</v>
      </c>
    </row>
    <row r="611" spans="1:11" x14ac:dyDescent="0.25">
      <c r="A611" s="1" t="s">
        <v>2103</v>
      </c>
      <c r="B611" s="1" t="s">
        <v>2104</v>
      </c>
      <c r="D611" s="1" t="s">
        <v>2105</v>
      </c>
      <c r="E611" s="1" t="s">
        <v>209</v>
      </c>
      <c r="F611" s="1" t="s">
        <v>1675</v>
      </c>
      <c r="G611" s="1" t="s">
        <v>215</v>
      </c>
      <c r="H611" s="1">
        <v>5</v>
      </c>
      <c r="I611" s="1">
        <v>0.37562499999999999</v>
      </c>
      <c r="K611" s="1" t="s">
        <v>181</v>
      </c>
    </row>
    <row r="612" spans="1:11" x14ac:dyDescent="0.25">
      <c r="A612" s="1" t="s">
        <v>2106</v>
      </c>
      <c r="B612" s="1" t="s">
        <v>2107</v>
      </c>
      <c r="D612" s="1" t="s">
        <v>2108</v>
      </c>
      <c r="E612" s="1" t="s">
        <v>209</v>
      </c>
      <c r="F612" s="1" t="s">
        <v>1675</v>
      </c>
      <c r="G612" s="1" t="s">
        <v>215</v>
      </c>
      <c r="H612" s="1">
        <v>5</v>
      </c>
      <c r="I612" s="1">
        <v>0.37562499999999999</v>
      </c>
      <c r="K612" s="1" t="s">
        <v>181</v>
      </c>
    </row>
    <row r="613" spans="1:11" x14ac:dyDescent="0.25">
      <c r="A613" s="1" t="s">
        <v>2109</v>
      </c>
      <c r="B613" s="1" t="s">
        <v>2110</v>
      </c>
      <c r="D613" s="1" t="s">
        <v>2111</v>
      </c>
      <c r="E613" s="1" t="s">
        <v>209</v>
      </c>
      <c r="F613" s="1" t="s">
        <v>1675</v>
      </c>
      <c r="G613" s="1" t="s">
        <v>215</v>
      </c>
      <c r="H613" s="1">
        <v>5</v>
      </c>
      <c r="I613" s="1">
        <v>0.37562499999999999</v>
      </c>
      <c r="K613" s="1" t="s">
        <v>181</v>
      </c>
    </row>
    <row r="614" spans="1:11" x14ac:dyDescent="0.25">
      <c r="A614" s="1" t="s">
        <v>2112</v>
      </c>
      <c r="B614" s="1" t="s">
        <v>2113</v>
      </c>
      <c r="D614" s="1" t="s">
        <v>2114</v>
      </c>
      <c r="E614" s="1" t="s">
        <v>209</v>
      </c>
      <c r="F614" s="1" t="s">
        <v>1675</v>
      </c>
      <c r="G614" s="1" t="s">
        <v>215</v>
      </c>
      <c r="H614" s="1">
        <v>5</v>
      </c>
      <c r="I614" s="1">
        <v>0.37562499999999999</v>
      </c>
      <c r="K614" s="1" t="s">
        <v>181</v>
      </c>
    </row>
    <row r="615" spans="1:11" x14ac:dyDescent="0.25">
      <c r="A615" s="1" t="s">
        <v>2115</v>
      </c>
      <c r="B615" s="1" t="s">
        <v>2116</v>
      </c>
      <c r="D615" s="1" t="s">
        <v>2117</v>
      </c>
      <c r="E615" s="1" t="s">
        <v>209</v>
      </c>
      <c r="F615" s="1" t="s">
        <v>1675</v>
      </c>
      <c r="G615" s="1" t="s">
        <v>215</v>
      </c>
      <c r="H615" s="1">
        <v>5</v>
      </c>
      <c r="I615" s="1">
        <v>0.37562499999999999</v>
      </c>
      <c r="K615" s="1" t="s">
        <v>181</v>
      </c>
    </row>
    <row r="616" spans="1:11" x14ac:dyDescent="0.25">
      <c r="A616" s="1" t="s">
        <v>2118</v>
      </c>
      <c r="B616" s="1" t="s">
        <v>2119</v>
      </c>
      <c r="D616" s="1" t="s">
        <v>2120</v>
      </c>
      <c r="E616" s="1" t="s">
        <v>209</v>
      </c>
      <c r="F616" s="1" t="s">
        <v>1675</v>
      </c>
      <c r="G616" s="1" t="s">
        <v>215</v>
      </c>
      <c r="H616" s="1">
        <v>5</v>
      </c>
      <c r="I616" s="1">
        <v>0.37562499999999999</v>
      </c>
      <c r="K616" s="1" t="s">
        <v>181</v>
      </c>
    </row>
    <row r="617" spans="1:11" x14ac:dyDescent="0.25">
      <c r="A617" s="1" t="s">
        <v>2121</v>
      </c>
      <c r="B617" s="1" t="s">
        <v>2122</v>
      </c>
      <c r="D617" s="1" t="s">
        <v>2123</v>
      </c>
      <c r="E617" s="1" t="s">
        <v>209</v>
      </c>
      <c r="F617" s="1" t="s">
        <v>1675</v>
      </c>
      <c r="G617" s="1" t="s">
        <v>215</v>
      </c>
      <c r="H617" s="1">
        <v>5</v>
      </c>
      <c r="I617" s="1">
        <v>0.37562499999999999</v>
      </c>
      <c r="K617" s="1" t="s">
        <v>181</v>
      </c>
    </row>
    <row r="618" spans="1:11" x14ac:dyDescent="0.25">
      <c r="A618" s="1" t="s">
        <v>2124</v>
      </c>
      <c r="B618" s="1" t="s">
        <v>2125</v>
      </c>
      <c r="D618" s="1" t="s">
        <v>2126</v>
      </c>
      <c r="E618" s="1" t="s">
        <v>209</v>
      </c>
      <c r="F618" s="1" t="s">
        <v>1675</v>
      </c>
      <c r="G618" s="1" t="s">
        <v>215</v>
      </c>
      <c r="H618" s="1">
        <v>5</v>
      </c>
      <c r="I618" s="1">
        <v>0.37562499999999999</v>
      </c>
      <c r="K618" s="1" t="s">
        <v>181</v>
      </c>
    </row>
    <row r="619" spans="1:11" x14ac:dyDescent="0.25">
      <c r="A619" s="1" t="s">
        <v>2127</v>
      </c>
      <c r="B619" s="1" t="s">
        <v>2128</v>
      </c>
      <c r="D619" s="1" t="s">
        <v>2129</v>
      </c>
      <c r="E619" s="1" t="s">
        <v>209</v>
      </c>
      <c r="F619" s="1" t="s">
        <v>1675</v>
      </c>
      <c r="G619" s="1" t="s">
        <v>215</v>
      </c>
      <c r="H619" s="1">
        <v>5</v>
      </c>
      <c r="I619" s="1">
        <v>0.37562499999999999</v>
      </c>
      <c r="K619" s="1" t="s">
        <v>181</v>
      </c>
    </row>
    <row r="620" spans="1:11" x14ac:dyDescent="0.25">
      <c r="A620" s="1" t="s">
        <v>2130</v>
      </c>
      <c r="B620" s="1" t="s">
        <v>2131</v>
      </c>
      <c r="D620" s="1" t="s">
        <v>2132</v>
      </c>
      <c r="E620" s="1" t="s">
        <v>209</v>
      </c>
      <c r="F620" s="1" t="s">
        <v>1675</v>
      </c>
      <c r="G620" s="1" t="s">
        <v>215</v>
      </c>
      <c r="H620" s="1">
        <v>5</v>
      </c>
      <c r="I620" s="1">
        <v>0.37562499999999999</v>
      </c>
      <c r="K620" s="1" t="s">
        <v>181</v>
      </c>
    </row>
    <row r="621" spans="1:11" x14ac:dyDescent="0.25">
      <c r="A621" s="1" t="s">
        <v>2133</v>
      </c>
      <c r="B621" s="1" t="s">
        <v>2134</v>
      </c>
      <c r="D621" s="1" t="s">
        <v>2135</v>
      </c>
      <c r="E621" s="1" t="s">
        <v>209</v>
      </c>
      <c r="F621" s="1" t="s">
        <v>1675</v>
      </c>
      <c r="G621" s="1" t="s">
        <v>215</v>
      </c>
      <c r="H621" s="1">
        <v>5</v>
      </c>
      <c r="I621" s="1">
        <v>0.37562499999999999</v>
      </c>
      <c r="K621" s="1" t="s">
        <v>181</v>
      </c>
    </row>
    <row r="622" spans="1:11" x14ac:dyDescent="0.25">
      <c r="A622" s="1" t="s">
        <v>2136</v>
      </c>
      <c r="B622" s="1" t="s">
        <v>2137</v>
      </c>
      <c r="D622" s="1" t="s">
        <v>2138</v>
      </c>
      <c r="E622" s="1" t="s">
        <v>209</v>
      </c>
      <c r="F622" s="1" t="s">
        <v>1675</v>
      </c>
      <c r="G622" s="1" t="s">
        <v>215</v>
      </c>
      <c r="H622" s="1">
        <v>5</v>
      </c>
      <c r="I622" s="1">
        <v>0.37562499999999999</v>
      </c>
      <c r="K622" s="1" t="s">
        <v>181</v>
      </c>
    </row>
    <row r="623" spans="1:11" x14ac:dyDescent="0.25">
      <c r="A623" s="1" t="s">
        <v>2139</v>
      </c>
      <c r="B623" s="1" t="s">
        <v>2140</v>
      </c>
      <c r="D623" s="1" t="s">
        <v>2141</v>
      </c>
      <c r="E623" s="1" t="s">
        <v>209</v>
      </c>
      <c r="F623" s="1" t="s">
        <v>1675</v>
      </c>
      <c r="G623" s="1" t="s">
        <v>215</v>
      </c>
      <c r="H623" s="1">
        <v>5</v>
      </c>
      <c r="I623" s="1">
        <v>0.37562499999999999</v>
      </c>
      <c r="K623" s="1" t="s">
        <v>181</v>
      </c>
    </row>
    <row r="624" spans="1:11" x14ac:dyDescent="0.25">
      <c r="A624" s="1" t="s">
        <v>2142</v>
      </c>
      <c r="B624" s="1" t="s">
        <v>2143</v>
      </c>
      <c r="D624" s="1" t="s">
        <v>2144</v>
      </c>
      <c r="E624" s="1" t="s">
        <v>209</v>
      </c>
      <c r="F624" s="1" t="s">
        <v>1675</v>
      </c>
      <c r="G624" s="1" t="s">
        <v>215</v>
      </c>
      <c r="H624" s="1">
        <v>5</v>
      </c>
      <c r="I624" s="1">
        <v>0.37562499999999999</v>
      </c>
      <c r="K624" s="1" t="s">
        <v>181</v>
      </c>
    </row>
    <row r="625" spans="1:11" x14ac:dyDescent="0.25">
      <c r="A625" s="1" t="s">
        <v>2145</v>
      </c>
      <c r="B625" s="1" t="s">
        <v>2146</v>
      </c>
      <c r="D625" s="1" t="s">
        <v>2147</v>
      </c>
      <c r="E625" s="1" t="s">
        <v>209</v>
      </c>
      <c r="F625" s="1" t="s">
        <v>1675</v>
      </c>
      <c r="G625" s="1" t="s">
        <v>215</v>
      </c>
      <c r="H625" s="1">
        <v>5</v>
      </c>
      <c r="I625" s="1">
        <v>0.37562499999999999</v>
      </c>
      <c r="K625" s="1" t="s">
        <v>181</v>
      </c>
    </row>
    <row r="626" spans="1:11" x14ac:dyDescent="0.25">
      <c r="A626" s="1" t="s">
        <v>2148</v>
      </c>
      <c r="B626" s="1" t="s">
        <v>2149</v>
      </c>
      <c r="D626" s="1" t="s">
        <v>2150</v>
      </c>
      <c r="E626" s="1" t="s">
        <v>209</v>
      </c>
      <c r="F626" s="1" t="s">
        <v>1675</v>
      </c>
      <c r="G626" s="1" t="s">
        <v>215</v>
      </c>
      <c r="H626" s="1">
        <v>5</v>
      </c>
      <c r="I626" s="1">
        <v>0.37562499999999999</v>
      </c>
      <c r="K626" s="1" t="s">
        <v>181</v>
      </c>
    </row>
    <row r="627" spans="1:11" x14ac:dyDescent="0.25">
      <c r="A627" s="1" t="s">
        <v>2151</v>
      </c>
      <c r="B627" s="1" t="s">
        <v>2152</v>
      </c>
      <c r="D627" s="1" t="s">
        <v>2153</v>
      </c>
      <c r="E627" s="1" t="s">
        <v>209</v>
      </c>
      <c r="F627" s="1" t="s">
        <v>1675</v>
      </c>
      <c r="G627" s="1" t="s">
        <v>215</v>
      </c>
      <c r="H627" s="1">
        <v>5</v>
      </c>
      <c r="I627" s="1">
        <v>0.37562499999999999</v>
      </c>
      <c r="K627" s="1" t="s">
        <v>181</v>
      </c>
    </row>
    <row r="628" spans="1:11" x14ac:dyDescent="0.25">
      <c r="A628" s="1" t="s">
        <v>2154</v>
      </c>
      <c r="B628" s="1" t="s">
        <v>2155</v>
      </c>
      <c r="D628" s="1" t="s">
        <v>2156</v>
      </c>
      <c r="E628" s="1" t="s">
        <v>209</v>
      </c>
      <c r="F628" s="1" t="s">
        <v>1675</v>
      </c>
      <c r="G628" s="1" t="s">
        <v>215</v>
      </c>
      <c r="H628" s="1">
        <v>5</v>
      </c>
      <c r="I628" s="1">
        <v>0.37562499999999999</v>
      </c>
      <c r="K628" s="1" t="s">
        <v>181</v>
      </c>
    </row>
    <row r="629" spans="1:11" x14ac:dyDescent="0.25">
      <c r="A629" s="1" t="s">
        <v>2157</v>
      </c>
      <c r="B629" s="1" t="s">
        <v>2158</v>
      </c>
      <c r="D629" s="1" t="s">
        <v>2159</v>
      </c>
      <c r="E629" s="1" t="s">
        <v>209</v>
      </c>
      <c r="F629" s="1" t="s">
        <v>1675</v>
      </c>
      <c r="G629" s="1" t="s">
        <v>215</v>
      </c>
      <c r="H629" s="1">
        <v>5</v>
      </c>
      <c r="I629" s="1">
        <v>0.37562499999999999</v>
      </c>
      <c r="K629" s="1" t="s">
        <v>181</v>
      </c>
    </row>
    <row r="630" spans="1:11" x14ac:dyDescent="0.25">
      <c r="A630" s="1" t="s">
        <v>2160</v>
      </c>
      <c r="B630" s="1" t="s">
        <v>2161</v>
      </c>
      <c r="D630" s="1" t="s">
        <v>2162</v>
      </c>
      <c r="E630" s="1" t="s">
        <v>209</v>
      </c>
      <c r="F630" s="1" t="s">
        <v>1675</v>
      </c>
      <c r="G630" s="1" t="s">
        <v>215</v>
      </c>
      <c r="H630" s="1">
        <v>5</v>
      </c>
      <c r="I630" s="1">
        <v>0.37562499999999999</v>
      </c>
      <c r="K630" s="1" t="s">
        <v>181</v>
      </c>
    </row>
    <row r="631" spans="1:11" x14ac:dyDescent="0.25">
      <c r="A631" s="1" t="s">
        <v>2163</v>
      </c>
      <c r="B631" s="1" t="s">
        <v>2164</v>
      </c>
      <c r="D631" s="1" t="s">
        <v>2165</v>
      </c>
      <c r="E631" s="1" t="s">
        <v>209</v>
      </c>
      <c r="F631" s="1" t="s">
        <v>1675</v>
      </c>
      <c r="G631" s="1" t="s">
        <v>215</v>
      </c>
      <c r="H631" s="1">
        <v>5</v>
      </c>
      <c r="I631" s="1">
        <v>0.37562499999999999</v>
      </c>
      <c r="K631" s="1" t="s">
        <v>181</v>
      </c>
    </row>
    <row r="632" spans="1:11" x14ac:dyDescent="0.25">
      <c r="A632" s="1" t="s">
        <v>2166</v>
      </c>
      <c r="B632" s="1" t="s">
        <v>2167</v>
      </c>
      <c r="D632" s="1" t="s">
        <v>2168</v>
      </c>
      <c r="E632" s="1" t="s">
        <v>209</v>
      </c>
      <c r="F632" s="1" t="s">
        <v>1675</v>
      </c>
      <c r="G632" s="1" t="s">
        <v>215</v>
      </c>
      <c r="H632" s="1">
        <v>5</v>
      </c>
      <c r="I632" s="1">
        <v>0.37562499999999999</v>
      </c>
      <c r="K632" s="1" t="s">
        <v>181</v>
      </c>
    </row>
    <row r="633" spans="1:11" x14ac:dyDescent="0.25">
      <c r="A633" s="1" t="s">
        <v>2169</v>
      </c>
      <c r="B633" s="1" t="s">
        <v>2170</v>
      </c>
      <c r="D633" s="1" t="s">
        <v>2171</v>
      </c>
      <c r="E633" s="1" t="s">
        <v>209</v>
      </c>
      <c r="F633" s="1" t="s">
        <v>1675</v>
      </c>
      <c r="G633" s="1" t="s">
        <v>215</v>
      </c>
      <c r="H633" s="1">
        <v>5</v>
      </c>
      <c r="I633" s="1">
        <v>0.37562499999999999</v>
      </c>
      <c r="K633" s="1" t="s">
        <v>181</v>
      </c>
    </row>
    <row r="634" spans="1:11" x14ac:dyDescent="0.25">
      <c r="A634" s="1" t="s">
        <v>2172</v>
      </c>
      <c r="B634" s="1" t="s">
        <v>2173</v>
      </c>
      <c r="D634" s="1" t="s">
        <v>2174</v>
      </c>
      <c r="E634" s="1" t="s">
        <v>209</v>
      </c>
      <c r="F634" s="1" t="s">
        <v>1675</v>
      </c>
      <c r="G634" s="1" t="s">
        <v>215</v>
      </c>
      <c r="H634" s="1">
        <v>5</v>
      </c>
      <c r="I634" s="1">
        <v>0.37562499999999999</v>
      </c>
      <c r="K634" s="1" t="s">
        <v>181</v>
      </c>
    </row>
    <row r="635" spans="1:11" x14ac:dyDescent="0.25">
      <c r="A635" s="1" t="s">
        <v>2175</v>
      </c>
      <c r="B635" s="1" t="s">
        <v>2176</v>
      </c>
      <c r="D635" s="1" t="s">
        <v>2177</v>
      </c>
      <c r="E635" s="1" t="s">
        <v>209</v>
      </c>
      <c r="F635" s="1" t="s">
        <v>1675</v>
      </c>
      <c r="G635" s="1" t="s">
        <v>215</v>
      </c>
      <c r="H635" s="1">
        <v>5</v>
      </c>
      <c r="I635" s="1">
        <v>0.37562499999999999</v>
      </c>
      <c r="K635" s="1" t="s">
        <v>181</v>
      </c>
    </row>
    <row r="636" spans="1:11" x14ac:dyDescent="0.25">
      <c r="A636" s="1" t="s">
        <v>2178</v>
      </c>
      <c r="B636" s="1" t="s">
        <v>2179</v>
      </c>
      <c r="D636" s="1" t="s">
        <v>2180</v>
      </c>
      <c r="E636" s="1" t="s">
        <v>209</v>
      </c>
      <c r="F636" s="1" t="s">
        <v>1675</v>
      </c>
      <c r="G636" s="1" t="s">
        <v>215</v>
      </c>
      <c r="H636" s="1">
        <v>5</v>
      </c>
      <c r="I636" s="1">
        <v>0.37562499999999999</v>
      </c>
      <c r="K636" s="1" t="s">
        <v>181</v>
      </c>
    </row>
    <row r="637" spans="1:11" x14ac:dyDescent="0.25">
      <c r="A637" s="1" t="s">
        <v>2181</v>
      </c>
      <c r="B637" s="1" t="s">
        <v>301</v>
      </c>
      <c r="C637" s="1" t="s">
        <v>2182</v>
      </c>
      <c r="D637" s="1" t="s">
        <v>2183</v>
      </c>
      <c r="E637" s="1" t="s">
        <v>178</v>
      </c>
      <c r="F637" s="1" t="s">
        <v>1675</v>
      </c>
      <c r="G637" s="1" t="s">
        <v>215</v>
      </c>
      <c r="H637" s="1">
        <v>5</v>
      </c>
      <c r="I637" s="1">
        <v>0.37562499999999999</v>
      </c>
      <c r="K637" s="1" t="s">
        <v>181</v>
      </c>
    </row>
    <row r="638" spans="1:11" x14ac:dyDescent="0.25">
      <c r="A638" s="1" t="s">
        <v>2184</v>
      </c>
      <c r="B638" s="1" t="s">
        <v>2185</v>
      </c>
      <c r="C638" s="1" t="s">
        <v>2186</v>
      </c>
      <c r="D638" s="1" t="s">
        <v>2187</v>
      </c>
      <c r="E638" s="1" t="s">
        <v>178</v>
      </c>
      <c r="F638" s="1" t="s">
        <v>1675</v>
      </c>
      <c r="G638" s="1" t="s">
        <v>215</v>
      </c>
      <c r="H638" s="1">
        <v>5</v>
      </c>
      <c r="I638" s="1">
        <v>0.37562499999999999</v>
      </c>
      <c r="K638" s="1" t="s">
        <v>181</v>
      </c>
    </row>
    <row r="639" spans="1:11" x14ac:dyDescent="0.25">
      <c r="A639" s="1" t="s">
        <v>2188</v>
      </c>
      <c r="B639" s="1" t="s">
        <v>2185</v>
      </c>
      <c r="C639" s="1" t="s">
        <v>2186</v>
      </c>
      <c r="D639" s="1" t="s">
        <v>2187</v>
      </c>
      <c r="E639" s="1" t="s">
        <v>178</v>
      </c>
      <c r="F639" s="1" t="s">
        <v>1675</v>
      </c>
      <c r="G639" s="1" t="s">
        <v>215</v>
      </c>
      <c r="H639" s="1">
        <v>5</v>
      </c>
      <c r="I639" s="1">
        <v>0.37562499999999999</v>
      </c>
      <c r="K639" s="1" t="s">
        <v>181</v>
      </c>
    </row>
    <row r="640" spans="1:11" x14ac:dyDescent="0.25">
      <c r="A640" s="1" t="s">
        <v>2189</v>
      </c>
      <c r="B640" s="1" t="s">
        <v>2190</v>
      </c>
      <c r="C640" s="1" t="s">
        <v>2191</v>
      </c>
      <c r="D640" s="1" t="s">
        <v>2192</v>
      </c>
      <c r="E640" s="1" t="s">
        <v>178</v>
      </c>
      <c r="F640" s="1" t="s">
        <v>1675</v>
      </c>
      <c r="G640" s="1" t="s">
        <v>215</v>
      </c>
      <c r="H640" s="1">
        <v>5</v>
      </c>
      <c r="I640" s="1">
        <v>0.37562499999999999</v>
      </c>
      <c r="K640" s="1" t="s">
        <v>181</v>
      </c>
    </row>
    <row r="641" spans="1:11" x14ac:dyDescent="0.25">
      <c r="A641" s="1" t="s">
        <v>2193</v>
      </c>
      <c r="B641" s="1" t="s">
        <v>1023</v>
      </c>
      <c r="C641" s="1" t="s">
        <v>2194</v>
      </c>
      <c r="D641" s="1" t="s">
        <v>2195</v>
      </c>
      <c r="E641" s="1" t="s">
        <v>178</v>
      </c>
      <c r="F641" s="1" t="s">
        <v>1675</v>
      </c>
      <c r="G641" s="1" t="s">
        <v>574</v>
      </c>
      <c r="H641" s="1">
        <v>5</v>
      </c>
      <c r="I641" s="1">
        <v>0.37562499999999999</v>
      </c>
      <c r="K641" s="1" t="s">
        <v>181</v>
      </c>
    </row>
    <row r="642" spans="1:11" x14ac:dyDescent="0.25">
      <c r="A642" s="1" t="s">
        <v>2196</v>
      </c>
      <c r="B642" s="1" t="s">
        <v>530</v>
      </c>
      <c r="C642" s="1" t="s">
        <v>2197</v>
      </c>
      <c r="D642" s="1" t="s">
        <v>2198</v>
      </c>
      <c r="E642" s="1" t="s">
        <v>178</v>
      </c>
      <c r="F642" s="1" t="s">
        <v>1675</v>
      </c>
      <c r="G642" s="1" t="s">
        <v>211</v>
      </c>
      <c r="H642" s="1">
        <v>5</v>
      </c>
      <c r="I642" s="1">
        <v>0.37562499999999999</v>
      </c>
      <c r="K642" s="1" t="s">
        <v>181</v>
      </c>
    </row>
    <row r="643" spans="1:11" x14ac:dyDescent="0.25">
      <c r="A643" s="1" t="s">
        <v>2199</v>
      </c>
      <c r="B643" s="1" t="s">
        <v>530</v>
      </c>
      <c r="C643" s="1" t="s">
        <v>2200</v>
      </c>
      <c r="D643" s="1" t="s">
        <v>2201</v>
      </c>
      <c r="E643" s="1" t="s">
        <v>178</v>
      </c>
      <c r="F643" s="1" t="s">
        <v>1675</v>
      </c>
      <c r="G643" s="1" t="s">
        <v>211</v>
      </c>
      <c r="H643" s="1">
        <v>5</v>
      </c>
      <c r="I643" s="1">
        <v>0.37562499999999999</v>
      </c>
      <c r="K643" s="1" t="s">
        <v>181</v>
      </c>
    </row>
    <row r="644" spans="1:11" x14ac:dyDescent="0.25">
      <c r="A644" s="1" t="s">
        <v>2202</v>
      </c>
      <c r="B644" s="1" t="s">
        <v>530</v>
      </c>
      <c r="C644" s="1" t="s">
        <v>2203</v>
      </c>
      <c r="D644" s="1" t="s">
        <v>2204</v>
      </c>
      <c r="E644" s="1" t="s">
        <v>178</v>
      </c>
      <c r="F644" s="1" t="s">
        <v>1675</v>
      </c>
      <c r="G644" s="1" t="s">
        <v>211</v>
      </c>
      <c r="H644" s="1">
        <v>5</v>
      </c>
      <c r="I644" s="1">
        <v>0.37562499999999999</v>
      </c>
      <c r="K644" s="1" t="s">
        <v>181</v>
      </c>
    </row>
    <row r="645" spans="1:11" x14ac:dyDescent="0.25">
      <c r="A645" s="1" t="s">
        <v>2205</v>
      </c>
      <c r="B645" s="1" t="s">
        <v>530</v>
      </c>
      <c r="C645" s="1" t="s">
        <v>2206</v>
      </c>
      <c r="D645" s="1" t="s">
        <v>2207</v>
      </c>
      <c r="E645" s="1" t="s">
        <v>178</v>
      </c>
      <c r="F645" s="1" t="s">
        <v>1675</v>
      </c>
      <c r="G645" s="1" t="s">
        <v>211</v>
      </c>
      <c r="H645" s="1">
        <v>5</v>
      </c>
      <c r="I645" s="1">
        <v>0.37562499999999999</v>
      </c>
      <c r="K645" s="1" t="s">
        <v>181</v>
      </c>
    </row>
    <row r="646" spans="1:11" x14ac:dyDescent="0.25">
      <c r="A646" s="1" t="s">
        <v>2208</v>
      </c>
      <c r="B646" s="1" t="s">
        <v>530</v>
      </c>
      <c r="C646" s="1" t="s">
        <v>2209</v>
      </c>
      <c r="D646" s="1" t="s">
        <v>2210</v>
      </c>
      <c r="E646" s="1" t="s">
        <v>178</v>
      </c>
      <c r="F646" s="1" t="s">
        <v>1675</v>
      </c>
      <c r="G646" s="1" t="s">
        <v>211</v>
      </c>
      <c r="H646" s="1">
        <v>5</v>
      </c>
      <c r="I646" s="1">
        <v>0.37562499999999999</v>
      </c>
      <c r="K646" s="1" t="s">
        <v>181</v>
      </c>
    </row>
    <row r="647" spans="1:11" x14ac:dyDescent="0.25">
      <c r="A647" s="1" t="s">
        <v>2211</v>
      </c>
      <c r="B647" s="1" t="s">
        <v>2212</v>
      </c>
      <c r="C647" s="1" t="s">
        <v>2213</v>
      </c>
      <c r="D647" s="1" t="s">
        <v>2214</v>
      </c>
      <c r="E647" s="1" t="s">
        <v>178</v>
      </c>
      <c r="F647" s="1" t="s">
        <v>1675</v>
      </c>
      <c r="G647" s="1" t="s">
        <v>215</v>
      </c>
      <c r="H647" s="1">
        <v>5</v>
      </c>
      <c r="I647" s="1">
        <v>0.37562499999999999</v>
      </c>
      <c r="K647" s="1" t="s">
        <v>181</v>
      </c>
    </row>
    <row r="648" spans="1:11" x14ac:dyDescent="0.25">
      <c r="A648" s="1" t="s">
        <v>2215</v>
      </c>
      <c r="B648" s="1" t="s">
        <v>2086</v>
      </c>
      <c r="C648" s="1" t="s">
        <v>2216</v>
      </c>
      <c r="D648" s="1" t="s">
        <v>2217</v>
      </c>
      <c r="E648" s="1" t="s">
        <v>178</v>
      </c>
      <c r="F648" s="1" t="s">
        <v>1675</v>
      </c>
      <c r="G648" s="1" t="s">
        <v>215</v>
      </c>
      <c r="H648" s="1">
        <v>5</v>
      </c>
      <c r="I648" s="1">
        <v>0.37562499999999999</v>
      </c>
      <c r="K648" s="1" t="s">
        <v>181</v>
      </c>
    </row>
    <row r="649" spans="1:11" x14ac:dyDescent="0.25">
      <c r="A649" s="1" t="s">
        <v>2218</v>
      </c>
      <c r="B649" s="1" t="s">
        <v>2219</v>
      </c>
      <c r="C649" s="1" t="s">
        <v>2220</v>
      </c>
      <c r="D649" s="1" t="s">
        <v>2221</v>
      </c>
      <c r="E649" s="1" t="s">
        <v>178</v>
      </c>
      <c r="F649" s="1" t="s">
        <v>1675</v>
      </c>
      <c r="G649" s="1" t="s">
        <v>215</v>
      </c>
      <c r="H649" s="1">
        <v>5</v>
      </c>
      <c r="I649" s="1">
        <v>0.37562499999999999</v>
      </c>
      <c r="K649" s="1" t="s">
        <v>181</v>
      </c>
    </row>
    <row r="650" spans="1:11" x14ac:dyDescent="0.25">
      <c r="A650" s="1" t="s">
        <v>2222</v>
      </c>
      <c r="B650" s="1" t="s">
        <v>2223</v>
      </c>
      <c r="C650" s="1" t="s">
        <v>2224</v>
      </c>
      <c r="D650" s="1" t="s">
        <v>2225</v>
      </c>
      <c r="E650" s="1" t="s">
        <v>178</v>
      </c>
      <c r="F650" s="1" t="s">
        <v>1675</v>
      </c>
      <c r="G650" s="1" t="s">
        <v>215</v>
      </c>
      <c r="H650" s="1">
        <v>5</v>
      </c>
      <c r="I650" s="1">
        <v>0.37562499999999999</v>
      </c>
      <c r="K650" s="1" t="s">
        <v>181</v>
      </c>
    </row>
    <row r="651" spans="1:11" x14ac:dyDescent="0.25">
      <c r="A651" s="1" t="s">
        <v>2226</v>
      </c>
      <c r="B651" s="1" t="s">
        <v>1339</v>
      </c>
      <c r="C651" s="1" t="s">
        <v>2227</v>
      </c>
      <c r="D651" s="1" t="s">
        <v>2228</v>
      </c>
      <c r="E651" s="1" t="s">
        <v>178</v>
      </c>
      <c r="F651" s="1" t="s">
        <v>1675</v>
      </c>
      <c r="G651" s="1" t="s">
        <v>215</v>
      </c>
      <c r="H651" s="1">
        <v>5</v>
      </c>
      <c r="I651" s="1">
        <v>0.37562499999999999</v>
      </c>
      <c r="K651" s="1" t="s">
        <v>181</v>
      </c>
    </row>
    <row r="652" spans="1:11" x14ac:dyDescent="0.25">
      <c r="A652" s="1" t="s">
        <v>2229</v>
      </c>
      <c r="B652" s="1" t="s">
        <v>2086</v>
      </c>
      <c r="C652" s="1" t="s">
        <v>2230</v>
      </c>
      <c r="D652" s="1" t="s">
        <v>2231</v>
      </c>
      <c r="E652" s="1" t="s">
        <v>178</v>
      </c>
      <c r="F652" s="1" t="s">
        <v>1675</v>
      </c>
      <c r="G652" s="1" t="s">
        <v>215</v>
      </c>
      <c r="H652" s="1">
        <v>5</v>
      </c>
      <c r="I652" s="1">
        <v>0.37562499999999999</v>
      </c>
      <c r="K652" s="1" t="s">
        <v>181</v>
      </c>
    </row>
    <row r="653" spans="1:11" x14ac:dyDescent="0.25">
      <c r="A653" s="1" t="s">
        <v>2232</v>
      </c>
      <c r="B653" s="1" t="s">
        <v>2110</v>
      </c>
      <c r="C653" s="1" t="s">
        <v>2233</v>
      </c>
      <c r="D653" s="1" t="s">
        <v>2234</v>
      </c>
      <c r="E653" s="1" t="s">
        <v>178</v>
      </c>
      <c r="F653" s="1" t="s">
        <v>1675</v>
      </c>
      <c r="G653" s="1" t="s">
        <v>215</v>
      </c>
      <c r="H653" s="1">
        <v>5</v>
      </c>
      <c r="I653" s="1">
        <v>0.37562499999999999</v>
      </c>
      <c r="K653" s="1" t="s">
        <v>181</v>
      </c>
    </row>
    <row r="654" spans="1:11" x14ac:dyDescent="0.25">
      <c r="A654" s="1" t="s">
        <v>2235</v>
      </c>
      <c r="B654" s="1" t="s">
        <v>2110</v>
      </c>
      <c r="C654" s="1" t="s">
        <v>2236</v>
      </c>
      <c r="D654" s="1" t="s">
        <v>2234</v>
      </c>
      <c r="E654" s="1" t="s">
        <v>178</v>
      </c>
      <c r="F654" s="1" t="s">
        <v>1675</v>
      </c>
      <c r="G654" s="1" t="s">
        <v>215</v>
      </c>
      <c r="H654" s="1">
        <v>5</v>
      </c>
      <c r="I654" s="1">
        <v>0.37562499999999999</v>
      </c>
      <c r="K654" s="1" t="s">
        <v>181</v>
      </c>
    </row>
    <row r="655" spans="1:11" x14ac:dyDescent="0.25">
      <c r="A655" s="1" t="s">
        <v>2237</v>
      </c>
      <c r="B655" s="1" t="s">
        <v>2238</v>
      </c>
      <c r="C655" s="1" t="s">
        <v>2239</v>
      </c>
      <c r="D655" s="1" t="s">
        <v>2240</v>
      </c>
      <c r="E655" s="1" t="s">
        <v>178</v>
      </c>
      <c r="F655" s="1" t="s">
        <v>1675</v>
      </c>
      <c r="G655" s="1" t="s">
        <v>215</v>
      </c>
      <c r="H655" s="1">
        <v>5</v>
      </c>
      <c r="I655" s="1">
        <v>0.37562499999999999</v>
      </c>
      <c r="K655" s="1" t="s">
        <v>181</v>
      </c>
    </row>
    <row r="656" spans="1:11" x14ac:dyDescent="0.25">
      <c r="A656" s="1" t="s">
        <v>2241</v>
      </c>
      <c r="B656" s="1" t="s">
        <v>1042</v>
      </c>
      <c r="C656" s="1" t="s">
        <v>2242</v>
      </c>
      <c r="D656" s="1" t="s">
        <v>2243</v>
      </c>
      <c r="E656" s="1" t="s">
        <v>178</v>
      </c>
      <c r="F656" s="1" t="s">
        <v>1675</v>
      </c>
      <c r="G656" s="1" t="s">
        <v>211</v>
      </c>
      <c r="H656" s="1">
        <v>5</v>
      </c>
      <c r="I656" s="1">
        <v>0.37562499999999999</v>
      </c>
      <c r="K656" s="1" t="s">
        <v>181</v>
      </c>
    </row>
    <row r="657" spans="1:11" x14ac:dyDescent="0.25">
      <c r="A657" s="1" t="s">
        <v>2244</v>
      </c>
      <c r="B657" s="1" t="s">
        <v>2223</v>
      </c>
      <c r="C657" s="1" t="s">
        <v>2245</v>
      </c>
      <c r="D657" s="1" t="s">
        <v>2246</v>
      </c>
      <c r="E657" s="1" t="s">
        <v>178</v>
      </c>
      <c r="F657" s="1" t="s">
        <v>1675</v>
      </c>
      <c r="G657" s="1" t="s">
        <v>215</v>
      </c>
      <c r="H657" s="1">
        <v>5</v>
      </c>
      <c r="I657" s="1">
        <v>0.37562499999999999</v>
      </c>
      <c r="K657" s="1" t="s">
        <v>181</v>
      </c>
    </row>
    <row r="658" spans="1:11" x14ac:dyDescent="0.25">
      <c r="A658" s="1" t="s">
        <v>2247</v>
      </c>
      <c r="B658" s="1" t="s">
        <v>1042</v>
      </c>
      <c r="C658" s="1" t="s">
        <v>2248</v>
      </c>
      <c r="D658" s="1" t="s">
        <v>2249</v>
      </c>
      <c r="E658" s="1" t="s">
        <v>178</v>
      </c>
      <c r="F658" s="1" t="s">
        <v>1675</v>
      </c>
      <c r="G658" s="1" t="s">
        <v>211</v>
      </c>
      <c r="H658" s="1">
        <v>5</v>
      </c>
      <c r="I658" s="1">
        <v>0.37562499999999999</v>
      </c>
      <c r="K658" s="1" t="s">
        <v>181</v>
      </c>
    </row>
    <row r="659" spans="1:11" x14ac:dyDescent="0.25">
      <c r="A659" s="1" t="s">
        <v>2250</v>
      </c>
      <c r="B659" s="1" t="s">
        <v>557</v>
      </c>
      <c r="C659" s="1" t="s">
        <v>2251</v>
      </c>
      <c r="D659" s="1" t="s">
        <v>2252</v>
      </c>
      <c r="E659" s="1" t="s">
        <v>178</v>
      </c>
      <c r="F659" s="1" t="s">
        <v>1675</v>
      </c>
      <c r="G659" s="1" t="s">
        <v>215</v>
      </c>
      <c r="H659" s="1">
        <v>5</v>
      </c>
      <c r="I659" s="1">
        <v>0.37562499999999999</v>
      </c>
      <c r="K659" s="1" t="s">
        <v>181</v>
      </c>
    </row>
    <row r="660" spans="1:11" x14ac:dyDescent="0.25">
      <c r="A660" s="1" t="s">
        <v>2253</v>
      </c>
      <c r="B660" s="1" t="s">
        <v>2254</v>
      </c>
      <c r="C660" s="1" t="s">
        <v>2255</v>
      </c>
      <c r="D660" s="1" t="s">
        <v>2256</v>
      </c>
      <c r="E660" s="1" t="s">
        <v>178</v>
      </c>
      <c r="F660" s="1" t="s">
        <v>1675</v>
      </c>
      <c r="G660" s="1" t="s">
        <v>215</v>
      </c>
      <c r="H660" s="1">
        <v>5</v>
      </c>
      <c r="I660" s="1">
        <v>0.37562499999999999</v>
      </c>
      <c r="K660" s="1" t="s">
        <v>181</v>
      </c>
    </row>
    <row r="661" spans="1:11" x14ac:dyDescent="0.25">
      <c r="A661" s="1" t="s">
        <v>2257</v>
      </c>
      <c r="B661" s="1" t="s">
        <v>557</v>
      </c>
      <c r="C661" s="1" t="s">
        <v>2258</v>
      </c>
      <c r="D661" s="1" t="s">
        <v>2259</v>
      </c>
      <c r="E661" s="1" t="s">
        <v>178</v>
      </c>
      <c r="F661" s="1" t="s">
        <v>1675</v>
      </c>
      <c r="G661" s="1" t="s">
        <v>211</v>
      </c>
      <c r="H661" s="1">
        <v>5</v>
      </c>
      <c r="I661" s="1">
        <v>0.37562499999999999</v>
      </c>
      <c r="K661" s="1" t="s">
        <v>181</v>
      </c>
    </row>
    <row r="662" spans="1:11" x14ac:dyDescent="0.25">
      <c r="A662" s="1" t="s">
        <v>2260</v>
      </c>
      <c r="B662" s="1" t="s">
        <v>2254</v>
      </c>
      <c r="C662" s="1" t="s">
        <v>2261</v>
      </c>
      <c r="D662" s="1" t="s">
        <v>2262</v>
      </c>
      <c r="E662" s="1" t="s">
        <v>178</v>
      </c>
      <c r="F662" s="1" t="s">
        <v>1675</v>
      </c>
      <c r="G662" s="1" t="s">
        <v>215</v>
      </c>
      <c r="H662" s="1">
        <v>5</v>
      </c>
      <c r="I662" s="1">
        <v>0.37562499999999999</v>
      </c>
      <c r="K662" s="1" t="s">
        <v>181</v>
      </c>
    </row>
    <row r="663" spans="1:11" x14ac:dyDescent="0.25">
      <c r="A663" s="1" t="s">
        <v>2263</v>
      </c>
      <c r="B663" s="1" t="s">
        <v>1208</v>
      </c>
      <c r="C663" s="1" t="s">
        <v>2264</v>
      </c>
      <c r="D663" s="1" t="s">
        <v>2265</v>
      </c>
      <c r="E663" s="1" t="s">
        <v>178</v>
      </c>
      <c r="F663" s="1" t="s">
        <v>1675</v>
      </c>
      <c r="G663" s="1" t="s">
        <v>215</v>
      </c>
      <c r="H663" s="1">
        <v>5</v>
      </c>
      <c r="I663" s="1">
        <v>0.37562499999999999</v>
      </c>
      <c r="K663" s="1" t="s">
        <v>181</v>
      </c>
    </row>
    <row r="664" spans="1:11" x14ac:dyDescent="0.25">
      <c r="A664" s="1" t="s">
        <v>2266</v>
      </c>
      <c r="B664" s="1" t="s">
        <v>2267</v>
      </c>
      <c r="C664" s="1" t="s">
        <v>2268</v>
      </c>
      <c r="D664" s="1" t="s">
        <v>2269</v>
      </c>
      <c r="E664" s="1" t="s">
        <v>178</v>
      </c>
      <c r="F664" s="1" t="s">
        <v>1675</v>
      </c>
      <c r="G664" s="1" t="s">
        <v>215</v>
      </c>
      <c r="H664" s="1">
        <v>5</v>
      </c>
      <c r="I664" s="1">
        <v>0.37562499999999999</v>
      </c>
      <c r="K664" s="1" t="s">
        <v>181</v>
      </c>
    </row>
    <row r="665" spans="1:11" x14ac:dyDescent="0.25">
      <c r="A665" s="1" t="s">
        <v>2270</v>
      </c>
      <c r="B665" s="1" t="s">
        <v>557</v>
      </c>
      <c r="C665" s="1" t="s">
        <v>2271</v>
      </c>
      <c r="D665" s="1" t="s">
        <v>2272</v>
      </c>
      <c r="E665" s="1" t="s">
        <v>178</v>
      </c>
      <c r="F665" s="1" t="s">
        <v>1675</v>
      </c>
      <c r="G665" s="1" t="s">
        <v>215</v>
      </c>
      <c r="H665" s="1">
        <v>5</v>
      </c>
      <c r="I665" s="1">
        <v>0.37562499999999999</v>
      </c>
      <c r="K665" s="1" t="s">
        <v>181</v>
      </c>
    </row>
    <row r="666" spans="1:11" x14ac:dyDescent="0.25">
      <c r="A666" s="1" t="s">
        <v>2273</v>
      </c>
      <c r="B666" s="1" t="s">
        <v>2274</v>
      </c>
      <c r="C666" s="1" t="s">
        <v>2275</v>
      </c>
      <c r="D666" s="1" t="s">
        <v>2276</v>
      </c>
      <c r="E666" s="1" t="s">
        <v>178</v>
      </c>
      <c r="F666" s="1" t="s">
        <v>1675</v>
      </c>
      <c r="G666" s="1" t="s">
        <v>215</v>
      </c>
      <c r="H666" s="1">
        <v>5</v>
      </c>
      <c r="I666" s="1">
        <v>0.37562499999999999</v>
      </c>
      <c r="K666" s="1" t="s">
        <v>181</v>
      </c>
    </row>
    <row r="667" spans="1:11" x14ac:dyDescent="0.25">
      <c r="A667" s="1" t="s">
        <v>2277</v>
      </c>
      <c r="B667" s="1" t="s">
        <v>2278</v>
      </c>
      <c r="C667" s="1" t="s">
        <v>2279</v>
      </c>
      <c r="D667" s="1" t="s">
        <v>2280</v>
      </c>
      <c r="E667" s="1" t="s">
        <v>178</v>
      </c>
      <c r="F667" s="1" t="s">
        <v>1675</v>
      </c>
      <c r="G667" s="1" t="s">
        <v>215</v>
      </c>
      <c r="H667" s="1">
        <v>5</v>
      </c>
      <c r="I667" s="1">
        <v>0.37562499999999999</v>
      </c>
      <c r="K667" s="1" t="s">
        <v>181</v>
      </c>
    </row>
    <row r="668" spans="1:11" x14ac:dyDescent="0.25">
      <c r="A668" s="1" t="s">
        <v>2281</v>
      </c>
      <c r="B668" s="1" t="s">
        <v>557</v>
      </c>
      <c r="C668" s="1" t="s">
        <v>2282</v>
      </c>
      <c r="D668" s="1" t="s">
        <v>2283</v>
      </c>
      <c r="E668" s="1" t="s">
        <v>178</v>
      </c>
      <c r="F668" s="1" t="s">
        <v>1675</v>
      </c>
      <c r="G668" s="1" t="s">
        <v>215</v>
      </c>
      <c r="H668" s="1">
        <v>5</v>
      </c>
      <c r="I668" s="1">
        <v>0.37562499999999999</v>
      </c>
      <c r="K668" s="1" t="s">
        <v>181</v>
      </c>
    </row>
    <row r="669" spans="1:11" x14ac:dyDescent="0.25">
      <c r="A669" s="1" t="s">
        <v>2284</v>
      </c>
      <c r="B669" s="1" t="s">
        <v>557</v>
      </c>
      <c r="C669" s="1" t="s">
        <v>2285</v>
      </c>
      <c r="D669" s="1" t="s">
        <v>2286</v>
      </c>
      <c r="E669" s="1" t="s">
        <v>178</v>
      </c>
      <c r="F669" s="1" t="s">
        <v>1675</v>
      </c>
      <c r="G669" s="1" t="s">
        <v>215</v>
      </c>
      <c r="H669" s="1">
        <v>5</v>
      </c>
      <c r="I669" s="1">
        <v>0.37562499999999999</v>
      </c>
      <c r="K669" s="1" t="s">
        <v>181</v>
      </c>
    </row>
    <row r="670" spans="1:11" x14ac:dyDescent="0.25">
      <c r="A670" s="1" t="s">
        <v>2287</v>
      </c>
      <c r="B670" s="1" t="s">
        <v>2278</v>
      </c>
      <c r="C670" s="1" t="s">
        <v>2288</v>
      </c>
      <c r="D670" s="1" t="s">
        <v>2289</v>
      </c>
      <c r="E670" s="1" t="s">
        <v>178</v>
      </c>
      <c r="F670" s="1" t="s">
        <v>1675</v>
      </c>
      <c r="G670" s="1" t="s">
        <v>215</v>
      </c>
      <c r="H670" s="1">
        <v>5</v>
      </c>
      <c r="I670" s="1">
        <v>0.37562499999999999</v>
      </c>
      <c r="K670" s="1" t="s">
        <v>181</v>
      </c>
    </row>
    <row r="671" spans="1:11" x14ac:dyDescent="0.25">
      <c r="A671" s="1" t="s">
        <v>2290</v>
      </c>
      <c r="B671" s="1" t="s">
        <v>1099</v>
      </c>
      <c r="C671" s="1" t="s">
        <v>2291</v>
      </c>
      <c r="D671" s="1" t="s">
        <v>2292</v>
      </c>
      <c r="E671" s="1" t="s">
        <v>178</v>
      </c>
      <c r="F671" s="1" t="s">
        <v>1675</v>
      </c>
      <c r="G671" s="1" t="s">
        <v>215</v>
      </c>
      <c r="H671" s="1">
        <v>5</v>
      </c>
      <c r="I671" s="1">
        <v>0.37562499999999999</v>
      </c>
      <c r="K671" s="1" t="s">
        <v>181</v>
      </c>
    </row>
    <row r="672" spans="1:11" x14ac:dyDescent="0.25">
      <c r="A672" s="1" t="s">
        <v>2293</v>
      </c>
      <c r="B672" s="1" t="s">
        <v>2274</v>
      </c>
      <c r="C672" s="1" t="s">
        <v>2294</v>
      </c>
      <c r="D672" s="1" t="s">
        <v>2295</v>
      </c>
      <c r="E672" s="1" t="s">
        <v>178</v>
      </c>
      <c r="F672" s="1" t="s">
        <v>1675</v>
      </c>
      <c r="G672" s="1" t="s">
        <v>215</v>
      </c>
      <c r="H672" s="1">
        <v>5</v>
      </c>
      <c r="I672" s="1">
        <v>0.37562499999999999</v>
      </c>
      <c r="K672" s="1" t="s">
        <v>181</v>
      </c>
    </row>
    <row r="673" spans="1:11" x14ac:dyDescent="0.25">
      <c r="A673" s="1" t="s">
        <v>2296</v>
      </c>
      <c r="B673" s="1" t="s">
        <v>1074</v>
      </c>
      <c r="C673" s="1" t="s">
        <v>2297</v>
      </c>
      <c r="D673" s="1" t="s">
        <v>2298</v>
      </c>
      <c r="E673" s="1" t="s">
        <v>178</v>
      </c>
      <c r="F673" s="1" t="s">
        <v>1675</v>
      </c>
      <c r="G673" s="1" t="s">
        <v>215</v>
      </c>
      <c r="H673" s="1">
        <v>5</v>
      </c>
      <c r="I673" s="1">
        <v>0.37562499999999999</v>
      </c>
      <c r="K673" s="1" t="s">
        <v>181</v>
      </c>
    </row>
    <row r="674" spans="1:11" x14ac:dyDescent="0.25">
      <c r="A674" s="1" t="s">
        <v>2299</v>
      </c>
      <c r="B674" s="1" t="s">
        <v>2219</v>
      </c>
      <c r="C674" s="1" t="s">
        <v>2300</v>
      </c>
      <c r="D674" s="1" t="s">
        <v>2301</v>
      </c>
      <c r="E674" s="1" t="s">
        <v>178</v>
      </c>
      <c r="F674" s="1" t="s">
        <v>1675</v>
      </c>
      <c r="G674" s="1" t="s">
        <v>215</v>
      </c>
      <c r="H674" s="1">
        <v>5</v>
      </c>
      <c r="I674" s="1">
        <v>0.37562499999999999</v>
      </c>
      <c r="K674" s="1" t="s">
        <v>181</v>
      </c>
    </row>
    <row r="675" spans="1:11" x14ac:dyDescent="0.25">
      <c r="A675" s="1" t="s">
        <v>2302</v>
      </c>
      <c r="B675" s="1" t="s">
        <v>2303</v>
      </c>
      <c r="C675" s="1" t="s">
        <v>2304</v>
      </c>
      <c r="D675" s="1" t="s">
        <v>2305</v>
      </c>
      <c r="E675" s="1" t="s">
        <v>178</v>
      </c>
      <c r="F675" s="1" t="s">
        <v>1675</v>
      </c>
      <c r="G675" s="1" t="s">
        <v>215</v>
      </c>
      <c r="H675" s="1">
        <v>5</v>
      </c>
      <c r="I675" s="1">
        <v>0.37562499999999999</v>
      </c>
      <c r="K675" s="1" t="s">
        <v>181</v>
      </c>
    </row>
    <row r="676" spans="1:11" x14ac:dyDescent="0.25">
      <c r="A676" s="1" t="s">
        <v>2306</v>
      </c>
      <c r="B676" s="1" t="s">
        <v>2307</v>
      </c>
      <c r="C676" s="1" t="s">
        <v>2308</v>
      </c>
      <c r="D676" s="1" t="s">
        <v>2309</v>
      </c>
      <c r="E676" s="1" t="s">
        <v>178</v>
      </c>
      <c r="F676" s="1" t="s">
        <v>1675</v>
      </c>
      <c r="G676" s="1" t="s">
        <v>215</v>
      </c>
      <c r="H676" s="1">
        <v>5</v>
      </c>
      <c r="I676" s="1">
        <v>0.37562499999999999</v>
      </c>
      <c r="K676" s="1" t="s">
        <v>181</v>
      </c>
    </row>
    <row r="677" spans="1:11" x14ac:dyDescent="0.25">
      <c r="A677" s="1" t="s">
        <v>2310</v>
      </c>
      <c r="B677" s="1" t="s">
        <v>2311</v>
      </c>
      <c r="C677" s="1" t="s">
        <v>2312</v>
      </c>
      <c r="D677" s="1" t="s">
        <v>2313</v>
      </c>
      <c r="E677" s="1" t="s">
        <v>178</v>
      </c>
      <c r="F677" s="1" t="s">
        <v>1675</v>
      </c>
      <c r="G677" s="1" t="s">
        <v>215</v>
      </c>
      <c r="H677" s="1">
        <v>5</v>
      </c>
      <c r="I677" s="1">
        <v>0.37562499999999999</v>
      </c>
      <c r="K677" s="1" t="s">
        <v>181</v>
      </c>
    </row>
    <row r="678" spans="1:11" x14ac:dyDescent="0.25">
      <c r="A678" s="1" t="s">
        <v>2314</v>
      </c>
      <c r="B678" s="1" t="s">
        <v>2315</v>
      </c>
      <c r="C678" s="1" t="s">
        <v>2316</v>
      </c>
      <c r="D678" s="1" t="s">
        <v>2317</v>
      </c>
      <c r="E678" s="1" t="s">
        <v>178</v>
      </c>
      <c r="F678" s="1" t="s">
        <v>1675</v>
      </c>
      <c r="G678" s="1" t="s">
        <v>215</v>
      </c>
      <c r="H678" s="1">
        <v>5</v>
      </c>
      <c r="I678" s="1">
        <v>0.37562499999999999</v>
      </c>
      <c r="K678" s="1" t="s">
        <v>181</v>
      </c>
    </row>
    <row r="679" spans="1:11" x14ac:dyDescent="0.25">
      <c r="A679" s="1" t="s">
        <v>2318</v>
      </c>
      <c r="B679" s="1" t="s">
        <v>2315</v>
      </c>
      <c r="C679" s="1" t="s">
        <v>2319</v>
      </c>
      <c r="D679" s="1" t="s">
        <v>2320</v>
      </c>
      <c r="E679" s="1" t="s">
        <v>178</v>
      </c>
      <c r="F679" s="1" t="s">
        <v>1675</v>
      </c>
      <c r="G679" s="1" t="s">
        <v>215</v>
      </c>
      <c r="H679" s="1">
        <v>5</v>
      </c>
      <c r="I679" s="1">
        <v>0.37562499999999999</v>
      </c>
      <c r="K679" s="1" t="s">
        <v>181</v>
      </c>
    </row>
    <row r="680" spans="1:11" x14ac:dyDescent="0.25">
      <c r="A680" s="1" t="s">
        <v>2321</v>
      </c>
      <c r="B680" s="1" t="s">
        <v>2315</v>
      </c>
      <c r="C680" s="1" t="s">
        <v>2322</v>
      </c>
      <c r="D680" s="1" t="s">
        <v>2323</v>
      </c>
      <c r="E680" s="1" t="s">
        <v>178</v>
      </c>
      <c r="F680" s="1" t="s">
        <v>1675</v>
      </c>
      <c r="G680" s="1" t="s">
        <v>215</v>
      </c>
      <c r="H680" s="1">
        <v>5</v>
      </c>
      <c r="I680" s="1">
        <v>0.37562499999999999</v>
      </c>
      <c r="K680" s="1" t="s">
        <v>181</v>
      </c>
    </row>
    <row r="681" spans="1:11" x14ac:dyDescent="0.25">
      <c r="A681" s="1" t="s">
        <v>2324</v>
      </c>
      <c r="B681" s="1" t="s">
        <v>2315</v>
      </c>
      <c r="C681" s="1" t="s">
        <v>2325</v>
      </c>
      <c r="D681" s="1" t="s">
        <v>2326</v>
      </c>
      <c r="E681" s="1" t="s">
        <v>178</v>
      </c>
      <c r="F681" s="1" t="s">
        <v>1675</v>
      </c>
      <c r="G681" s="1" t="s">
        <v>215</v>
      </c>
      <c r="H681" s="1">
        <v>5</v>
      </c>
      <c r="I681" s="1">
        <v>0.37562499999999999</v>
      </c>
      <c r="K681" s="1" t="s">
        <v>181</v>
      </c>
    </row>
    <row r="682" spans="1:11" x14ac:dyDescent="0.25">
      <c r="A682" s="1" t="s">
        <v>2327</v>
      </c>
      <c r="B682" s="1" t="s">
        <v>2315</v>
      </c>
      <c r="C682" s="1" t="s">
        <v>2328</v>
      </c>
      <c r="D682" s="1" t="s">
        <v>2329</v>
      </c>
      <c r="E682" s="1" t="s">
        <v>178</v>
      </c>
      <c r="F682" s="1" t="s">
        <v>1675</v>
      </c>
      <c r="G682" s="1" t="s">
        <v>215</v>
      </c>
      <c r="H682" s="1">
        <v>5</v>
      </c>
      <c r="I682" s="1">
        <v>0.37562499999999999</v>
      </c>
      <c r="K682" s="1" t="s">
        <v>181</v>
      </c>
    </row>
    <row r="683" spans="1:11" x14ac:dyDescent="0.25">
      <c r="A683" s="1" t="s">
        <v>2330</v>
      </c>
      <c r="B683" s="1" t="s">
        <v>2315</v>
      </c>
      <c r="C683" s="1" t="s">
        <v>2331</v>
      </c>
      <c r="D683" s="1" t="s">
        <v>2332</v>
      </c>
      <c r="E683" s="1" t="s">
        <v>178</v>
      </c>
      <c r="F683" s="1" t="s">
        <v>1675</v>
      </c>
      <c r="G683" s="1" t="s">
        <v>215</v>
      </c>
      <c r="H683" s="1">
        <v>5</v>
      </c>
      <c r="I683" s="1">
        <v>0.37562499999999999</v>
      </c>
      <c r="K683" s="1" t="s">
        <v>181</v>
      </c>
    </row>
    <row r="684" spans="1:11" x14ac:dyDescent="0.25">
      <c r="A684" s="1" t="s">
        <v>2333</v>
      </c>
      <c r="B684" s="1" t="s">
        <v>2315</v>
      </c>
      <c r="C684" s="1" t="s">
        <v>2334</v>
      </c>
      <c r="D684" s="1" t="s">
        <v>2335</v>
      </c>
      <c r="E684" s="1" t="s">
        <v>178</v>
      </c>
      <c r="F684" s="1" t="s">
        <v>1675</v>
      </c>
      <c r="G684" s="1" t="s">
        <v>215</v>
      </c>
      <c r="H684" s="1">
        <v>5</v>
      </c>
      <c r="I684" s="1">
        <v>0.37562499999999999</v>
      </c>
      <c r="K684" s="1" t="s">
        <v>181</v>
      </c>
    </row>
    <row r="685" spans="1:11" x14ac:dyDescent="0.25">
      <c r="A685" s="1" t="s">
        <v>2336</v>
      </c>
      <c r="B685" s="1" t="s">
        <v>2315</v>
      </c>
      <c r="C685" s="1" t="s">
        <v>2337</v>
      </c>
      <c r="D685" s="1" t="s">
        <v>2338</v>
      </c>
      <c r="E685" s="1" t="s">
        <v>178</v>
      </c>
      <c r="F685" s="1" t="s">
        <v>1675</v>
      </c>
      <c r="G685" s="1" t="s">
        <v>215</v>
      </c>
      <c r="H685" s="1">
        <v>5</v>
      </c>
      <c r="I685" s="1">
        <v>0.37562499999999999</v>
      </c>
      <c r="K685" s="1" t="s">
        <v>181</v>
      </c>
    </row>
    <row r="686" spans="1:11" x14ac:dyDescent="0.25">
      <c r="A686" s="1" t="s">
        <v>2339</v>
      </c>
      <c r="B686" s="1" t="s">
        <v>2340</v>
      </c>
      <c r="C686" s="1" t="s">
        <v>2341</v>
      </c>
      <c r="D686" s="1" t="s">
        <v>2342</v>
      </c>
      <c r="E686" s="1" t="s">
        <v>178</v>
      </c>
      <c r="F686" s="1" t="s">
        <v>1675</v>
      </c>
      <c r="G686" s="1" t="s">
        <v>215</v>
      </c>
      <c r="H686" s="1">
        <v>5</v>
      </c>
      <c r="I686" s="1">
        <v>0.37562499999999999</v>
      </c>
      <c r="K686" s="1" t="s">
        <v>181</v>
      </c>
    </row>
    <row r="687" spans="1:11" x14ac:dyDescent="0.25">
      <c r="A687" s="1" t="s">
        <v>2343</v>
      </c>
      <c r="B687" s="1" t="s">
        <v>2340</v>
      </c>
      <c r="C687" s="1" t="s">
        <v>2344</v>
      </c>
      <c r="D687" s="1" t="s">
        <v>2345</v>
      </c>
      <c r="E687" s="1" t="s">
        <v>178</v>
      </c>
      <c r="F687" s="1" t="s">
        <v>1675</v>
      </c>
      <c r="G687" s="1" t="s">
        <v>215</v>
      </c>
      <c r="H687" s="1">
        <v>5</v>
      </c>
      <c r="I687" s="1">
        <v>0.37562499999999999</v>
      </c>
      <c r="K687" s="1" t="s">
        <v>181</v>
      </c>
    </row>
    <row r="688" spans="1:11" x14ac:dyDescent="0.25">
      <c r="A688" s="1" t="s">
        <v>2346</v>
      </c>
      <c r="B688" s="1" t="s">
        <v>530</v>
      </c>
      <c r="C688" s="1" t="s">
        <v>2347</v>
      </c>
      <c r="D688" s="1" t="s">
        <v>2348</v>
      </c>
      <c r="E688" s="1" t="s">
        <v>178</v>
      </c>
      <c r="F688" s="1" t="s">
        <v>1675</v>
      </c>
      <c r="G688" s="1" t="s">
        <v>215</v>
      </c>
      <c r="H688" s="1">
        <v>5</v>
      </c>
      <c r="I688" s="1">
        <v>0.37562499999999999</v>
      </c>
      <c r="K688" s="1" t="s">
        <v>181</v>
      </c>
    </row>
    <row r="689" spans="1:11" x14ac:dyDescent="0.25">
      <c r="A689" s="1" t="s">
        <v>2349</v>
      </c>
      <c r="B689" s="1" t="s">
        <v>1339</v>
      </c>
      <c r="C689" s="1" t="s">
        <v>2350</v>
      </c>
      <c r="D689" s="1" t="s">
        <v>2351</v>
      </c>
      <c r="E689" s="1" t="s">
        <v>178</v>
      </c>
      <c r="F689" s="1" t="s">
        <v>1675</v>
      </c>
      <c r="G689" s="1" t="s">
        <v>215</v>
      </c>
      <c r="H689" s="1">
        <v>5</v>
      </c>
      <c r="I689" s="1">
        <v>0.37562499999999999</v>
      </c>
      <c r="K689" s="1" t="s">
        <v>181</v>
      </c>
    </row>
    <row r="690" spans="1:11" x14ac:dyDescent="0.25">
      <c r="A690" s="1" t="s">
        <v>2352</v>
      </c>
      <c r="B690" s="1" t="s">
        <v>2353</v>
      </c>
      <c r="C690" s="1" t="s">
        <v>2354</v>
      </c>
      <c r="D690" s="1" t="s">
        <v>2355</v>
      </c>
      <c r="E690" s="1" t="s">
        <v>178</v>
      </c>
      <c r="F690" s="1" t="s">
        <v>1675</v>
      </c>
      <c r="G690" s="1" t="s">
        <v>215</v>
      </c>
      <c r="H690" s="1">
        <v>5</v>
      </c>
      <c r="I690" s="1">
        <v>0.37562499999999999</v>
      </c>
      <c r="K690" s="1" t="s">
        <v>181</v>
      </c>
    </row>
    <row r="691" spans="1:11" x14ac:dyDescent="0.25">
      <c r="A691" s="1" t="s">
        <v>2356</v>
      </c>
      <c r="B691" s="1" t="s">
        <v>2353</v>
      </c>
      <c r="C691" s="1" t="s">
        <v>2357</v>
      </c>
      <c r="D691" s="1" t="s">
        <v>2358</v>
      </c>
      <c r="E691" s="1" t="s">
        <v>178</v>
      </c>
      <c r="F691" s="1" t="s">
        <v>1675</v>
      </c>
      <c r="G691" s="1" t="s">
        <v>215</v>
      </c>
      <c r="H691" s="1">
        <v>5</v>
      </c>
      <c r="I691" s="1">
        <v>0.37562499999999999</v>
      </c>
      <c r="K691" s="1" t="s">
        <v>181</v>
      </c>
    </row>
    <row r="692" spans="1:11" x14ac:dyDescent="0.25">
      <c r="A692" s="1" t="s">
        <v>2359</v>
      </c>
      <c r="B692" s="1" t="s">
        <v>2219</v>
      </c>
      <c r="C692" s="1" t="s">
        <v>2360</v>
      </c>
      <c r="D692" s="1" t="s">
        <v>2361</v>
      </c>
      <c r="E692" s="1" t="s">
        <v>178</v>
      </c>
      <c r="F692" s="1" t="s">
        <v>1675</v>
      </c>
      <c r="G692" s="1" t="s">
        <v>215</v>
      </c>
      <c r="H692" s="1">
        <v>5</v>
      </c>
      <c r="I692" s="1">
        <v>0.37562499999999999</v>
      </c>
      <c r="K692" s="1" t="s">
        <v>181</v>
      </c>
    </row>
    <row r="693" spans="1:11" x14ac:dyDescent="0.25">
      <c r="A693" s="1" t="s">
        <v>2362</v>
      </c>
      <c r="B693" s="1" t="s">
        <v>2353</v>
      </c>
      <c r="C693" s="1" t="s">
        <v>2363</v>
      </c>
      <c r="D693" s="1" t="s">
        <v>2364</v>
      </c>
      <c r="E693" s="1" t="s">
        <v>178</v>
      </c>
      <c r="F693" s="1" t="s">
        <v>1675</v>
      </c>
      <c r="G693" s="1" t="s">
        <v>215</v>
      </c>
      <c r="H693" s="1">
        <v>5</v>
      </c>
      <c r="I693" s="1">
        <v>0.37562499999999999</v>
      </c>
      <c r="K693" s="1" t="s">
        <v>181</v>
      </c>
    </row>
    <row r="694" spans="1:11" x14ac:dyDescent="0.25">
      <c r="A694" s="1" t="s">
        <v>2365</v>
      </c>
      <c r="B694" s="1" t="s">
        <v>2219</v>
      </c>
      <c r="C694" s="1" t="s">
        <v>2366</v>
      </c>
      <c r="D694" s="1" t="s">
        <v>2367</v>
      </c>
      <c r="E694" s="1" t="s">
        <v>178</v>
      </c>
      <c r="F694" s="1" t="s">
        <v>1675</v>
      </c>
      <c r="G694" s="1" t="s">
        <v>215</v>
      </c>
      <c r="H694" s="1">
        <v>5</v>
      </c>
      <c r="I694" s="1">
        <v>0.37562499999999999</v>
      </c>
      <c r="K694" s="1" t="s">
        <v>181</v>
      </c>
    </row>
    <row r="695" spans="1:11" x14ac:dyDescent="0.25">
      <c r="A695" s="1" t="s">
        <v>2368</v>
      </c>
      <c r="B695" s="1" t="s">
        <v>2353</v>
      </c>
      <c r="C695" s="1" t="s">
        <v>2369</v>
      </c>
      <c r="D695" s="1" t="s">
        <v>2370</v>
      </c>
      <c r="E695" s="1" t="s">
        <v>178</v>
      </c>
      <c r="F695" s="1" t="s">
        <v>1675</v>
      </c>
      <c r="G695" s="1" t="s">
        <v>215</v>
      </c>
      <c r="H695" s="1">
        <v>5</v>
      </c>
      <c r="I695" s="1">
        <v>0.37562499999999999</v>
      </c>
      <c r="K695" s="1" t="s">
        <v>181</v>
      </c>
    </row>
    <row r="696" spans="1:11" x14ac:dyDescent="0.25">
      <c r="A696" s="1" t="s">
        <v>2371</v>
      </c>
      <c r="B696" s="1" t="s">
        <v>2219</v>
      </c>
      <c r="C696" s="1" t="s">
        <v>2372</v>
      </c>
      <c r="D696" s="1" t="s">
        <v>2373</v>
      </c>
      <c r="E696" s="1" t="s">
        <v>178</v>
      </c>
      <c r="F696" s="1" t="s">
        <v>1675</v>
      </c>
      <c r="G696" s="1" t="s">
        <v>215</v>
      </c>
      <c r="H696" s="1">
        <v>5</v>
      </c>
      <c r="I696" s="1">
        <v>0.37562499999999999</v>
      </c>
      <c r="K696" s="1" t="s">
        <v>181</v>
      </c>
    </row>
    <row r="697" spans="1:11" x14ac:dyDescent="0.25">
      <c r="A697" s="1" t="s">
        <v>2374</v>
      </c>
      <c r="B697" s="1" t="s">
        <v>2375</v>
      </c>
      <c r="C697" s="1" t="s">
        <v>2376</v>
      </c>
      <c r="D697" s="1" t="s">
        <v>2377</v>
      </c>
      <c r="E697" s="1" t="s">
        <v>178</v>
      </c>
      <c r="F697" s="1" t="s">
        <v>1675</v>
      </c>
      <c r="G697" s="1" t="s">
        <v>215</v>
      </c>
      <c r="H697" s="1">
        <v>5</v>
      </c>
      <c r="I697" s="1">
        <v>0.37562499999999999</v>
      </c>
      <c r="K697" s="1" t="s">
        <v>181</v>
      </c>
    </row>
    <row r="698" spans="1:11" x14ac:dyDescent="0.25">
      <c r="A698" s="1" t="s">
        <v>2378</v>
      </c>
      <c r="B698" s="1" t="s">
        <v>2353</v>
      </c>
      <c r="C698" s="1" t="s">
        <v>2379</v>
      </c>
      <c r="D698" s="1" t="s">
        <v>2380</v>
      </c>
      <c r="E698" s="1" t="s">
        <v>178</v>
      </c>
      <c r="F698" s="1" t="s">
        <v>1675</v>
      </c>
      <c r="G698" s="1" t="s">
        <v>215</v>
      </c>
      <c r="H698" s="1">
        <v>5</v>
      </c>
      <c r="I698" s="1">
        <v>0.37562499999999999</v>
      </c>
      <c r="K698" s="1" t="s">
        <v>181</v>
      </c>
    </row>
    <row r="699" spans="1:11" x14ac:dyDescent="0.25">
      <c r="A699" s="1" t="s">
        <v>2381</v>
      </c>
      <c r="B699" s="1" t="s">
        <v>2219</v>
      </c>
      <c r="C699" s="1" t="s">
        <v>2382</v>
      </c>
      <c r="D699" s="1" t="s">
        <v>2383</v>
      </c>
      <c r="E699" s="1" t="s">
        <v>178</v>
      </c>
      <c r="F699" s="1" t="s">
        <v>1675</v>
      </c>
      <c r="G699" s="1" t="s">
        <v>215</v>
      </c>
      <c r="H699" s="1">
        <v>5</v>
      </c>
      <c r="I699" s="1">
        <v>0.37562499999999999</v>
      </c>
      <c r="K699" s="1" t="s">
        <v>181</v>
      </c>
    </row>
    <row r="700" spans="1:11" x14ac:dyDescent="0.25">
      <c r="A700" s="1" t="s">
        <v>2384</v>
      </c>
      <c r="B700" s="1" t="s">
        <v>2064</v>
      </c>
      <c r="C700" s="1" t="s">
        <v>2385</v>
      </c>
      <c r="D700" s="1" t="s">
        <v>2386</v>
      </c>
      <c r="E700" s="1" t="s">
        <v>178</v>
      </c>
      <c r="F700" s="1" t="s">
        <v>1675</v>
      </c>
      <c r="G700" s="1" t="s">
        <v>215</v>
      </c>
      <c r="H700" s="1">
        <v>5</v>
      </c>
      <c r="I700" s="1">
        <v>0.37562499999999999</v>
      </c>
      <c r="K700" s="1" t="s">
        <v>181</v>
      </c>
    </row>
    <row r="701" spans="1:11" x14ac:dyDescent="0.25">
      <c r="A701" s="1" t="s">
        <v>2387</v>
      </c>
      <c r="B701" s="1" t="s">
        <v>2064</v>
      </c>
      <c r="C701" s="1" t="s">
        <v>2388</v>
      </c>
      <c r="D701" s="1" t="s">
        <v>2389</v>
      </c>
      <c r="E701" s="1" t="s">
        <v>178</v>
      </c>
      <c r="F701" s="1" t="s">
        <v>1675</v>
      </c>
      <c r="G701" s="1" t="s">
        <v>215</v>
      </c>
      <c r="H701" s="1">
        <v>5</v>
      </c>
      <c r="I701" s="1">
        <v>0.37562499999999999</v>
      </c>
      <c r="K701" s="1" t="s">
        <v>181</v>
      </c>
    </row>
    <row r="702" spans="1:11" x14ac:dyDescent="0.25">
      <c r="A702" s="1" t="s">
        <v>2390</v>
      </c>
      <c r="B702" s="1" t="s">
        <v>2391</v>
      </c>
      <c r="C702" s="1" t="s">
        <v>2392</v>
      </c>
      <c r="D702" s="1" t="s">
        <v>2393</v>
      </c>
      <c r="E702" s="1" t="s">
        <v>178</v>
      </c>
      <c r="F702" s="1" t="s">
        <v>1675</v>
      </c>
      <c r="G702" s="1" t="s">
        <v>215</v>
      </c>
      <c r="H702" s="1">
        <v>5</v>
      </c>
      <c r="I702" s="1">
        <v>0.37562499999999999</v>
      </c>
      <c r="K702" s="1" t="s">
        <v>181</v>
      </c>
    </row>
    <row r="703" spans="1:11" x14ac:dyDescent="0.25">
      <c r="A703" s="1" t="s">
        <v>2394</v>
      </c>
      <c r="B703" s="1" t="s">
        <v>2079</v>
      </c>
      <c r="C703" s="1" t="s">
        <v>2395</v>
      </c>
      <c r="D703" s="1" t="s">
        <v>2396</v>
      </c>
      <c r="E703" s="1" t="s">
        <v>178</v>
      </c>
      <c r="F703" s="1" t="s">
        <v>1675</v>
      </c>
      <c r="G703" s="1" t="s">
        <v>215</v>
      </c>
      <c r="H703" s="1">
        <v>5</v>
      </c>
      <c r="I703" s="1">
        <v>0.37562499999999999</v>
      </c>
      <c r="K703" s="1" t="s">
        <v>181</v>
      </c>
    </row>
    <row r="704" spans="1:11" x14ac:dyDescent="0.25">
      <c r="A704" s="1" t="s">
        <v>2397</v>
      </c>
      <c r="B704" s="1" t="s">
        <v>2073</v>
      </c>
      <c r="C704" s="1" t="s">
        <v>2398</v>
      </c>
      <c r="D704" s="1" t="s">
        <v>2399</v>
      </c>
      <c r="E704" s="1" t="s">
        <v>178</v>
      </c>
      <c r="F704" s="1" t="s">
        <v>1675</v>
      </c>
      <c r="G704" s="1" t="s">
        <v>215</v>
      </c>
      <c r="H704" s="1">
        <v>5</v>
      </c>
      <c r="I704" s="1">
        <v>0.37562499999999999</v>
      </c>
      <c r="K704" s="1" t="s">
        <v>181</v>
      </c>
    </row>
    <row r="705" spans="1:11" x14ac:dyDescent="0.25">
      <c r="A705" s="1" t="s">
        <v>2400</v>
      </c>
      <c r="B705" s="1" t="s">
        <v>2073</v>
      </c>
      <c r="C705" s="1" t="s">
        <v>2401</v>
      </c>
      <c r="D705" s="1" t="s">
        <v>2402</v>
      </c>
      <c r="E705" s="1" t="s">
        <v>178</v>
      </c>
      <c r="F705" s="1" t="s">
        <v>1675</v>
      </c>
      <c r="G705" s="1" t="s">
        <v>215</v>
      </c>
      <c r="H705" s="1">
        <v>5</v>
      </c>
      <c r="I705" s="1">
        <v>0.37562499999999999</v>
      </c>
      <c r="K705" s="1" t="s">
        <v>181</v>
      </c>
    </row>
    <row r="706" spans="1:11" x14ac:dyDescent="0.25">
      <c r="A706" s="1" t="s">
        <v>2403</v>
      </c>
      <c r="B706" s="1" t="s">
        <v>2079</v>
      </c>
      <c r="C706" s="1" t="s">
        <v>2404</v>
      </c>
      <c r="D706" s="1" t="s">
        <v>2405</v>
      </c>
      <c r="E706" s="1" t="s">
        <v>178</v>
      </c>
      <c r="F706" s="1" t="s">
        <v>1675</v>
      </c>
      <c r="G706" s="1" t="s">
        <v>215</v>
      </c>
      <c r="H706" s="1">
        <v>5</v>
      </c>
      <c r="I706" s="1">
        <v>0.37562499999999999</v>
      </c>
      <c r="K706" s="1" t="s">
        <v>181</v>
      </c>
    </row>
    <row r="707" spans="1:11" x14ac:dyDescent="0.25">
      <c r="A707" s="1" t="s">
        <v>2406</v>
      </c>
      <c r="B707" s="1" t="s">
        <v>2407</v>
      </c>
      <c r="C707" s="1" t="s">
        <v>2408</v>
      </c>
      <c r="D707" s="1" t="s">
        <v>2409</v>
      </c>
      <c r="E707" s="1" t="s">
        <v>178</v>
      </c>
      <c r="F707" s="1" t="s">
        <v>1675</v>
      </c>
      <c r="G707" s="1" t="s">
        <v>215</v>
      </c>
      <c r="H707" s="1">
        <v>5</v>
      </c>
      <c r="I707" s="1">
        <v>0.37562499999999999</v>
      </c>
      <c r="K707" s="1" t="s">
        <v>181</v>
      </c>
    </row>
    <row r="708" spans="1:11" x14ac:dyDescent="0.25">
      <c r="A708" s="1" t="s">
        <v>2410</v>
      </c>
      <c r="B708" s="1" t="s">
        <v>2411</v>
      </c>
      <c r="C708" s="1" t="s">
        <v>2412</v>
      </c>
      <c r="D708" s="1" t="s">
        <v>2413</v>
      </c>
      <c r="E708" s="1" t="s">
        <v>178</v>
      </c>
      <c r="F708" s="1" t="s">
        <v>1675</v>
      </c>
      <c r="G708" s="1" t="s">
        <v>215</v>
      </c>
      <c r="H708" s="1">
        <v>5</v>
      </c>
      <c r="I708" s="1">
        <v>0.37562499999999999</v>
      </c>
      <c r="K708" s="1" t="s">
        <v>181</v>
      </c>
    </row>
    <row r="709" spans="1:11" x14ac:dyDescent="0.25">
      <c r="A709" s="1" t="s">
        <v>2414</v>
      </c>
      <c r="B709" s="1" t="s">
        <v>2415</v>
      </c>
      <c r="C709" s="1" t="s">
        <v>2416</v>
      </c>
      <c r="D709" s="1" t="s">
        <v>2417</v>
      </c>
      <c r="E709" s="1" t="s">
        <v>178</v>
      </c>
      <c r="F709" s="1" t="s">
        <v>1675</v>
      </c>
      <c r="G709" s="1" t="s">
        <v>215</v>
      </c>
      <c r="H709" s="1">
        <v>5</v>
      </c>
      <c r="I709" s="1">
        <v>0.37562499999999999</v>
      </c>
      <c r="K709" s="1" t="s">
        <v>181</v>
      </c>
    </row>
    <row r="710" spans="1:11" x14ac:dyDescent="0.25">
      <c r="A710" s="1" t="s">
        <v>2418</v>
      </c>
      <c r="B710" s="1" t="s">
        <v>1617</v>
      </c>
      <c r="C710" s="1" t="s">
        <v>2419</v>
      </c>
      <c r="D710" s="1" t="s">
        <v>2420</v>
      </c>
      <c r="E710" s="1" t="s">
        <v>178</v>
      </c>
      <c r="F710" s="1" t="s">
        <v>1675</v>
      </c>
      <c r="G710" s="1" t="s">
        <v>215</v>
      </c>
      <c r="H710" s="1">
        <v>5</v>
      </c>
      <c r="I710" s="1">
        <v>0.37562499999999999</v>
      </c>
      <c r="K710" s="1" t="s">
        <v>181</v>
      </c>
    </row>
    <row r="711" spans="1:11" x14ac:dyDescent="0.25">
      <c r="A711" s="1" t="s">
        <v>2421</v>
      </c>
      <c r="B711" s="1" t="s">
        <v>2422</v>
      </c>
      <c r="C711" s="1" t="s">
        <v>2423</v>
      </c>
      <c r="D711" s="1" t="s">
        <v>2424</v>
      </c>
      <c r="E711" s="1" t="s">
        <v>178</v>
      </c>
      <c r="F711" s="1" t="s">
        <v>1675</v>
      </c>
      <c r="G711" s="1" t="s">
        <v>215</v>
      </c>
      <c r="H711" s="1">
        <v>5</v>
      </c>
      <c r="I711" s="1">
        <v>0.37562499999999999</v>
      </c>
      <c r="K711" s="1" t="s">
        <v>181</v>
      </c>
    </row>
    <row r="712" spans="1:11" x14ac:dyDescent="0.25">
      <c r="A712" s="1" t="s">
        <v>2425</v>
      </c>
      <c r="B712" s="1" t="s">
        <v>2426</v>
      </c>
      <c r="C712" s="1" t="s">
        <v>2427</v>
      </c>
      <c r="D712" s="1" t="s">
        <v>2428</v>
      </c>
      <c r="E712" s="1" t="s">
        <v>178</v>
      </c>
      <c r="F712" s="1" t="s">
        <v>1675</v>
      </c>
      <c r="G712" s="1" t="s">
        <v>215</v>
      </c>
      <c r="H712" s="1">
        <v>5</v>
      </c>
      <c r="I712" s="1">
        <v>0.37562499999999999</v>
      </c>
      <c r="K712" s="1" t="s">
        <v>181</v>
      </c>
    </row>
    <row r="713" spans="1:11" x14ac:dyDescent="0.25">
      <c r="A713" s="1" t="s">
        <v>2429</v>
      </c>
      <c r="B713" s="1" t="s">
        <v>673</v>
      </c>
      <c r="C713" s="1" t="s">
        <v>2430</v>
      </c>
      <c r="D713" s="1" t="s">
        <v>2431</v>
      </c>
      <c r="E713" s="1" t="s">
        <v>178</v>
      </c>
      <c r="F713" s="1" t="s">
        <v>1675</v>
      </c>
      <c r="G713" s="1" t="s">
        <v>215</v>
      </c>
      <c r="H713" s="1">
        <v>5</v>
      </c>
      <c r="I713" s="1">
        <v>0.37562499999999999</v>
      </c>
      <c r="K713" s="1" t="s">
        <v>181</v>
      </c>
    </row>
    <row r="714" spans="1:11" x14ac:dyDescent="0.25">
      <c r="A714" s="1" t="s">
        <v>2432</v>
      </c>
      <c r="B714" s="1" t="s">
        <v>673</v>
      </c>
      <c r="C714" s="1" t="s">
        <v>2433</v>
      </c>
      <c r="D714" s="1" t="s">
        <v>2434</v>
      </c>
      <c r="E714" s="1" t="s">
        <v>178</v>
      </c>
      <c r="F714" s="1" t="s">
        <v>1675</v>
      </c>
      <c r="G714" s="1" t="s">
        <v>215</v>
      </c>
      <c r="H714" s="1">
        <v>5</v>
      </c>
      <c r="I714" s="1">
        <v>0.37562499999999999</v>
      </c>
      <c r="K714" s="1" t="s">
        <v>181</v>
      </c>
    </row>
    <row r="715" spans="1:11" x14ac:dyDescent="0.25">
      <c r="A715" s="1" t="s">
        <v>2435</v>
      </c>
      <c r="B715" s="1" t="s">
        <v>673</v>
      </c>
      <c r="C715" s="1" t="s">
        <v>2436</v>
      </c>
      <c r="D715" s="1" t="s">
        <v>2437</v>
      </c>
      <c r="E715" s="1" t="s">
        <v>178</v>
      </c>
      <c r="F715" s="1" t="s">
        <v>1675</v>
      </c>
      <c r="G715" s="1" t="s">
        <v>215</v>
      </c>
      <c r="H715" s="1">
        <v>5</v>
      </c>
      <c r="I715" s="1">
        <v>0.37562499999999999</v>
      </c>
      <c r="K715" s="1" t="s">
        <v>181</v>
      </c>
    </row>
    <row r="716" spans="1:11" x14ac:dyDescent="0.25">
      <c r="A716" s="1" t="s">
        <v>2438</v>
      </c>
      <c r="B716" s="1" t="s">
        <v>673</v>
      </c>
      <c r="C716" s="1" t="s">
        <v>2439</v>
      </c>
      <c r="D716" s="1" t="s">
        <v>2440</v>
      </c>
      <c r="E716" s="1" t="s">
        <v>178</v>
      </c>
      <c r="F716" s="1" t="s">
        <v>1675</v>
      </c>
      <c r="G716" s="1" t="s">
        <v>211</v>
      </c>
      <c r="H716" s="1">
        <v>5</v>
      </c>
      <c r="I716" s="1">
        <v>0.37562499999999999</v>
      </c>
      <c r="K716" s="1" t="s">
        <v>181</v>
      </c>
    </row>
    <row r="717" spans="1:11" x14ac:dyDescent="0.25">
      <c r="A717" s="1" t="s">
        <v>2441</v>
      </c>
      <c r="B717" s="1" t="s">
        <v>2442</v>
      </c>
      <c r="C717" s="1" t="s">
        <v>2443</v>
      </c>
      <c r="D717" s="1" t="s">
        <v>2444</v>
      </c>
      <c r="E717" s="1" t="s">
        <v>178</v>
      </c>
      <c r="F717" s="1" t="s">
        <v>1675</v>
      </c>
      <c r="G717" s="1" t="s">
        <v>211</v>
      </c>
      <c r="H717" s="1">
        <v>5</v>
      </c>
      <c r="I717" s="1">
        <v>0.37562499999999999</v>
      </c>
      <c r="K717" s="1" t="s">
        <v>181</v>
      </c>
    </row>
    <row r="718" spans="1:11" x14ac:dyDescent="0.25">
      <c r="A718" s="1" t="s">
        <v>2445</v>
      </c>
      <c r="B718" s="1" t="s">
        <v>2446</v>
      </c>
      <c r="C718" s="1" t="s">
        <v>2447</v>
      </c>
      <c r="D718" s="1" t="s">
        <v>2448</v>
      </c>
      <c r="E718" s="1" t="s">
        <v>178</v>
      </c>
      <c r="F718" s="1" t="s">
        <v>1675</v>
      </c>
      <c r="G718" s="1" t="s">
        <v>215</v>
      </c>
      <c r="H718" s="1">
        <v>5</v>
      </c>
      <c r="I718" s="1">
        <v>0.37562499999999999</v>
      </c>
      <c r="K718" s="1" t="s">
        <v>181</v>
      </c>
    </row>
    <row r="719" spans="1:11" x14ac:dyDescent="0.25">
      <c r="A719" s="1" t="s">
        <v>2449</v>
      </c>
      <c r="B719" s="1" t="s">
        <v>530</v>
      </c>
      <c r="C719" s="1" t="s">
        <v>2197</v>
      </c>
      <c r="D719" s="1" t="s">
        <v>2198</v>
      </c>
      <c r="E719" s="1" t="s">
        <v>178</v>
      </c>
      <c r="F719" s="1" t="s">
        <v>1675</v>
      </c>
      <c r="G719" s="1" t="s">
        <v>211</v>
      </c>
      <c r="H719" s="1">
        <v>5</v>
      </c>
      <c r="I719" s="1">
        <v>0.37562499999999999</v>
      </c>
      <c r="K719" s="1" t="s">
        <v>181</v>
      </c>
    </row>
    <row r="720" spans="1:11" x14ac:dyDescent="0.25">
      <c r="A720" s="1" t="s">
        <v>2450</v>
      </c>
      <c r="B720" s="1" t="s">
        <v>530</v>
      </c>
      <c r="C720" s="1" t="s">
        <v>2451</v>
      </c>
      <c r="D720" s="1" t="s">
        <v>2452</v>
      </c>
      <c r="E720" s="1" t="s">
        <v>178</v>
      </c>
      <c r="F720" s="1" t="s">
        <v>1675</v>
      </c>
      <c r="G720" s="1" t="s">
        <v>211</v>
      </c>
      <c r="H720" s="1">
        <v>5</v>
      </c>
      <c r="I720" s="1">
        <v>0.37562499999999999</v>
      </c>
      <c r="K720" s="1" t="s">
        <v>181</v>
      </c>
    </row>
    <row r="721" spans="1:11" x14ac:dyDescent="0.25">
      <c r="A721" s="1" t="s">
        <v>2453</v>
      </c>
      <c r="B721" s="1" t="s">
        <v>530</v>
      </c>
      <c r="C721" s="1" t="s">
        <v>2454</v>
      </c>
      <c r="D721" s="1" t="s">
        <v>2455</v>
      </c>
      <c r="E721" s="1" t="s">
        <v>178</v>
      </c>
      <c r="F721" s="1" t="s">
        <v>1675</v>
      </c>
      <c r="G721" s="1" t="s">
        <v>211</v>
      </c>
      <c r="H721" s="1">
        <v>5</v>
      </c>
      <c r="I721" s="1">
        <v>0.37562499999999999</v>
      </c>
      <c r="K721" s="1" t="s">
        <v>181</v>
      </c>
    </row>
    <row r="722" spans="1:11" x14ac:dyDescent="0.25">
      <c r="A722" s="1" t="s">
        <v>2456</v>
      </c>
      <c r="B722" s="1" t="s">
        <v>530</v>
      </c>
      <c r="C722" s="1" t="s">
        <v>2457</v>
      </c>
      <c r="D722" s="1" t="s">
        <v>2458</v>
      </c>
      <c r="E722" s="1" t="s">
        <v>178</v>
      </c>
      <c r="F722" s="1" t="s">
        <v>1675</v>
      </c>
      <c r="G722" s="1" t="s">
        <v>211</v>
      </c>
      <c r="H722" s="1">
        <v>5</v>
      </c>
      <c r="I722" s="1">
        <v>0.37562499999999999</v>
      </c>
      <c r="K722" s="1" t="s">
        <v>181</v>
      </c>
    </row>
    <row r="723" spans="1:11" x14ac:dyDescent="0.25">
      <c r="A723" s="1" t="s">
        <v>2459</v>
      </c>
      <c r="B723" s="1" t="s">
        <v>2460</v>
      </c>
      <c r="C723" s="1" t="s">
        <v>2461</v>
      </c>
      <c r="D723" s="1" t="s">
        <v>2462</v>
      </c>
      <c r="E723" s="1" t="s">
        <v>178</v>
      </c>
      <c r="F723" s="1" t="s">
        <v>1675</v>
      </c>
      <c r="G723" s="1" t="s">
        <v>215</v>
      </c>
      <c r="H723" s="1">
        <v>5</v>
      </c>
      <c r="I723" s="1">
        <v>0.37562499999999999</v>
      </c>
      <c r="K723" s="1" t="s">
        <v>181</v>
      </c>
    </row>
    <row r="724" spans="1:11" x14ac:dyDescent="0.25">
      <c r="A724" s="1" t="s">
        <v>2463</v>
      </c>
      <c r="B724" s="1" t="s">
        <v>530</v>
      </c>
      <c r="C724" s="1" t="s">
        <v>2464</v>
      </c>
      <c r="D724" s="1" t="s">
        <v>2465</v>
      </c>
      <c r="E724" s="1" t="s">
        <v>178</v>
      </c>
      <c r="F724" s="1" t="s">
        <v>1675</v>
      </c>
      <c r="G724" s="1" t="s">
        <v>211</v>
      </c>
      <c r="H724" s="1">
        <v>5</v>
      </c>
      <c r="I724" s="1">
        <v>0.37562499999999999</v>
      </c>
      <c r="K724" s="1" t="s">
        <v>181</v>
      </c>
    </row>
    <row r="725" spans="1:11" x14ac:dyDescent="0.25">
      <c r="A725" s="1" t="s">
        <v>2466</v>
      </c>
      <c r="B725" s="1" t="s">
        <v>1031</v>
      </c>
      <c r="C725" s="1" t="s">
        <v>2467</v>
      </c>
      <c r="D725" s="1" t="s">
        <v>2468</v>
      </c>
      <c r="E725" s="1" t="s">
        <v>178</v>
      </c>
      <c r="F725" s="1" t="s">
        <v>1675</v>
      </c>
      <c r="G725" s="1" t="s">
        <v>215</v>
      </c>
      <c r="H725" s="1">
        <v>5</v>
      </c>
      <c r="I725" s="1">
        <v>0.37562499999999999</v>
      </c>
      <c r="K725" s="1" t="s">
        <v>181</v>
      </c>
    </row>
    <row r="726" spans="1:11" x14ac:dyDescent="0.25">
      <c r="A726" s="1" t="s">
        <v>2469</v>
      </c>
      <c r="B726" s="1" t="s">
        <v>1031</v>
      </c>
      <c r="C726" s="1" t="s">
        <v>2470</v>
      </c>
      <c r="D726" s="1" t="s">
        <v>2471</v>
      </c>
      <c r="E726" s="1" t="s">
        <v>178</v>
      </c>
      <c r="F726" s="1" t="s">
        <v>1675</v>
      </c>
      <c r="G726" s="1" t="s">
        <v>215</v>
      </c>
      <c r="H726" s="1">
        <v>5</v>
      </c>
      <c r="I726" s="1">
        <v>0.37562499999999999</v>
      </c>
      <c r="K726" s="1" t="s">
        <v>181</v>
      </c>
    </row>
    <row r="727" spans="1:11" x14ac:dyDescent="0.25">
      <c r="A727" s="1" t="s">
        <v>2472</v>
      </c>
      <c r="B727" s="1" t="s">
        <v>1031</v>
      </c>
      <c r="C727" s="1" t="s">
        <v>2473</v>
      </c>
      <c r="D727" s="1" t="s">
        <v>2474</v>
      </c>
      <c r="E727" s="1" t="s">
        <v>178</v>
      </c>
      <c r="F727" s="1" t="s">
        <v>1675</v>
      </c>
      <c r="G727" s="1" t="s">
        <v>215</v>
      </c>
      <c r="H727" s="1">
        <v>5</v>
      </c>
      <c r="I727" s="1">
        <v>0.37562499999999999</v>
      </c>
      <c r="K727" s="1" t="s">
        <v>181</v>
      </c>
    </row>
    <row r="728" spans="1:11" x14ac:dyDescent="0.25">
      <c r="A728" s="1" t="s">
        <v>2475</v>
      </c>
      <c r="B728" s="1" t="s">
        <v>1031</v>
      </c>
      <c r="C728" s="1" t="s">
        <v>2476</v>
      </c>
      <c r="D728" s="1" t="s">
        <v>2477</v>
      </c>
      <c r="E728" s="1" t="s">
        <v>178</v>
      </c>
      <c r="F728" s="1" t="s">
        <v>1675</v>
      </c>
      <c r="G728" s="1" t="s">
        <v>215</v>
      </c>
      <c r="H728" s="1">
        <v>5</v>
      </c>
      <c r="I728" s="1">
        <v>0.37562499999999999</v>
      </c>
      <c r="K728" s="1" t="s">
        <v>181</v>
      </c>
    </row>
    <row r="729" spans="1:11" x14ac:dyDescent="0.25">
      <c r="A729" s="1" t="s">
        <v>2478</v>
      </c>
      <c r="B729" s="1" t="s">
        <v>1031</v>
      </c>
      <c r="C729" s="1" t="s">
        <v>2479</v>
      </c>
      <c r="D729" s="1" t="s">
        <v>2480</v>
      </c>
      <c r="E729" s="1" t="s">
        <v>178</v>
      </c>
      <c r="F729" s="1" t="s">
        <v>1675</v>
      </c>
      <c r="G729" s="1" t="s">
        <v>215</v>
      </c>
      <c r="H729" s="1">
        <v>5</v>
      </c>
      <c r="I729" s="1">
        <v>0.37562499999999999</v>
      </c>
      <c r="K729" s="1" t="s">
        <v>181</v>
      </c>
    </row>
    <row r="730" spans="1:11" x14ac:dyDescent="0.25">
      <c r="A730" s="1" t="s">
        <v>2481</v>
      </c>
      <c r="B730" s="1" t="s">
        <v>1031</v>
      </c>
      <c r="C730" s="1" t="s">
        <v>2482</v>
      </c>
      <c r="D730" s="1" t="s">
        <v>2483</v>
      </c>
      <c r="E730" s="1" t="s">
        <v>178</v>
      </c>
      <c r="F730" s="1" t="s">
        <v>1675</v>
      </c>
      <c r="G730" s="1" t="s">
        <v>215</v>
      </c>
      <c r="H730" s="1">
        <v>5</v>
      </c>
      <c r="I730" s="1">
        <v>0.37562499999999999</v>
      </c>
      <c r="K730" s="1" t="s">
        <v>181</v>
      </c>
    </row>
    <row r="731" spans="1:11" x14ac:dyDescent="0.25">
      <c r="A731" s="1" t="s">
        <v>2484</v>
      </c>
      <c r="B731" s="1" t="s">
        <v>1031</v>
      </c>
      <c r="C731" s="1" t="s">
        <v>2485</v>
      </c>
      <c r="D731" s="1" t="s">
        <v>2486</v>
      </c>
      <c r="E731" s="1" t="s">
        <v>178</v>
      </c>
      <c r="F731" s="1" t="s">
        <v>1675</v>
      </c>
      <c r="G731" s="1" t="s">
        <v>215</v>
      </c>
      <c r="H731" s="1">
        <v>5</v>
      </c>
      <c r="I731" s="1">
        <v>0.37562499999999999</v>
      </c>
      <c r="K731" s="1" t="s">
        <v>181</v>
      </c>
    </row>
    <row r="732" spans="1:11" x14ac:dyDescent="0.25">
      <c r="A732" s="1" t="s">
        <v>2487</v>
      </c>
      <c r="B732" s="1" t="s">
        <v>1031</v>
      </c>
      <c r="C732" s="1" t="s">
        <v>2488</v>
      </c>
      <c r="D732" s="1" t="s">
        <v>2489</v>
      </c>
      <c r="E732" s="1" t="s">
        <v>178</v>
      </c>
      <c r="F732" s="1" t="s">
        <v>1675</v>
      </c>
      <c r="G732" s="1" t="s">
        <v>215</v>
      </c>
      <c r="H732" s="1">
        <v>5</v>
      </c>
      <c r="I732" s="1">
        <v>0.37562499999999999</v>
      </c>
      <c r="K732" s="1" t="s">
        <v>181</v>
      </c>
    </row>
    <row r="733" spans="1:11" x14ac:dyDescent="0.25">
      <c r="A733" s="1" t="s">
        <v>2490</v>
      </c>
      <c r="B733" s="1" t="s">
        <v>1031</v>
      </c>
      <c r="C733" s="1" t="s">
        <v>2491</v>
      </c>
      <c r="D733" s="1" t="s">
        <v>2492</v>
      </c>
      <c r="E733" s="1" t="s">
        <v>178</v>
      </c>
      <c r="F733" s="1" t="s">
        <v>1675</v>
      </c>
      <c r="G733" s="1" t="s">
        <v>215</v>
      </c>
      <c r="H733" s="1">
        <v>5</v>
      </c>
      <c r="I733" s="1">
        <v>0.37562499999999999</v>
      </c>
      <c r="K733" s="1" t="s">
        <v>181</v>
      </c>
    </row>
    <row r="734" spans="1:11" x14ac:dyDescent="0.25">
      <c r="A734" s="1" t="s">
        <v>2493</v>
      </c>
      <c r="B734" s="1" t="s">
        <v>1031</v>
      </c>
      <c r="C734" s="1" t="s">
        <v>2494</v>
      </c>
      <c r="D734" s="1" t="s">
        <v>2495</v>
      </c>
      <c r="E734" s="1" t="s">
        <v>178</v>
      </c>
      <c r="F734" s="1" t="s">
        <v>1675</v>
      </c>
      <c r="G734" s="1" t="s">
        <v>215</v>
      </c>
      <c r="H734" s="1">
        <v>5</v>
      </c>
      <c r="I734" s="1">
        <v>0.37562499999999999</v>
      </c>
      <c r="K734" s="1" t="s">
        <v>181</v>
      </c>
    </row>
    <row r="735" spans="1:11" x14ac:dyDescent="0.25">
      <c r="A735" s="1" t="s">
        <v>2496</v>
      </c>
      <c r="B735" s="1" t="s">
        <v>1031</v>
      </c>
      <c r="C735" s="1" t="s">
        <v>2497</v>
      </c>
      <c r="D735" s="1" t="s">
        <v>2498</v>
      </c>
      <c r="E735" s="1" t="s">
        <v>178</v>
      </c>
      <c r="F735" s="1" t="s">
        <v>1675</v>
      </c>
      <c r="G735" s="1" t="s">
        <v>215</v>
      </c>
      <c r="H735" s="1">
        <v>5</v>
      </c>
      <c r="I735" s="1">
        <v>0.37562499999999999</v>
      </c>
      <c r="K735" s="1" t="s">
        <v>181</v>
      </c>
    </row>
    <row r="736" spans="1:11" x14ac:dyDescent="0.25">
      <c r="A736" s="1" t="s">
        <v>2499</v>
      </c>
      <c r="B736" s="1" t="s">
        <v>1031</v>
      </c>
      <c r="C736" s="1" t="s">
        <v>2500</v>
      </c>
      <c r="D736" s="1" t="s">
        <v>2501</v>
      </c>
      <c r="E736" s="1" t="s">
        <v>178</v>
      </c>
      <c r="F736" s="1" t="s">
        <v>1675</v>
      </c>
      <c r="G736" s="1" t="s">
        <v>215</v>
      </c>
      <c r="H736" s="1">
        <v>5</v>
      </c>
      <c r="I736" s="1">
        <v>0.37562499999999999</v>
      </c>
      <c r="K736" s="1" t="s">
        <v>181</v>
      </c>
    </row>
    <row r="737" spans="1:11" x14ac:dyDescent="0.25">
      <c r="A737" s="1" t="s">
        <v>2502</v>
      </c>
      <c r="B737" s="1" t="s">
        <v>1031</v>
      </c>
      <c r="C737" s="1" t="s">
        <v>2503</v>
      </c>
      <c r="D737" s="1" t="s">
        <v>2504</v>
      </c>
      <c r="E737" s="1" t="s">
        <v>178</v>
      </c>
      <c r="F737" s="1" t="s">
        <v>1675</v>
      </c>
      <c r="G737" s="1" t="s">
        <v>215</v>
      </c>
      <c r="H737" s="1">
        <v>5</v>
      </c>
      <c r="I737" s="1">
        <v>0.37562499999999999</v>
      </c>
      <c r="K737" s="1" t="s">
        <v>181</v>
      </c>
    </row>
    <row r="738" spans="1:11" x14ac:dyDescent="0.25">
      <c r="A738" s="1" t="s">
        <v>2505</v>
      </c>
      <c r="B738" s="1" t="s">
        <v>2506</v>
      </c>
      <c r="C738" s="1" t="s">
        <v>2507</v>
      </c>
      <c r="D738" s="1" t="s">
        <v>2508</v>
      </c>
      <c r="E738" s="1" t="s">
        <v>178</v>
      </c>
      <c r="F738" s="1" t="s">
        <v>1675</v>
      </c>
      <c r="G738" s="1" t="s">
        <v>215</v>
      </c>
      <c r="H738" s="1">
        <v>5</v>
      </c>
      <c r="I738" s="1">
        <v>0.37562499999999999</v>
      </c>
      <c r="K738" s="1" t="s">
        <v>181</v>
      </c>
    </row>
    <row r="739" spans="1:11" x14ac:dyDescent="0.25">
      <c r="A739" s="1" t="s">
        <v>2509</v>
      </c>
      <c r="B739" s="1" t="s">
        <v>1031</v>
      </c>
      <c r="C739" s="1" t="s">
        <v>2510</v>
      </c>
      <c r="D739" s="1" t="s">
        <v>2511</v>
      </c>
      <c r="E739" s="1" t="s">
        <v>178</v>
      </c>
      <c r="F739" s="1" t="s">
        <v>1675</v>
      </c>
      <c r="G739" s="1" t="s">
        <v>215</v>
      </c>
      <c r="H739" s="1">
        <v>5</v>
      </c>
      <c r="I739" s="1">
        <v>0.37562499999999999</v>
      </c>
      <c r="K739" s="1" t="s">
        <v>181</v>
      </c>
    </row>
    <row r="740" spans="1:11" x14ac:dyDescent="0.25">
      <c r="A740" s="1" t="s">
        <v>2512</v>
      </c>
      <c r="B740" s="1" t="s">
        <v>2513</v>
      </c>
      <c r="C740" s="1" t="s">
        <v>2514</v>
      </c>
      <c r="D740" s="1" t="s">
        <v>2515</v>
      </c>
      <c r="E740" s="1" t="s">
        <v>178</v>
      </c>
      <c r="F740" s="1" t="s">
        <v>1675</v>
      </c>
      <c r="G740" s="1" t="s">
        <v>215</v>
      </c>
      <c r="H740" s="1">
        <v>5</v>
      </c>
      <c r="I740" s="1">
        <v>0.37562499999999999</v>
      </c>
      <c r="K740" s="1" t="s">
        <v>181</v>
      </c>
    </row>
    <row r="741" spans="1:11" x14ac:dyDescent="0.25">
      <c r="A741" s="1" t="s">
        <v>2516</v>
      </c>
      <c r="B741" s="1" t="s">
        <v>1031</v>
      </c>
      <c r="C741" s="1" t="s">
        <v>2517</v>
      </c>
      <c r="D741" s="1" t="s">
        <v>2518</v>
      </c>
      <c r="E741" s="1" t="s">
        <v>178</v>
      </c>
      <c r="F741" s="1" t="s">
        <v>1675</v>
      </c>
      <c r="G741" s="1" t="s">
        <v>215</v>
      </c>
      <c r="H741" s="1">
        <v>5</v>
      </c>
      <c r="I741" s="1">
        <v>0.37562499999999999</v>
      </c>
      <c r="K741" s="1" t="s">
        <v>181</v>
      </c>
    </row>
    <row r="742" spans="1:11" x14ac:dyDescent="0.25">
      <c r="A742" s="1" t="s">
        <v>2519</v>
      </c>
      <c r="B742" s="1" t="s">
        <v>1031</v>
      </c>
      <c r="C742" s="1" t="s">
        <v>2520</v>
      </c>
      <c r="D742" s="1" t="s">
        <v>2521</v>
      </c>
      <c r="E742" s="1" t="s">
        <v>178</v>
      </c>
      <c r="F742" s="1" t="s">
        <v>1675</v>
      </c>
      <c r="G742" s="1" t="s">
        <v>215</v>
      </c>
      <c r="H742" s="1">
        <v>5</v>
      </c>
      <c r="I742" s="1">
        <v>0.37562499999999999</v>
      </c>
      <c r="K742" s="1" t="s">
        <v>181</v>
      </c>
    </row>
    <row r="743" spans="1:11" x14ac:dyDescent="0.25">
      <c r="A743" s="1" t="s">
        <v>2522</v>
      </c>
      <c r="B743" s="1" t="s">
        <v>1031</v>
      </c>
      <c r="C743" s="1" t="s">
        <v>2523</v>
      </c>
      <c r="D743" s="1" t="s">
        <v>2524</v>
      </c>
      <c r="E743" s="1" t="s">
        <v>178</v>
      </c>
      <c r="F743" s="1" t="s">
        <v>1675</v>
      </c>
      <c r="G743" s="1" t="s">
        <v>215</v>
      </c>
      <c r="H743" s="1">
        <v>5</v>
      </c>
      <c r="I743" s="1">
        <v>0.37562499999999999</v>
      </c>
      <c r="K743" s="1" t="s">
        <v>181</v>
      </c>
    </row>
    <row r="744" spans="1:11" x14ac:dyDescent="0.25">
      <c r="A744" s="1" t="s">
        <v>2525</v>
      </c>
      <c r="B744" s="1" t="s">
        <v>1031</v>
      </c>
      <c r="C744" s="1" t="s">
        <v>2526</v>
      </c>
      <c r="D744" s="1" t="s">
        <v>2527</v>
      </c>
      <c r="E744" s="1" t="s">
        <v>178</v>
      </c>
      <c r="F744" s="1" t="s">
        <v>1675</v>
      </c>
      <c r="G744" s="1" t="s">
        <v>215</v>
      </c>
      <c r="H744" s="1">
        <v>5</v>
      </c>
      <c r="I744" s="1">
        <v>0.37562499999999999</v>
      </c>
      <c r="K744" s="1" t="s">
        <v>181</v>
      </c>
    </row>
    <row r="745" spans="1:11" x14ac:dyDescent="0.25">
      <c r="A745" s="1" t="s">
        <v>2528</v>
      </c>
      <c r="B745" s="1" t="s">
        <v>1031</v>
      </c>
      <c r="C745" s="1" t="s">
        <v>2529</v>
      </c>
      <c r="D745" s="1" t="s">
        <v>2530</v>
      </c>
      <c r="E745" s="1" t="s">
        <v>178</v>
      </c>
      <c r="F745" s="1" t="s">
        <v>1675</v>
      </c>
      <c r="G745" s="1" t="s">
        <v>215</v>
      </c>
      <c r="H745" s="1">
        <v>5</v>
      </c>
      <c r="I745" s="1">
        <v>0.37562499999999999</v>
      </c>
      <c r="K745" s="1" t="s">
        <v>181</v>
      </c>
    </row>
    <row r="746" spans="1:11" x14ac:dyDescent="0.25">
      <c r="A746" s="1" t="s">
        <v>2531</v>
      </c>
      <c r="B746" s="1" t="s">
        <v>1031</v>
      </c>
      <c r="C746" s="1" t="s">
        <v>2532</v>
      </c>
      <c r="D746" s="1" t="s">
        <v>2533</v>
      </c>
      <c r="E746" s="1" t="s">
        <v>178</v>
      </c>
      <c r="F746" s="1" t="s">
        <v>1675</v>
      </c>
      <c r="G746" s="1" t="s">
        <v>215</v>
      </c>
      <c r="H746" s="1">
        <v>5</v>
      </c>
      <c r="I746" s="1">
        <v>0.37562499999999999</v>
      </c>
      <c r="K746" s="1" t="s">
        <v>181</v>
      </c>
    </row>
    <row r="747" spans="1:11" x14ac:dyDescent="0.25">
      <c r="A747" s="1" t="s">
        <v>2534</v>
      </c>
      <c r="B747" s="1" t="s">
        <v>1031</v>
      </c>
      <c r="C747" s="1" t="s">
        <v>2535</v>
      </c>
      <c r="D747" s="1" t="s">
        <v>2536</v>
      </c>
      <c r="E747" s="1" t="s">
        <v>178</v>
      </c>
      <c r="F747" s="1" t="s">
        <v>1675</v>
      </c>
      <c r="G747" s="1" t="s">
        <v>215</v>
      </c>
      <c r="H747" s="1">
        <v>5</v>
      </c>
      <c r="I747" s="1">
        <v>0.37562499999999999</v>
      </c>
      <c r="K747" s="1" t="s">
        <v>181</v>
      </c>
    </row>
    <row r="748" spans="1:11" x14ac:dyDescent="0.25">
      <c r="A748" s="1" t="s">
        <v>2537</v>
      </c>
      <c r="B748" s="1" t="s">
        <v>1247</v>
      </c>
      <c r="C748" s="1" t="s">
        <v>2538</v>
      </c>
      <c r="D748" s="1" t="s">
        <v>2539</v>
      </c>
      <c r="E748" s="1" t="s">
        <v>178</v>
      </c>
      <c r="F748" s="1" t="s">
        <v>1675</v>
      </c>
      <c r="G748" s="1" t="s">
        <v>215</v>
      </c>
      <c r="H748" s="1">
        <v>5</v>
      </c>
      <c r="I748" s="1">
        <v>0.37562499999999999</v>
      </c>
      <c r="K748" s="1" t="s">
        <v>181</v>
      </c>
    </row>
    <row r="749" spans="1:11" x14ac:dyDescent="0.25">
      <c r="A749" s="1" t="s">
        <v>2540</v>
      </c>
      <c r="B749" s="1" t="s">
        <v>2541</v>
      </c>
      <c r="C749" s="1" t="s">
        <v>2542</v>
      </c>
      <c r="D749" s="1" t="s">
        <v>2543</v>
      </c>
      <c r="E749" s="1" t="s">
        <v>178</v>
      </c>
      <c r="F749" s="1" t="s">
        <v>1675</v>
      </c>
      <c r="G749" s="1" t="s">
        <v>215</v>
      </c>
      <c r="H749" s="1">
        <v>5</v>
      </c>
      <c r="I749" s="1">
        <v>0.37562499999999999</v>
      </c>
      <c r="K749" s="1" t="s">
        <v>181</v>
      </c>
    </row>
    <row r="750" spans="1:11" x14ac:dyDescent="0.25">
      <c r="A750" s="1" t="s">
        <v>2544</v>
      </c>
      <c r="B750" s="1" t="s">
        <v>1031</v>
      </c>
      <c r="C750" s="1" t="s">
        <v>2545</v>
      </c>
      <c r="D750" s="1" t="s">
        <v>2546</v>
      </c>
      <c r="E750" s="1" t="s">
        <v>178</v>
      </c>
      <c r="F750" s="1" t="s">
        <v>1675</v>
      </c>
      <c r="G750" s="1" t="s">
        <v>215</v>
      </c>
      <c r="H750" s="1">
        <v>5</v>
      </c>
      <c r="I750" s="1">
        <v>0.37562499999999999</v>
      </c>
      <c r="K750" s="1" t="s">
        <v>181</v>
      </c>
    </row>
    <row r="751" spans="1:11" x14ac:dyDescent="0.25">
      <c r="A751" s="1" t="s">
        <v>2547</v>
      </c>
      <c r="B751" s="1" t="s">
        <v>1422</v>
      </c>
      <c r="C751" s="1" t="s">
        <v>2548</v>
      </c>
      <c r="D751" s="1" t="s">
        <v>2549</v>
      </c>
      <c r="E751" s="1" t="s">
        <v>178</v>
      </c>
      <c r="F751" s="1" t="s">
        <v>1675</v>
      </c>
      <c r="G751" s="1" t="s">
        <v>215</v>
      </c>
      <c r="H751" s="1">
        <v>5</v>
      </c>
      <c r="I751" s="1">
        <v>0.37562499999999999</v>
      </c>
      <c r="K751" s="1" t="s">
        <v>181</v>
      </c>
    </row>
    <row r="752" spans="1:11" x14ac:dyDescent="0.25">
      <c r="A752" s="1" t="s">
        <v>2550</v>
      </c>
      <c r="B752" s="1" t="s">
        <v>1031</v>
      </c>
      <c r="C752" s="1" t="s">
        <v>2551</v>
      </c>
      <c r="D752" s="1" t="s">
        <v>2552</v>
      </c>
      <c r="E752" s="1" t="s">
        <v>178</v>
      </c>
      <c r="F752" s="1" t="s">
        <v>1675</v>
      </c>
      <c r="G752" s="1" t="s">
        <v>215</v>
      </c>
      <c r="H752" s="1">
        <v>5</v>
      </c>
      <c r="I752" s="1">
        <v>0.37562499999999999</v>
      </c>
      <c r="K752" s="1" t="s">
        <v>181</v>
      </c>
    </row>
    <row r="753" spans="1:11" x14ac:dyDescent="0.25">
      <c r="A753" s="1" t="s">
        <v>2553</v>
      </c>
      <c r="B753" s="1" t="s">
        <v>1031</v>
      </c>
      <c r="C753" s="1" t="s">
        <v>2554</v>
      </c>
      <c r="D753" s="1" t="s">
        <v>2555</v>
      </c>
      <c r="E753" s="1" t="s">
        <v>178</v>
      </c>
      <c r="F753" s="1" t="s">
        <v>1675</v>
      </c>
      <c r="G753" s="1" t="s">
        <v>215</v>
      </c>
      <c r="H753" s="1">
        <v>5</v>
      </c>
      <c r="I753" s="1">
        <v>0.37562499999999999</v>
      </c>
      <c r="K753" s="1" t="s">
        <v>181</v>
      </c>
    </row>
    <row r="754" spans="1:11" x14ac:dyDescent="0.25">
      <c r="A754" s="1" t="s">
        <v>2556</v>
      </c>
      <c r="B754" s="1" t="s">
        <v>1031</v>
      </c>
      <c r="C754" s="1" t="s">
        <v>2557</v>
      </c>
      <c r="D754" s="1" t="s">
        <v>2558</v>
      </c>
      <c r="E754" s="1" t="s">
        <v>178</v>
      </c>
      <c r="F754" s="1" t="s">
        <v>1675</v>
      </c>
      <c r="G754" s="1" t="s">
        <v>215</v>
      </c>
      <c r="H754" s="1">
        <v>5</v>
      </c>
      <c r="I754" s="1">
        <v>0.37562499999999999</v>
      </c>
      <c r="K754" s="1" t="s">
        <v>181</v>
      </c>
    </row>
    <row r="755" spans="1:11" x14ac:dyDescent="0.25">
      <c r="A755" s="1" t="s">
        <v>2559</v>
      </c>
      <c r="B755" s="1" t="s">
        <v>1031</v>
      </c>
      <c r="C755" s="1" t="s">
        <v>2560</v>
      </c>
      <c r="D755" s="1" t="s">
        <v>2561</v>
      </c>
      <c r="E755" s="1" t="s">
        <v>178</v>
      </c>
      <c r="F755" s="1" t="s">
        <v>1675</v>
      </c>
      <c r="G755" s="1" t="s">
        <v>215</v>
      </c>
      <c r="H755" s="1">
        <v>5</v>
      </c>
      <c r="I755" s="1">
        <v>0.37562499999999999</v>
      </c>
      <c r="K755" s="1" t="s">
        <v>181</v>
      </c>
    </row>
    <row r="756" spans="1:11" x14ac:dyDescent="0.25">
      <c r="A756" s="1" t="s">
        <v>2562</v>
      </c>
      <c r="B756" s="1" t="s">
        <v>1247</v>
      </c>
      <c r="C756" s="1" t="s">
        <v>2563</v>
      </c>
      <c r="D756" s="1" t="s">
        <v>2564</v>
      </c>
      <c r="E756" s="1" t="s">
        <v>178</v>
      </c>
      <c r="F756" s="1" t="s">
        <v>1675</v>
      </c>
      <c r="G756" s="1" t="s">
        <v>215</v>
      </c>
      <c r="H756" s="1">
        <v>5</v>
      </c>
      <c r="I756" s="1">
        <v>0.37562499999999999</v>
      </c>
      <c r="K756" s="1" t="s">
        <v>181</v>
      </c>
    </row>
    <row r="757" spans="1:11" x14ac:dyDescent="0.25">
      <c r="A757" s="1" t="s">
        <v>2565</v>
      </c>
      <c r="B757" s="1" t="s">
        <v>1247</v>
      </c>
      <c r="C757" s="1" t="s">
        <v>2566</v>
      </c>
      <c r="D757" s="1" t="s">
        <v>2567</v>
      </c>
      <c r="E757" s="1" t="s">
        <v>178</v>
      </c>
      <c r="F757" s="1" t="s">
        <v>1675</v>
      </c>
      <c r="G757" s="1" t="s">
        <v>215</v>
      </c>
      <c r="H757" s="1">
        <v>5</v>
      </c>
      <c r="I757" s="1">
        <v>0.37562499999999999</v>
      </c>
      <c r="K757" s="1" t="s">
        <v>181</v>
      </c>
    </row>
    <row r="758" spans="1:11" x14ac:dyDescent="0.25">
      <c r="A758" s="1" t="s">
        <v>2568</v>
      </c>
      <c r="B758" s="1" t="s">
        <v>1031</v>
      </c>
      <c r="C758" s="1" t="s">
        <v>2569</v>
      </c>
      <c r="D758" s="1" t="s">
        <v>2570</v>
      </c>
      <c r="E758" s="1" t="s">
        <v>178</v>
      </c>
      <c r="F758" s="1" t="s">
        <v>1675</v>
      </c>
      <c r="G758" s="1" t="s">
        <v>215</v>
      </c>
      <c r="H758" s="1">
        <v>5</v>
      </c>
      <c r="I758" s="1">
        <v>0.37562499999999999</v>
      </c>
      <c r="K758" s="1" t="s">
        <v>181</v>
      </c>
    </row>
    <row r="759" spans="1:11" x14ac:dyDescent="0.25">
      <c r="A759" s="1" t="s">
        <v>2571</v>
      </c>
      <c r="B759" s="1" t="s">
        <v>1247</v>
      </c>
      <c r="C759" s="1" t="s">
        <v>2572</v>
      </c>
      <c r="D759" s="1" t="s">
        <v>2573</v>
      </c>
      <c r="E759" s="1" t="s">
        <v>178</v>
      </c>
      <c r="F759" s="1" t="s">
        <v>1675</v>
      </c>
      <c r="G759" s="1" t="s">
        <v>215</v>
      </c>
      <c r="H759" s="1">
        <v>5</v>
      </c>
      <c r="I759" s="1">
        <v>0.37562499999999999</v>
      </c>
      <c r="K759" s="1" t="s">
        <v>181</v>
      </c>
    </row>
    <row r="760" spans="1:11" x14ac:dyDescent="0.25">
      <c r="A760" s="1" t="s">
        <v>2574</v>
      </c>
      <c r="B760" s="1" t="s">
        <v>1031</v>
      </c>
      <c r="C760" s="1" t="s">
        <v>2575</v>
      </c>
      <c r="D760" s="1" t="s">
        <v>2576</v>
      </c>
      <c r="E760" s="1" t="s">
        <v>178</v>
      </c>
      <c r="F760" s="1" t="s">
        <v>1675</v>
      </c>
      <c r="G760" s="1" t="s">
        <v>215</v>
      </c>
      <c r="H760" s="1">
        <v>5</v>
      </c>
      <c r="I760" s="1">
        <v>0.37562499999999999</v>
      </c>
      <c r="K760" s="1" t="s">
        <v>181</v>
      </c>
    </row>
    <row r="761" spans="1:11" x14ac:dyDescent="0.25">
      <c r="A761" s="1" t="s">
        <v>2577</v>
      </c>
      <c r="B761" s="1" t="s">
        <v>1268</v>
      </c>
      <c r="C761" s="1" t="s">
        <v>2578</v>
      </c>
      <c r="D761" s="1" t="s">
        <v>2579</v>
      </c>
      <c r="E761" s="1" t="s">
        <v>178</v>
      </c>
      <c r="F761" s="1" t="s">
        <v>1675</v>
      </c>
      <c r="G761" s="1" t="s">
        <v>215</v>
      </c>
      <c r="H761" s="1">
        <v>5</v>
      </c>
      <c r="I761" s="1">
        <v>0.37562499999999999</v>
      </c>
      <c r="K761" s="1" t="s">
        <v>181</v>
      </c>
    </row>
    <row r="762" spans="1:11" x14ac:dyDescent="0.25">
      <c r="A762" s="1" t="s">
        <v>2580</v>
      </c>
      <c r="B762" s="1" t="s">
        <v>1031</v>
      </c>
      <c r="C762" s="1" t="s">
        <v>2581</v>
      </c>
      <c r="D762" s="1" t="s">
        <v>2582</v>
      </c>
      <c r="E762" s="1" t="s">
        <v>178</v>
      </c>
      <c r="F762" s="1" t="s">
        <v>1675</v>
      </c>
      <c r="G762" s="1" t="s">
        <v>215</v>
      </c>
      <c r="H762" s="1">
        <v>5</v>
      </c>
      <c r="I762" s="1">
        <v>0.37562499999999999</v>
      </c>
      <c r="K762" s="1" t="s">
        <v>181</v>
      </c>
    </row>
    <row r="763" spans="1:11" x14ac:dyDescent="0.25">
      <c r="A763" s="1" t="s">
        <v>2583</v>
      </c>
      <c r="B763" s="1" t="s">
        <v>1268</v>
      </c>
      <c r="C763" s="1" t="s">
        <v>2584</v>
      </c>
      <c r="D763" s="1" t="s">
        <v>2585</v>
      </c>
      <c r="E763" s="1" t="s">
        <v>178</v>
      </c>
      <c r="F763" s="1" t="s">
        <v>1675</v>
      </c>
      <c r="G763" s="1" t="s">
        <v>215</v>
      </c>
      <c r="H763" s="1">
        <v>5</v>
      </c>
      <c r="I763" s="1">
        <v>0.37562499999999999</v>
      </c>
      <c r="K763" s="1" t="s">
        <v>181</v>
      </c>
    </row>
    <row r="764" spans="1:11" x14ac:dyDescent="0.25">
      <c r="A764" s="1" t="s">
        <v>2586</v>
      </c>
      <c r="B764" s="1" t="s">
        <v>1284</v>
      </c>
      <c r="C764" s="1" t="s">
        <v>2587</v>
      </c>
      <c r="D764" s="1" t="s">
        <v>2588</v>
      </c>
      <c r="E764" s="1" t="s">
        <v>178</v>
      </c>
      <c r="F764" s="1" t="s">
        <v>1675</v>
      </c>
      <c r="G764" s="1" t="s">
        <v>215</v>
      </c>
      <c r="H764" s="1">
        <v>5</v>
      </c>
      <c r="I764" s="1">
        <v>0.37562499999999999</v>
      </c>
      <c r="K764" s="1" t="s">
        <v>181</v>
      </c>
    </row>
    <row r="765" spans="1:11" x14ac:dyDescent="0.25">
      <c r="A765" s="1" t="s">
        <v>2589</v>
      </c>
      <c r="B765" s="1" t="s">
        <v>1031</v>
      </c>
      <c r="C765" s="1" t="s">
        <v>2590</v>
      </c>
      <c r="D765" s="1" t="s">
        <v>2591</v>
      </c>
      <c r="E765" s="1" t="s">
        <v>178</v>
      </c>
      <c r="F765" s="1" t="s">
        <v>1675</v>
      </c>
      <c r="G765" s="1" t="s">
        <v>215</v>
      </c>
      <c r="H765" s="1">
        <v>5</v>
      </c>
      <c r="I765" s="1">
        <v>0.37562499999999999</v>
      </c>
      <c r="K765" s="1" t="s">
        <v>181</v>
      </c>
    </row>
    <row r="766" spans="1:11" x14ac:dyDescent="0.25">
      <c r="A766" s="1" t="s">
        <v>2592</v>
      </c>
      <c r="B766" s="1" t="s">
        <v>1031</v>
      </c>
      <c r="C766" s="1" t="s">
        <v>2593</v>
      </c>
      <c r="D766" s="1" t="s">
        <v>2594</v>
      </c>
      <c r="E766" s="1" t="s">
        <v>178</v>
      </c>
      <c r="F766" s="1" t="s">
        <v>1675</v>
      </c>
      <c r="G766" s="1" t="s">
        <v>215</v>
      </c>
      <c r="H766" s="1">
        <v>5</v>
      </c>
      <c r="I766" s="1">
        <v>0.37562499999999999</v>
      </c>
      <c r="K766" s="1" t="s">
        <v>181</v>
      </c>
    </row>
    <row r="767" spans="1:11" x14ac:dyDescent="0.25">
      <c r="A767" s="1" t="s">
        <v>2595</v>
      </c>
      <c r="B767" s="1" t="s">
        <v>1031</v>
      </c>
      <c r="C767" s="1" t="s">
        <v>2596</v>
      </c>
      <c r="D767" s="1" t="s">
        <v>2597</v>
      </c>
      <c r="E767" s="1" t="s">
        <v>178</v>
      </c>
      <c r="F767" s="1" t="s">
        <v>1675</v>
      </c>
      <c r="G767" s="1" t="s">
        <v>215</v>
      </c>
      <c r="H767" s="1">
        <v>5</v>
      </c>
      <c r="I767" s="1">
        <v>0.37562499999999999</v>
      </c>
      <c r="K767" s="1" t="s">
        <v>181</v>
      </c>
    </row>
    <row r="768" spans="1:11" x14ac:dyDescent="0.25">
      <c r="A768" s="1" t="s">
        <v>2598</v>
      </c>
      <c r="B768" s="1" t="s">
        <v>1031</v>
      </c>
      <c r="C768" s="1" t="s">
        <v>2599</v>
      </c>
      <c r="D768" s="1" t="s">
        <v>2600</v>
      </c>
      <c r="E768" s="1" t="s">
        <v>178</v>
      </c>
      <c r="F768" s="1" t="s">
        <v>1675</v>
      </c>
      <c r="G768" s="1" t="s">
        <v>215</v>
      </c>
      <c r="H768" s="1">
        <v>5</v>
      </c>
      <c r="I768" s="1">
        <v>0.37562499999999999</v>
      </c>
      <c r="K768" s="1" t="s">
        <v>181</v>
      </c>
    </row>
    <row r="769" spans="1:11" x14ac:dyDescent="0.25">
      <c r="A769" s="1" t="s">
        <v>2601</v>
      </c>
      <c r="B769" s="1" t="s">
        <v>1031</v>
      </c>
      <c r="C769" s="1" t="s">
        <v>2602</v>
      </c>
      <c r="D769" s="1" t="s">
        <v>2603</v>
      </c>
      <c r="E769" s="1" t="s">
        <v>178</v>
      </c>
      <c r="F769" s="1" t="s">
        <v>1675</v>
      </c>
      <c r="G769" s="1" t="s">
        <v>215</v>
      </c>
      <c r="H769" s="1">
        <v>5</v>
      </c>
      <c r="I769" s="1">
        <v>0.37562499999999999</v>
      </c>
      <c r="K769" s="1" t="s">
        <v>181</v>
      </c>
    </row>
    <row r="770" spans="1:11" x14ac:dyDescent="0.25">
      <c r="A770" s="1" t="s">
        <v>2604</v>
      </c>
      <c r="B770" s="1" t="s">
        <v>1031</v>
      </c>
      <c r="C770" s="1" t="s">
        <v>2605</v>
      </c>
      <c r="D770" s="1" t="s">
        <v>2606</v>
      </c>
      <c r="E770" s="1" t="s">
        <v>178</v>
      </c>
      <c r="F770" s="1" t="s">
        <v>1675</v>
      </c>
      <c r="G770" s="1" t="s">
        <v>215</v>
      </c>
      <c r="H770" s="1">
        <v>5</v>
      </c>
      <c r="I770" s="1">
        <v>0.37562499999999999</v>
      </c>
      <c r="K770" s="1" t="s">
        <v>181</v>
      </c>
    </row>
    <row r="771" spans="1:11" x14ac:dyDescent="0.25">
      <c r="A771" s="1" t="s">
        <v>2607</v>
      </c>
      <c r="B771" s="1" t="s">
        <v>1031</v>
      </c>
      <c r="C771" s="1" t="s">
        <v>2608</v>
      </c>
      <c r="D771" s="1" t="s">
        <v>2609</v>
      </c>
      <c r="E771" s="1" t="s">
        <v>178</v>
      </c>
      <c r="F771" s="1" t="s">
        <v>1675</v>
      </c>
      <c r="G771" s="1" t="s">
        <v>215</v>
      </c>
      <c r="H771" s="1">
        <v>5</v>
      </c>
      <c r="I771" s="1">
        <v>0.37562499999999999</v>
      </c>
      <c r="K771" s="1" t="s">
        <v>181</v>
      </c>
    </row>
    <row r="772" spans="1:11" x14ac:dyDescent="0.25">
      <c r="A772" s="1" t="s">
        <v>2610</v>
      </c>
      <c r="B772" s="1" t="s">
        <v>1031</v>
      </c>
      <c r="C772" s="1" t="s">
        <v>2611</v>
      </c>
      <c r="D772" s="1" t="s">
        <v>2612</v>
      </c>
      <c r="E772" s="1" t="s">
        <v>178</v>
      </c>
      <c r="F772" s="1" t="s">
        <v>1675</v>
      </c>
      <c r="G772" s="1" t="s">
        <v>215</v>
      </c>
      <c r="H772" s="1">
        <v>5</v>
      </c>
      <c r="I772" s="1">
        <v>0.37562499999999999</v>
      </c>
      <c r="K772" s="1" t="s">
        <v>181</v>
      </c>
    </row>
    <row r="773" spans="1:11" x14ac:dyDescent="0.25">
      <c r="A773" s="1" t="s">
        <v>2613</v>
      </c>
      <c r="B773" s="1" t="s">
        <v>1031</v>
      </c>
      <c r="C773" s="1" t="s">
        <v>2614</v>
      </c>
      <c r="D773" s="1" t="s">
        <v>2615</v>
      </c>
      <c r="E773" s="1" t="s">
        <v>178</v>
      </c>
      <c r="F773" s="1" t="s">
        <v>1675</v>
      </c>
      <c r="G773" s="1" t="s">
        <v>215</v>
      </c>
      <c r="H773" s="1">
        <v>5</v>
      </c>
      <c r="I773" s="1">
        <v>0.37562499999999999</v>
      </c>
      <c r="K773" s="1" t="s">
        <v>181</v>
      </c>
    </row>
    <row r="774" spans="1:11" x14ac:dyDescent="0.25">
      <c r="A774" s="1" t="s">
        <v>2616</v>
      </c>
      <c r="B774" s="1" t="s">
        <v>1031</v>
      </c>
      <c r="C774" s="1" t="s">
        <v>2617</v>
      </c>
      <c r="D774" s="1" t="s">
        <v>2618</v>
      </c>
      <c r="E774" s="1" t="s">
        <v>178</v>
      </c>
      <c r="F774" s="1" t="s">
        <v>1675</v>
      </c>
      <c r="G774" s="1" t="s">
        <v>215</v>
      </c>
      <c r="H774" s="1">
        <v>5</v>
      </c>
      <c r="I774" s="1">
        <v>0.37562499999999999</v>
      </c>
      <c r="K774" s="1" t="s">
        <v>181</v>
      </c>
    </row>
    <row r="775" spans="1:11" x14ac:dyDescent="0.25">
      <c r="A775" s="1" t="s">
        <v>2619</v>
      </c>
      <c r="B775" s="1" t="s">
        <v>1667</v>
      </c>
      <c r="C775" s="1" t="s">
        <v>2620</v>
      </c>
      <c r="D775" s="1" t="s">
        <v>2621</v>
      </c>
      <c r="E775" s="1" t="s">
        <v>178</v>
      </c>
      <c r="F775" s="1" t="s">
        <v>1675</v>
      </c>
      <c r="G775" s="1" t="s">
        <v>215</v>
      </c>
      <c r="H775" s="1">
        <v>5</v>
      </c>
      <c r="I775" s="1">
        <v>0.37562499999999999</v>
      </c>
      <c r="K775" s="1" t="s">
        <v>181</v>
      </c>
    </row>
    <row r="776" spans="1:11" x14ac:dyDescent="0.25">
      <c r="A776" s="1" t="s">
        <v>2622</v>
      </c>
      <c r="B776" s="1" t="s">
        <v>1031</v>
      </c>
      <c r="C776" s="1" t="s">
        <v>2623</v>
      </c>
      <c r="D776" s="1" t="s">
        <v>2624</v>
      </c>
      <c r="E776" s="1" t="s">
        <v>178</v>
      </c>
      <c r="F776" s="1" t="s">
        <v>1675</v>
      </c>
      <c r="G776" s="1" t="s">
        <v>215</v>
      </c>
      <c r="H776" s="1">
        <v>5</v>
      </c>
      <c r="I776" s="1">
        <v>0.37562499999999999</v>
      </c>
      <c r="K776" s="1" t="s">
        <v>181</v>
      </c>
    </row>
    <row r="777" spans="1:11" x14ac:dyDescent="0.25">
      <c r="A777" s="1" t="s">
        <v>2625</v>
      </c>
      <c r="B777" s="1" t="s">
        <v>1031</v>
      </c>
      <c r="C777" s="1" t="s">
        <v>2626</v>
      </c>
      <c r="D777" s="1" t="s">
        <v>2627</v>
      </c>
      <c r="E777" s="1" t="s">
        <v>178</v>
      </c>
      <c r="F777" s="1" t="s">
        <v>1675</v>
      </c>
      <c r="G777" s="1" t="s">
        <v>215</v>
      </c>
      <c r="H777" s="1">
        <v>5</v>
      </c>
      <c r="I777" s="1">
        <v>0.37562499999999999</v>
      </c>
      <c r="K777" s="1" t="s">
        <v>181</v>
      </c>
    </row>
    <row r="778" spans="1:11" x14ac:dyDescent="0.25">
      <c r="A778" s="1" t="s">
        <v>2628</v>
      </c>
      <c r="B778" s="1" t="s">
        <v>2629</v>
      </c>
      <c r="C778" s="1" t="s">
        <v>2630</v>
      </c>
      <c r="D778" s="1" t="s">
        <v>2631</v>
      </c>
      <c r="E778" s="1" t="s">
        <v>178</v>
      </c>
      <c r="F778" s="1" t="s">
        <v>1675</v>
      </c>
      <c r="G778" s="1" t="s">
        <v>215</v>
      </c>
      <c r="H778" s="1">
        <v>5</v>
      </c>
      <c r="I778" s="1">
        <v>0.37562499999999999</v>
      </c>
      <c r="K778" s="1" t="s">
        <v>181</v>
      </c>
    </row>
    <row r="779" spans="1:11" x14ac:dyDescent="0.25">
      <c r="A779" s="1" t="s">
        <v>2632</v>
      </c>
      <c r="B779" s="1" t="s">
        <v>1031</v>
      </c>
      <c r="C779" s="1" t="s">
        <v>2633</v>
      </c>
      <c r="D779" s="1" t="s">
        <v>2634</v>
      </c>
      <c r="E779" s="1" t="s">
        <v>178</v>
      </c>
      <c r="F779" s="1" t="s">
        <v>1675</v>
      </c>
      <c r="G779" s="1" t="s">
        <v>215</v>
      </c>
      <c r="H779" s="1">
        <v>5</v>
      </c>
      <c r="I779" s="1">
        <v>0.37562499999999999</v>
      </c>
      <c r="K779" s="1" t="s">
        <v>181</v>
      </c>
    </row>
    <row r="780" spans="1:11" x14ac:dyDescent="0.25">
      <c r="A780" s="1" t="s">
        <v>2635</v>
      </c>
      <c r="B780" s="1" t="s">
        <v>2415</v>
      </c>
      <c r="C780" s="1" t="s">
        <v>2636</v>
      </c>
      <c r="D780" s="1" t="s">
        <v>2637</v>
      </c>
      <c r="E780" s="1" t="s">
        <v>178</v>
      </c>
      <c r="F780" s="1" t="s">
        <v>1675</v>
      </c>
      <c r="G780" s="1" t="s">
        <v>215</v>
      </c>
      <c r="H780" s="1">
        <v>5</v>
      </c>
      <c r="I780" s="1">
        <v>0.37562499999999999</v>
      </c>
      <c r="K780" s="1" t="s">
        <v>181</v>
      </c>
    </row>
    <row r="781" spans="1:11" x14ac:dyDescent="0.25">
      <c r="A781" s="1" t="s">
        <v>2638</v>
      </c>
      <c r="B781" s="1" t="s">
        <v>2415</v>
      </c>
      <c r="C781" s="1" t="s">
        <v>2639</v>
      </c>
      <c r="D781" s="1" t="s">
        <v>2640</v>
      </c>
      <c r="E781" s="1" t="s">
        <v>178</v>
      </c>
      <c r="F781" s="1" t="s">
        <v>1675</v>
      </c>
      <c r="G781" s="1" t="s">
        <v>215</v>
      </c>
      <c r="H781" s="1">
        <v>5</v>
      </c>
      <c r="I781" s="1">
        <v>0.37562499999999999</v>
      </c>
      <c r="K781" s="1" t="s">
        <v>181</v>
      </c>
    </row>
    <row r="782" spans="1:11" x14ac:dyDescent="0.25">
      <c r="A782" s="1" t="s">
        <v>2641</v>
      </c>
      <c r="B782" s="1" t="s">
        <v>673</v>
      </c>
      <c r="C782" s="1" t="s">
        <v>2642</v>
      </c>
      <c r="D782" s="1" t="s">
        <v>2643</v>
      </c>
      <c r="E782" s="1" t="s">
        <v>178</v>
      </c>
      <c r="F782" s="1" t="s">
        <v>1675</v>
      </c>
      <c r="G782" s="1" t="s">
        <v>215</v>
      </c>
      <c r="H782" s="1">
        <v>5</v>
      </c>
      <c r="I782" s="1">
        <v>0.37562499999999999</v>
      </c>
      <c r="K782" s="1" t="s">
        <v>181</v>
      </c>
    </row>
    <row r="783" spans="1:11" x14ac:dyDescent="0.25">
      <c r="A783" s="1" t="s">
        <v>2644</v>
      </c>
      <c r="B783" s="1" t="s">
        <v>1617</v>
      </c>
      <c r="C783" s="1" t="s">
        <v>2645</v>
      </c>
      <c r="D783" s="1" t="s">
        <v>2646</v>
      </c>
      <c r="E783" s="1" t="s">
        <v>178</v>
      </c>
      <c r="F783" s="1" t="s">
        <v>1675</v>
      </c>
      <c r="G783" s="1" t="s">
        <v>215</v>
      </c>
      <c r="H783" s="1">
        <v>5</v>
      </c>
      <c r="I783" s="1">
        <v>0.37562499999999999</v>
      </c>
      <c r="K783" s="1" t="s">
        <v>181</v>
      </c>
    </row>
    <row r="784" spans="1:11" x14ac:dyDescent="0.25">
      <c r="A784" s="1" t="s">
        <v>2647</v>
      </c>
      <c r="B784" s="1" t="s">
        <v>1656</v>
      </c>
      <c r="C784" s="1" t="s">
        <v>2648</v>
      </c>
      <c r="D784" s="1" t="s">
        <v>2649</v>
      </c>
      <c r="E784" s="1" t="s">
        <v>178</v>
      </c>
      <c r="F784" s="1" t="s">
        <v>1675</v>
      </c>
      <c r="G784" s="1" t="s">
        <v>215</v>
      </c>
      <c r="H784" s="1">
        <v>5</v>
      </c>
      <c r="I784" s="1">
        <v>0.37562499999999999</v>
      </c>
      <c r="K784" s="1" t="s">
        <v>181</v>
      </c>
    </row>
    <row r="785" spans="1:11" x14ac:dyDescent="0.25">
      <c r="A785" s="1" t="s">
        <v>2650</v>
      </c>
      <c r="B785" s="1" t="s">
        <v>673</v>
      </c>
      <c r="C785" s="1" t="s">
        <v>2651</v>
      </c>
      <c r="D785" s="1" t="s">
        <v>2652</v>
      </c>
      <c r="E785" s="1" t="s">
        <v>178</v>
      </c>
      <c r="F785" s="1" t="s">
        <v>1675</v>
      </c>
      <c r="G785" s="1" t="s">
        <v>215</v>
      </c>
      <c r="H785" s="1">
        <v>5</v>
      </c>
      <c r="I785" s="1">
        <v>0.37562499999999999</v>
      </c>
      <c r="K785" s="1" t="s">
        <v>181</v>
      </c>
    </row>
    <row r="786" spans="1:11" x14ac:dyDescent="0.25">
      <c r="A786" s="1" t="s">
        <v>2653</v>
      </c>
      <c r="B786" s="1" t="s">
        <v>2654</v>
      </c>
      <c r="C786" s="1" t="s">
        <v>2655</v>
      </c>
      <c r="D786" s="1" t="s">
        <v>2656</v>
      </c>
      <c r="E786" s="1" t="s">
        <v>178</v>
      </c>
      <c r="F786" s="1" t="s">
        <v>1675</v>
      </c>
      <c r="G786" s="1" t="s">
        <v>215</v>
      </c>
      <c r="H786" s="1">
        <v>5</v>
      </c>
      <c r="I786" s="1">
        <v>0.37562499999999999</v>
      </c>
      <c r="K786" s="1" t="s">
        <v>181</v>
      </c>
    </row>
    <row r="787" spans="1:11" x14ac:dyDescent="0.25">
      <c r="A787" s="1" t="s">
        <v>2657</v>
      </c>
      <c r="B787" s="1" t="s">
        <v>2658</v>
      </c>
      <c r="C787" s="1" t="s">
        <v>2659</v>
      </c>
      <c r="D787" s="1" t="s">
        <v>2660</v>
      </c>
      <c r="E787" s="1" t="s">
        <v>178</v>
      </c>
      <c r="F787" s="1" t="s">
        <v>1675</v>
      </c>
      <c r="G787" s="1" t="s">
        <v>215</v>
      </c>
      <c r="H787" s="1">
        <v>5</v>
      </c>
      <c r="I787" s="1">
        <v>0.37562499999999999</v>
      </c>
      <c r="K787" s="1" t="s">
        <v>181</v>
      </c>
    </row>
    <row r="788" spans="1:11" x14ac:dyDescent="0.25">
      <c r="A788" s="1" t="s">
        <v>2661</v>
      </c>
      <c r="B788" s="1" t="s">
        <v>2460</v>
      </c>
      <c r="C788" s="1" t="s">
        <v>2662</v>
      </c>
      <c r="D788" s="1" t="s">
        <v>2462</v>
      </c>
      <c r="E788" s="1" t="s">
        <v>178</v>
      </c>
      <c r="F788" s="1" t="s">
        <v>1675</v>
      </c>
      <c r="G788" s="1" t="s">
        <v>215</v>
      </c>
      <c r="H788" s="1">
        <v>5</v>
      </c>
      <c r="I788" s="1">
        <v>0.37562499999999999</v>
      </c>
      <c r="K788" s="1" t="s">
        <v>181</v>
      </c>
    </row>
    <row r="789" spans="1:11" x14ac:dyDescent="0.25">
      <c r="A789" s="1" t="s">
        <v>2663</v>
      </c>
      <c r="B789" s="1" t="s">
        <v>2664</v>
      </c>
      <c r="C789" s="1" t="s">
        <v>2665</v>
      </c>
      <c r="D789" s="1" t="s">
        <v>2666</v>
      </c>
      <c r="E789" s="1" t="s">
        <v>178</v>
      </c>
      <c r="F789" s="1" t="s">
        <v>1675</v>
      </c>
      <c r="G789" s="1" t="s">
        <v>215</v>
      </c>
      <c r="H789" s="1">
        <v>5</v>
      </c>
      <c r="I789" s="1">
        <v>0.37562499999999999</v>
      </c>
      <c r="K789" s="1" t="s">
        <v>181</v>
      </c>
    </row>
    <row r="790" spans="1:11" x14ac:dyDescent="0.25">
      <c r="A790" s="1" t="s">
        <v>2667</v>
      </c>
      <c r="B790" s="1" t="s">
        <v>2668</v>
      </c>
      <c r="C790" s="1" t="s">
        <v>2669</v>
      </c>
      <c r="D790" s="1" t="s">
        <v>2670</v>
      </c>
      <c r="E790" s="1" t="s">
        <v>178</v>
      </c>
      <c r="F790" s="1" t="s">
        <v>1675</v>
      </c>
      <c r="G790" s="1" t="s">
        <v>215</v>
      </c>
      <c r="H790" s="1">
        <v>5</v>
      </c>
      <c r="I790" s="1">
        <v>0.37562499999999999</v>
      </c>
      <c r="K790" s="1" t="s">
        <v>181</v>
      </c>
    </row>
    <row r="791" spans="1:11" x14ac:dyDescent="0.25">
      <c r="A791" s="1" t="s">
        <v>2671</v>
      </c>
      <c r="B791" s="1" t="s">
        <v>2672</v>
      </c>
      <c r="C791" s="1" t="s">
        <v>2673</v>
      </c>
      <c r="D791" s="1" t="s">
        <v>2674</v>
      </c>
      <c r="E791" s="1" t="s">
        <v>178</v>
      </c>
      <c r="F791" s="1" t="s">
        <v>1675</v>
      </c>
      <c r="G791" s="1" t="s">
        <v>215</v>
      </c>
      <c r="H791" s="1">
        <v>5</v>
      </c>
      <c r="I791" s="1">
        <v>0.37562499999999999</v>
      </c>
      <c r="K791" s="1" t="s">
        <v>181</v>
      </c>
    </row>
    <row r="792" spans="1:11" x14ac:dyDescent="0.25">
      <c r="A792" s="1" t="s">
        <v>2675</v>
      </c>
      <c r="B792" s="1" t="s">
        <v>2676</v>
      </c>
      <c r="C792" s="1" t="s">
        <v>2677</v>
      </c>
      <c r="D792" s="1" t="s">
        <v>2678</v>
      </c>
      <c r="E792" s="1" t="s">
        <v>178</v>
      </c>
      <c r="F792" s="1" t="s">
        <v>1675</v>
      </c>
      <c r="G792" s="1" t="s">
        <v>215</v>
      </c>
      <c r="H792" s="1">
        <v>5</v>
      </c>
      <c r="I792" s="1">
        <v>0.37562499999999999</v>
      </c>
      <c r="K792" s="1" t="s">
        <v>181</v>
      </c>
    </row>
    <row r="793" spans="1:11" x14ac:dyDescent="0.25">
      <c r="A793" s="1" t="s">
        <v>2679</v>
      </c>
      <c r="B793" s="1" t="s">
        <v>1031</v>
      </c>
      <c r="C793" s="1" t="s">
        <v>2680</v>
      </c>
      <c r="D793" s="1" t="s">
        <v>2681</v>
      </c>
      <c r="E793" s="1" t="s">
        <v>178</v>
      </c>
      <c r="F793" s="1" t="s">
        <v>1675</v>
      </c>
      <c r="G793" s="1" t="s">
        <v>215</v>
      </c>
      <c r="H793" s="1">
        <v>5</v>
      </c>
      <c r="I793" s="1">
        <v>0.37562499999999999</v>
      </c>
      <c r="K793" s="1" t="s">
        <v>181</v>
      </c>
    </row>
    <row r="794" spans="1:11" x14ac:dyDescent="0.25">
      <c r="A794" s="1" t="s">
        <v>2682</v>
      </c>
      <c r="B794" s="1" t="s">
        <v>1031</v>
      </c>
      <c r="C794" s="1" t="s">
        <v>2683</v>
      </c>
      <c r="D794" s="1" t="s">
        <v>2684</v>
      </c>
      <c r="E794" s="1" t="s">
        <v>178</v>
      </c>
      <c r="F794" s="1" t="s">
        <v>1675</v>
      </c>
      <c r="G794" s="1" t="s">
        <v>215</v>
      </c>
      <c r="H794" s="1">
        <v>5</v>
      </c>
      <c r="I794" s="1">
        <v>0.37562499999999999</v>
      </c>
      <c r="K794" s="1" t="s">
        <v>181</v>
      </c>
    </row>
    <row r="795" spans="1:11" x14ac:dyDescent="0.25">
      <c r="A795" s="1" t="s">
        <v>2685</v>
      </c>
      <c r="B795" s="1" t="s">
        <v>2686</v>
      </c>
      <c r="C795" s="1" t="s">
        <v>2687</v>
      </c>
      <c r="D795" s="1" t="s">
        <v>2688</v>
      </c>
      <c r="E795" s="1" t="s">
        <v>178</v>
      </c>
      <c r="F795" s="1" t="s">
        <v>1675</v>
      </c>
      <c r="G795" s="1" t="s">
        <v>215</v>
      </c>
      <c r="H795" s="1">
        <v>5</v>
      </c>
      <c r="I795" s="1">
        <v>0.37562499999999999</v>
      </c>
      <c r="K795" s="1" t="s">
        <v>181</v>
      </c>
    </row>
    <row r="796" spans="1:11" x14ac:dyDescent="0.25">
      <c r="A796" s="1" t="s">
        <v>2689</v>
      </c>
      <c r="B796" s="1" t="s">
        <v>2690</v>
      </c>
      <c r="C796" s="1" t="s">
        <v>2691</v>
      </c>
      <c r="D796" s="1" t="s">
        <v>2692</v>
      </c>
      <c r="E796" s="1" t="s">
        <v>178</v>
      </c>
      <c r="F796" s="1" t="s">
        <v>1675</v>
      </c>
      <c r="G796" s="1" t="s">
        <v>215</v>
      </c>
      <c r="H796" s="1">
        <v>5</v>
      </c>
      <c r="I796" s="1">
        <v>0.37562499999999999</v>
      </c>
      <c r="K796" s="1" t="s">
        <v>181</v>
      </c>
    </row>
    <row r="797" spans="1:11" x14ac:dyDescent="0.25">
      <c r="A797" s="1" t="s">
        <v>2693</v>
      </c>
      <c r="B797" s="1" t="s">
        <v>2442</v>
      </c>
      <c r="C797" s="1" t="s">
        <v>2694</v>
      </c>
      <c r="D797" s="1" t="s">
        <v>2695</v>
      </c>
      <c r="E797" s="1" t="s">
        <v>178</v>
      </c>
      <c r="F797" s="1" t="s">
        <v>1675</v>
      </c>
      <c r="G797" s="1" t="s">
        <v>211</v>
      </c>
      <c r="H797" s="1">
        <v>5</v>
      </c>
      <c r="I797" s="1">
        <v>0.37562499999999999</v>
      </c>
      <c r="K797" s="1" t="s">
        <v>181</v>
      </c>
    </row>
    <row r="798" spans="1:11" x14ac:dyDescent="0.25">
      <c r="A798" s="1" t="s">
        <v>2696</v>
      </c>
      <c r="B798" s="1" t="s">
        <v>2442</v>
      </c>
      <c r="C798" s="1" t="s">
        <v>2697</v>
      </c>
      <c r="D798" s="1" t="s">
        <v>2698</v>
      </c>
      <c r="E798" s="1" t="s">
        <v>178</v>
      </c>
      <c r="F798" s="1" t="s">
        <v>1675</v>
      </c>
      <c r="G798" s="1" t="s">
        <v>211</v>
      </c>
      <c r="H798" s="1">
        <v>5</v>
      </c>
      <c r="I798" s="1">
        <v>0.37562499999999999</v>
      </c>
      <c r="K798" s="1" t="s">
        <v>181</v>
      </c>
    </row>
    <row r="799" spans="1:11" x14ac:dyDescent="0.25">
      <c r="A799" s="1" t="s">
        <v>2699</v>
      </c>
      <c r="B799" s="1" t="s">
        <v>2442</v>
      </c>
      <c r="C799" s="1" t="s">
        <v>2700</v>
      </c>
      <c r="D799" s="1" t="s">
        <v>2701</v>
      </c>
      <c r="E799" s="1" t="s">
        <v>178</v>
      </c>
      <c r="F799" s="1" t="s">
        <v>1675</v>
      </c>
      <c r="G799" s="1" t="s">
        <v>211</v>
      </c>
      <c r="H799" s="1">
        <v>5</v>
      </c>
      <c r="I799" s="1">
        <v>0.37562499999999999</v>
      </c>
      <c r="K799" s="1" t="s">
        <v>181</v>
      </c>
    </row>
    <row r="800" spans="1:11" x14ac:dyDescent="0.25">
      <c r="A800" s="1" t="s">
        <v>2702</v>
      </c>
      <c r="B800" s="1" t="s">
        <v>2703</v>
      </c>
      <c r="C800" s="1" t="s">
        <v>2704</v>
      </c>
      <c r="D800" s="1" t="s">
        <v>2705</v>
      </c>
      <c r="E800" s="1" t="s">
        <v>178</v>
      </c>
      <c r="F800" s="1" t="s">
        <v>1675</v>
      </c>
      <c r="G800" s="1" t="s">
        <v>215</v>
      </c>
      <c r="H800" s="1">
        <v>5</v>
      </c>
      <c r="I800" s="1">
        <v>0.37562499999999999</v>
      </c>
      <c r="K800" s="1" t="s">
        <v>181</v>
      </c>
    </row>
    <row r="801" spans="1:11" x14ac:dyDescent="0.25">
      <c r="A801" s="1" t="s">
        <v>2706</v>
      </c>
      <c r="B801" s="1" t="s">
        <v>2703</v>
      </c>
      <c r="C801" s="1" t="s">
        <v>2707</v>
      </c>
      <c r="D801" s="1" t="s">
        <v>2708</v>
      </c>
      <c r="E801" s="1" t="s">
        <v>178</v>
      </c>
      <c r="F801" s="1" t="s">
        <v>1675</v>
      </c>
      <c r="G801" s="1" t="s">
        <v>215</v>
      </c>
      <c r="H801" s="1">
        <v>5</v>
      </c>
      <c r="I801" s="1">
        <v>0.37562499999999999</v>
      </c>
      <c r="K801" s="1" t="s">
        <v>181</v>
      </c>
    </row>
    <row r="802" spans="1:11" x14ac:dyDescent="0.25">
      <c r="A802" s="1" t="s">
        <v>2709</v>
      </c>
      <c r="B802" s="1" t="s">
        <v>1363</v>
      </c>
      <c r="C802" s="1" t="s">
        <v>2710</v>
      </c>
      <c r="D802" s="1" t="s">
        <v>2711</v>
      </c>
      <c r="E802" s="1" t="s">
        <v>178</v>
      </c>
      <c r="F802" s="1" t="s">
        <v>1675</v>
      </c>
      <c r="G802" s="1" t="s">
        <v>215</v>
      </c>
      <c r="H802" s="1">
        <v>5</v>
      </c>
      <c r="I802" s="1">
        <v>0.37562499999999999</v>
      </c>
      <c r="K802" s="1" t="s">
        <v>181</v>
      </c>
    </row>
    <row r="803" spans="1:11" x14ac:dyDescent="0.25">
      <c r="A803" s="1" t="s">
        <v>2712</v>
      </c>
      <c r="B803" s="1" t="s">
        <v>2713</v>
      </c>
      <c r="C803" s="1" t="s">
        <v>2714</v>
      </c>
      <c r="D803" s="1" t="s">
        <v>2715</v>
      </c>
      <c r="E803" s="1" t="s">
        <v>178</v>
      </c>
      <c r="F803" s="1" t="s">
        <v>1675</v>
      </c>
      <c r="G803" s="1" t="s">
        <v>215</v>
      </c>
      <c r="H803" s="1">
        <v>5</v>
      </c>
      <c r="I803" s="1">
        <v>0.37562499999999999</v>
      </c>
      <c r="K803" s="1" t="s">
        <v>181</v>
      </c>
    </row>
    <row r="804" spans="1:11" x14ac:dyDescent="0.25">
      <c r="A804" s="1" t="s">
        <v>2716</v>
      </c>
      <c r="B804" s="1" t="s">
        <v>2713</v>
      </c>
      <c r="C804" s="1" t="s">
        <v>2717</v>
      </c>
      <c r="D804" s="1" t="s">
        <v>2718</v>
      </c>
      <c r="E804" s="1" t="s">
        <v>178</v>
      </c>
      <c r="F804" s="1" t="s">
        <v>1675</v>
      </c>
      <c r="G804" s="1" t="s">
        <v>215</v>
      </c>
      <c r="H804" s="1">
        <v>5</v>
      </c>
      <c r="I804" s="1">
        <v>0.37562499999999999</v>
      </c>
      <c r="K804" s="1" t="s">
        <v>181</v>
      </c>
    </row>
    <row r="805" spans="1:11" x14ac:dyDescent="0.25">
      <c r="A805" s="1" t="s">
        <v>2719</v>
      </c>
      <c r="B805" s="1" t="s">
        <v>2713</v>
      </c>
      <c r="C805" s="1" t="s">
        <v>2720</v>
      </c>
      <c r="D805" s="1" t="s">
        <v>2721</v>
      </c>
      <c r="E805" s="1" t="s">
        <v>178</v>
      </c>
      <c r="F805" s="1" t="s">
        <v>1675</v>
      </c>
      <c r="G805" s="1" t="s">
        <v>215</v>
      </c>
      <c r="H805" s="1">
        <v>5</v>
      </c>
      <c r="I805" s="1">
        <v>0.37562499999999999</v>
      </c>
      <c r="K805" s="1" t="s">
        <v>181</v>
      </c>
    </row>
    <row r="806" spans="1:11" x14ac:dyDescent="0.25">
      <c r="A806" s="1" t="s">
        <v>2722</v>
      </c>
      <c r="B806" s="1" t="s">
        <v>2713</v>
      </c>
      <c r="C806" s="1" t="s">
        <v>2723</v>
      </c>
      <c r="D806" s="1" t="s">
        <v>2724</v>
      </c>
      <c r="E806" s="1" t="s">
        <v>178</v>
      </c>
      <c r="F806" s="1" t="s">
        <v>1675</v>
      </c>
      <c r="G806" s="1" t="s">
        <v>215</v>
      </c>
      <c r="H806" s="1">
        <v>5</v>
      </c>
      <c r="I806" s="1">
        <v>0.37562499999999999</v>
      </c>
      <c r="K806" s="1" t="s">
        <v>181</v>
      </c>
    </row>
    <row r="807" spans="1:11" x14ac:dyDescent="0.25">
      <c r="A807" s="1" t="s">
        <v>2725</v>
      </c>
      <c r="B807" s="1" t="s">
        <v>2713</v>
      </c>
      <c r="C807" s="1" t="s">
        <v>2726</v>
      </c>
      <c r="D807" s="1" t="s">
        <v>2727</v>
      </c>
      <c r="E807" s="1" t="s">
        <v>178</v>
      </c>
      <c r="F807" s="1" t="s">
        <v>1675</v>
      </c>
      <c r="G807" s="1" t="s">
        <v>215</v>
      </c>
      <c r="H807" s="1">
        <v>5</v>
      </c>
      <c r="I807" s="1">
        <v>0.37562499999999999</v>
      </c>
      <c r="K807" s="1" t="s">
        <v>181</v>
      </c>
    </row>
    <row r="808" spans="1:11" x14ac:dyDescent="0.25">
      <c r="A808" s="1" t="s">
        <v>2728</v>
      </c>
      <c r="B808" s="1" t="s">
        <v>2713</v>
      </c>
      <c r="C808" s="1" t="s">
        <v>2729</v>
      </c>
      <c r="D808" s="1" t="s">
        <v>2730</v>
      </c>
      <c r="E808" s="1" t="s">
        <v>178</v>
      </c>
      <c r="F808" s="1" t="s">
        <v>1675</v>
      </c>
      <c r="G808" s="1" t="s">
        <v>215</v>
      </c>
      <c r="H808" s="1">
        <v>5</v>
      </c>
      <c r="I808" s="1">
        <v>0.37562499999999999</v>
      </c>
      <c r="K808" s="1" t="s">
        <v>181</v>
      </c>
    </row>
    <row r="809" spans="1:11" x14ac:dyDescent="0.25">
      <c r="A809" s="1" t="s">
        <v>2731</v>
      </c>
      <c r="B809" s="1" t="s">
        <v>2713</v>
      </c>
      <c r="C809" s="1" t="s">
        <v>2732</v>
      </c>
      <c r="D809" s="1" t="s">
        <v>2733</v>
      </c>
      <c r="E809" s="1" t="s">
        <v>178</v>
      </c>
      <c r="F809" s="1" t="s">
        <v>1675</v>
      </c>
      <c r="G809" s="1" t="s">
        <v>215</v>
      </c>
      <c r="H809" s="1">
        <v>5</v>
      </c>
      <c r="I809" s="1">
        <v>0.37562499999999999</v>
      </c>
      <c r="K809" s="1" t="s">
        <v>181</v>
      </c>
    </row>
    <row r="810" spans="1:11" x14ac:dyDescent="0.25">
      <c r="A810" s="1" t="s">
        <v>2734</v>
      </c>
      <c r="B810" s="1" t="s">
        <v>2713</v>
      </c>
      <c r="C810" s="1" t="s">
        <v>2735</v>
      </c>
      <c r="D810" s="1" t="s">
        <v>2736</v>
      </c>
      <c r="E810" s="1" t="s">
        <v>178</v>
      </c>
      <c r="F810" s="1" t="s">
        <v>1675</v>
      </c>
      <c r="G810" s="1" t="s">
        <v>215</v>
      </c>
      <c r="H810" s="1">
        <v>5</v>
      </c>
      <c r="I810" s="1">
        <v>0.37562499999999999</v>
      </c>
      <c r="K810" s="1" t="s">
        <v>181</v>
      </c>
    </row>
    <row r="811" spans="1:11" x14ac:dyDescent="0.25">
      <c r="A811" s="1" t="s">
        <v>2737</v>
      </c>
      <c r="B811" s="1" t="s">
        <v>2713</v>
      </c>
      <c r="C811" s="1" t="s">
        <v>2738</v>
      </c>
      <c r="D811" s="1" t="s">
        <v>2739</v>
      </c>
      <c r="E811" s="1" t="s">
        <v>178</v>
      </c>
      <c r="F811" s="1" t="s">
        <v>1675</v>
      </c>
      <c r="G811" s="1" t="s">
        <v>215</v>
      </c>
      <c r="H811" s="1">
        <v>5</v>
      </c>
      <c r="I811" s="1">
        <v>0.37562499999999999</v>
      </c>
      <c r="K811" s="1" t="s">
        <v>181</v>
      </c>
    </row>
    <row r="812" spans="1:11" x14ac:dyDescent="0.25">
      <c r="A812" s="1" t="s">
        <v>2740</v>
      </c>
      <c r="B812" s="1" t="s">
        <v>2713</v>
      </c>
      <c r="C812" s="1" t="s">
        <v>2741</v>
      </c>
      <c r="D812" s="1" t="s">
        <v>2742</v>
      </c>
      <c r="E812" s="1" t="s">
        <v>178</v>
      </c>
      <c r="F812" s="1" t="s">
        <v>1675</v>
      </c>
      <c r="G812" s="1" t="s">
        <v>215</v>
      </c>
      <c r="H812" s="1">
        <v>5</v>
      </c>
      <c r="I812" s="1">
        <v>0.37562499999999999</v>
      </c>
      <c r="K812" s="1" t="s">
        <v>181</v>
      </c>
    </row>
    <row r="813" spans="1:11" x14ac:dyDescent="0.25">
      <c r="A813" s="1" t="s">
        <v>2743</v>
      </c>
      <c r="B813" s="1" t="s">
        <v>2713</v>
      </c>
      <c r="C813" s="1" t="s">
        <v>2744</v>
      </c>
      <c r="D813" s="1" t="s">
        <v>2745</v>
      </c>
      <c r="E813" s="1" t="s">
        <v>178</v>
      </c>
      <c r="F813" s="1" t="s">
        <v>1675</v>
      </c>
      <c r="G813" s="1" t="s">
        <v>215</v>
      </c>
      <c r="H813" s="1">
        <v>5</v>
      </c>
      <c r="I813" s="1">
        <v>0.37562499999999999</v>
      </c>
      <c r="K813" s="1" t="s">
        <v>181</v>
      </c>
    </row>
    <row r="814" spans="1:11" x14ac:dyDescent="0.25">
      <c r="A814" s="1" t="s">
        <v>2746</v>
      </c>
      <c r="B814" s="1" t="s">
        <v>2713</v>
      </c>
      <c r="C814" s="1" t="s">
        <v>2747</v>
      </c>
      <c r="D814" s="1" t="s">
        <v>2748</v>
      </c>
      <c r="E814" s="1" t="s">
        <v>178</v>
      </c>
      <c r="F814" s="1" t="s">
        <v>1675</v>
      </c>
      <c r="G814" s="1" t="s">
        <v>215</v>
      </c>
      <c r="H814" s="1">
        <v>5</v>
      </c>
      <c r="I814" s="1">
        <v>0.37562499999999999</v>
      </c>
      <c r="K814" s="1" t="s">
        <v>181</v>
      </c>
    </row>
    <row r="815" spans="1:11" x14ac:dyDescent="0.25">
      <c r="A815" s="1" t="s">
        <v>2749</v>
      </c>
      <c r="B815" s="1" t="s">
        <v>2713</v>
      </c>
      <c r="C815" s="1" t="s">
        <v>2750</v>
      </c>
      <c r="D815" s="1" t="s">
        <v>2751</v>
      </c>
      <c r="E815" s="1" t="s">
        <v>178</v>
      </c>
      <c r="F815" s="1" t="s">
        <v>1675</v>
      </c>
      <c r="G815" s="1" t="s">
        <v>215</v>
      </c>
      <c r="H815" s="1">
        <v>5</v>
      </c>
      <c r="I815" s="1">
        <v>0.37562499999999999</v>
      </c>
      <c r="K815" s="1" t="s">
        <v>181</v>
      </c>
    </row>
    <row r="816" spans="1:11" x14ac:dyDescent="0.25">
      <c r="A816" s="1" t="s">
        <v>2752</v>
      </c>
      <c r="B816" s="1" t="s">
        <v>2713</v>
      </c>
      <c r="C816" s="1" t="s">
        <v>2753</v>
      </c>
      <c r="D816" s="1" t="s">
        <v>2754</v>
      </c>
      <c r="E816" s="1" t="s">
        <v>178</v>
      </c>
      <c r="F816" s="1" t="s">
        <v>1675</v>
      </c>
      <c r="G816" s="1" t="s">
        <v>215</v>
      </c>
      <c r="H816" s="1">
        <v>5</v>
      </c>
      <c r="I816" s="1">
        <v>0.37562499999999999</v>
      </c>
      <c r="K816" s="1" t="s">
        <v>181</v>
      </c>
    </row>
    <row r="817" spans="1:11" x14ac:dyDescent="0.25">
      <c r="A817" s="1" t="s">
        <v>2755</v>
      </c>
      <c r="B817" s="1" t="s">
        <v>2713</v>
      </c>
      <c r="C817" s="1" t="s">
        <v>2756</v>
      </c>
      <c r="D817" s="1" t="s">
        <v>2757</v>
      </c>
      <c r="E817" s="1" t="s">
        <v>178</v>
      </c>
      <c r="F817" s="1" t="s">
        <v>1675</v>
      </c>
      <c r="G817" s="1" t="s">
        <v>215</v>
      </c>
      <c r="H817" s="1">
        <v>5</v>
      </c>
      <c r="I817" s="1">
        <v>0.37562499999999999</v>
      </c>
      <c r="K817" s="1" t="s">
        <v>181</v>
      </c>
    </row>
    <row r="818" spans="1:11" x14ac:dyDescent="0.25">
      <c r="A818" s="1" t="s">
        <v>2758</v>
      </c>
      <c r="B818" s="1" t="s">
        <v>2713</v>
      </c>
      <c r="C818" s="1" t="s">
        <v>2759</v>
      </c>
      <c r="D818" s="1" t="s">
        <v>2760</v>
      </c>
      <c r="E818" s="1" t="s">
        <v>178</v>
      </c>
      <c r="F818" s="1" t="s">
        <v>1675</v>
      </c>
      <c r="G818" s="1" t="s">
        <v>215</v>
      </c>
      <c r="H818" s="1">
        <v>5</v>
      </c>
      <c r="I818" s="1">
        <v>0.37562499999999999</v>
      </c>
      <c r="K818" s="1" t="s">
        <v>181</v>
      </c>
    </row>
    <row r="819" spans="1:11" x14ac:dyDescent="0.25">
      <c r="A819" s="1" t="s">
        <v>2761</v>
      </c>
      <c r="B819" s="1" t="s">
        <v>612</v>
      </c>
      <c r="C819" s="1" t="s">
        <v>2762</v>
      </c>
      <c r="D819" s="1" t="s">
        <v>2763</v>
      </c>
      <c r="E819" s="1" t="s">
        <v>178</v>
      </c>
      <c r="F819" s="1" t="s">
        <v>1675</v>
      </c>
      <c r="G819" s="1" t="s">
        <v>215</v>
      </c>
      <c r="H819" s="1">
        <v>5</v>
      </c>
      <c r="I819" s="1">
        <v>0.37562499999999999</v>
      </c>
      <c r="K819" s="1" t="s">
        <v>181</v>
      </c>
    </row>
    <row r="820" spans="1:11" x14ac:dyDescent="0.25">
      <c r="A820" s="1" t="s">
        <v>2764</v>
      </c>
      <c r="B820" s="1" t="s">
        <v>2765</v>
      </c>
      <c r="C820" s="1" t="s">
        <v>2766</v>
      </c>
      <c r="D820" s="1" t="s">
        <v>2767</v>
      </c>
      <c r="E820" s="1" t="s">
        <v>178</v>
      </c>
      <c r="F820" s="1" t="s">
        <v>1675</v>
      </c>
      <c r="G820" s="1" t="s">
        <v>574</v>
      </c>
      <c r="H820" s="1">
        <v>5</v>
      </c>
      <c r="I820" s="1">
        <v>0.37562499999999999</v>
      </c>
      <c r="K820" s="1" t="s">
        <v>181</v>
      </c>
    </row>
    <row r="821" spans="1:11" x14ac:dyDescent="0.25">
      <c r="A821" s="1" t="s">
        <v>2768</v>
      </c>
      <c r="B821" s="1" t="s">
        <v>2769</v>
      </c>
      <c r="C821" s="1" t="s">
        <v>2770</v>
      </c>
      <c r="D821" s="1" t="s">
        <v>2771</v>
      </c>
      <c r="E821" s="1" t="s">
        <v>178</v>
      </c>
      <c r="F821" s="1" t="s">
        <v>1675</v>
      </c>
      <c r="G821" s="1" t="s">
        <v>574</v>
      </c>
      <c r="H821" s="1">
        <v>5</v>
      </c>
      <c r="I821" s="1">
        <v>0.37562499999999999</v>
      </c>
      <c r="K821" s="1" t="s">
        <v>181</v>
      </c>
    </row>
    <row r="822" spans="1:11" x14ac:dyDescent="0.25">
      <c r="A822" s="1" t="s">
        <v>2772</v>
      </c>
      <c r="B822" s="1" t="s">
        <v>2773</v>
      </c>
      <c r="C822" s="1" t="s">
        <v>2774</v>
      </c>
      <c r="D822" s="1" t="s">
        <v>2775</v>
      </c>
      <c r="E822" s="1" t="s">
        <v>178</v>
      </c>
      <c r="F822" s="1" t="s">
        <v>1675</v>
      </c>
      <c r="G822" s="1" t="s">
        <v>215</v>
      </c>
      <c r="H822" s="1">
        <v>5</v>
      </c>
      <c r="I822" s="1">
        <v>0.37562499999999999</v>
      </c>
      <c r="K822" s="1" t="s">
        <v>181</v>
      </c>
    </row>
    <row r="823" spans="1:11" x14ac:dyDescent="0.25">
      <c r="A823" s="1" t="s">
        <v>2776</v>
      </c>
      <c r="B823" s="1" t="s">
        <v>2777</v>
      </c>
      <c r="C823" s="1" t="s">
        <v>2778</v>
      </c>
      <c r="D823" s="1" t="s">
        <v>2779</v>
      </c>
      <c r="E823" s="1" t="s">
        <v>178</v>
      </c>
      <c r="F823" s="1" t="s">
        <v>1675</v>
      </c>
      <c r="G823" s="1" t="s">
        <v>215</v>
      </c>
      <c r="H823" s="1">
        <v>5</v>
      </c>
      <c r="I823" s="1">
        <v>0.37562499999999999</v>
      </c>
      <c r="K823" s="1" t="s">
        <v>181</v>
      </c>
    </row>
    <row r="824" spans="1:11" x14ac:dyDescent="0.25">
      <c r="A824" s="1" t="s">
        <v>2780</v>
      </c>
      <c r="B824" s="1" t="s">
        <v>2781</v>
      </c>
      <c r="C824" s="1" t="s">
        <v>2782</v>
      </c>
      <c r="D824" s="1" t="s">
        <v>2783</v>
      </c>
      <c r="E824" s="1" t="s">
        <v>178</v>
      </c>
      <c r="F824" s="1" t="s">
        <v>1675</v>
      </c>
      <c r="G824" s="1" t="s">
        <v>215</v>
      </c>
      <c r="H824" s="1">
        <v>5</v>
      </c>
      <c r="I824" s="1">
        <v>0.37562499999999999</v>
      </c>
      <c r="K824" s="1" t="s">
        <v>181</v>
      </c>
    </row>
    <row r="825" spans="1:11" x14ac:dyDescent="0.25">
      <c r="A825" s="1" t="s">
        <v>2784</v>
      </c>
      <c r="B825" s="1" t="s">
        <v>2785</v>
      </c>
      <c r="C825" s="1" t="s">
        <v>2786</v>
      </c>
      <c r="D825" s="1" t="s">
        <v>2787</v>
      </c>
      <c r="E825" s="1" t="s">
        <v>178</v>
      </c>
      <c r="F825" s="1" t="s">
        <v>1675</v>
      </c>
      <c r="G825" s="1" t="s">
        <v>215</v>
      </c>
      <c r="H825" s="1">
        <v>5</v>
      </c>
      <c r="I825" s="1">
        <v>0.37562499999999999</v>
      </c>
      <c r="K825" s="1" t="s">
        <v>181</v>
      </c>
    </row>
    <row r="826" spans="1:11" x14ac:dyDescent="0.25">
      <c r="A826" s="1" t="s">
        <v>2788</v>
      </c>
      <c r="B826" s="1" t="s">
        <v>2541</v>
      </c>
      <c r="C826" s="1" t="s">
        <v>2789</v>
      </c>
      <c r="D826" s="1" t="s">
        <v>2790</v>
      </c>
      <c r="E826" s="1" t="s">
        <v>178</v>
      </c>
      <c r="F826" s="1" t="s">
        <v>1675</v>
      </c>
      <c r="G826" s="1" t="s">
        <v>215</v>
      </c>
      <c r="H826" s="1">
        <v>5</v>
      </c>
      <c r="I826" s="1">
        <v>0.37562499999999999</v>
      </c>
      <c r="K826" s="1" t="s">
        <v>181</v>
      </c>
    </row>
    <row r="827" spans="1:11" x14ac:dyDescent="0.25">
      <c r="A827" s="1" t="s">
        <v>2791</v>
      </c>
      <c r="B827" s="1" t="s">
        <v>2541</v>
      </c>
      <c r="C827" s="1" t="s">
        <v>2792</v>
      </c>
      <c r="D827" s="1" t="s">
        <v>2793</v>
      </c>
      <c r="E827" s="1" t="s">
        <v>178</v>
      </c>
      <c r="F827" s="1" t="s">
        <v>1675</v>
      </c>
      <c r="G827" s="1" t="s">
        <v>215</v>
      </c>
      <c r="H827" s="1">
        <v>5</v>
      </c>
      <c r="I827" s="1">
        <v>0.37562499999999999</v>
      </c>
      <c r="K827" s="1" t="s">
        <v>181</v>
      </c>
    </row>
    <row r="828" spans="1:11" x14ac:dyDescent="0.25">
      <c r="A828" s="1" t="s">
        <v>2794</v>
      </c>
      <c r="B828" s="1" t="s">
        <v>2541</v>
      </c>
      <c r="C828" s="1" t="s">
        <v>2795</v>
      </c>
      <c r="D828" s="1" t="s">
        <v>2796</v>
      </c>
      <c r="E828" s="1" t="s">
        <v>178</v>
      </c>
      <c r="F828" s="1" t="s">
        <v>1675</v>
      </c>
      <c r="G828" s="1" t="s">
        <v>215</v>
      </c>
      <c r="H828" s="1">
        <v>5</v>
      </c>
      <c r="I828" s="1">
        <v>0.37562499999999999</v>
      </c>
      <c r="K828" s="1" t="s">
        <v>181</v>
      </c>
    </row>
    <row r="829" spans="1:11" x14ac:dyDescent="0.25">
      <c r="A829" s="1" t="s">
        <v>2797</v>
      </c>
      <c r="B829" s="1" t="s">
        <v>2541</v>
      </c>
      <c r="C829" s="1" t="s">
        <v>2798</v>
      </c>
      <c r="D829" s="1" t="s">
        <v>2799</v>
      </c>
      <c r="E829" s="1" t="s">
        <v>178</v>
      </c>
      <c r="F829" s="1" t="s">
        <v>1675</v>
      </c>
      <c r="G829" s="1" t="s">
        <v>215</v>
      </c>
      <c r="H829" s="1">
        <v>5</v>
      </c>
      <c r="I829" s="1">
        <v>0.37562499999999999</v>
      </c>
      <c r="K829" s="1" t="s">
        <v>181</v>
      </c>
    </row>
    <row r="830" spans="1:11" x14ac:dyDescent="0.25">
      <c r="A830" s="1" t="s">
        <v>2800</v>
      </c>
      <c r="B830" s="1" t="s">
        <v>1422</v>
      </c>
      <c r="C830" s="1" t="s">
        <v>2801</v>
      </c>
      <c r="D830" s="1" t="s">
        <v>2802</v>
      </c>
      <c r="E830" s="1" t="s">
        <v>178</v>
      </c>
      <c r="F830" s="1" t="s">
        <v>1675</v>
      </c>
      <c r="G830" s="1" t="s">
        <v>215</v>
      </c>
      <c r="H830" s="1">
        <v>5</v>
      </c>
      <c r="I830" s="1">
        <v>0.37562499999999999</v>
      </c>
      <c r="K830" s="1" t="s">
        <v>181</v>
      </c>
    </row>
    <row r="831" spans="1:11" x14ac:dyDescent="0.25">
      <c r="A831" s="1" t="s">
        <v>2803</v>
      </c>
      <c r="B831" s="1" t="s">
        <v>1422</v>
      </c>
      <c r="C831" s="1" t="s">
        <v>2804</v>
      </c>
      <c r="D831" s="1" t="s">
        <v>2805</v>
      </c>
      <c r="E831" s="1" t="s">
        <v>178</v>
      </c>
      <c r="F831" s="1" t="s">
        <v>1675</v>
      </c>
      <c r="G831" s="1" t="s">
        <v>215</v>
      </c>
      <c r="H831" s="1">
        <v>5</v>
      </c>
      <c r="I831" s="1">
        <v>0.37562499999999999</v>
      </c>
      <c r="K831" s="1" t="s">
        <v>181</v>
      </c>
    </row>
    <row r="832" spans="1:11" x14ac:dyDescent="0.25">
      <c r="A832" s="1" t="s">
        <v>2806</v>
      </c>
      <c r="B832" s="1" t="s">
        <v>1422</v>
      </c>
      <c r="C832" s="1" t="s">
        <v>2807</v>
      </c>
      <c r="D832" s="1" t="s">
        <v>2808</v>
      </c>
      <c r="E832" s="1" t="s">
        <v>178</v>
      </c>
      <c r="F832" s="1" t="s">
        <v>1675</v>
      </c>
      <c r="G832" s="1" t="s">
        <v>215</v>
      </c>
      <c r="H832" s="1">
        <v>5</v>
      </c>
      <c r="I832" s="1">
        <v>0.37562499999999999</v>
      </c>
      <c r="K832" s="1" t="s">
        <v>181</v>
      </c>
    </row>
    <row r="833" spans="1:11" x14ac:dyDescent="0.25">
      <c r="A833" s="1" t="s">
        <v>2809</v>
      </c>
      <c r="B833" s="1" t="s">
        <v>2810</v>
      </c>
      <c r="C833" s="1" t="s">
        <v>2811</v>
      </c>
      <c r="D833" s="1" t="s">
        <v>2812</v>
      </c>
      <c r="E833" s="1" t="s">
        <v>178</v>
      </c>
      <c r="F833" s="1" t="s">
        <v>1675</v>
      </c>
      <c r="G833" s="1" t="s">
        <v>215</v>
      </c>
      <c r="H833" s="1">
        <v>5</v>
      </c>
      <c r="I833" s="1">
        <v>0.37562499999999999</v>
      </c>
      <c r="K833" s="1" t="s">
        <v>181</v>
      </c>
    </row>
    <row r="834" spans="1:11" x14ac:dyDescent="0.25">
      <c r="A834" s="1" t="s">
        <v>2813</v>
      </c>
      <c r="B834" s="1" t="s">
        <v>1031</v>
      </c>
      <c r="C834" s="1" t="s">
        <v>2814</v>
      </c>
      <c r="D834" s="1" t="s">
        <v>2815</v>
      </c>
      <c r="E834" s="1" t="s">
        <v>178</v>
      </c>
      <c r="F834" s="1" t="s">
        <v>1675</v>
      </c>
      <c r="G834" s="1" t="s">
        <v>215</v>
      </c>
      <c r="H834" s="1">
        <v>5</v>
      </c>
      <c r="I834" s="1">
        <v>0.37562499999999999</v>
      </c>
      <c r="K834" s="1" t="s">
        <v>181</v>
      </c>
    </row>
    <row r="835" spans="1:11" x14ac:dyDescent="0.25">
      <c r="A835" s="1" t="s">
        <v>2816</v>
      </c>
      <c r="B835" s="1" t="s">
        <v>1031</v>
      </c>
      <c r="C835" s="1" t="s">
        <v>2817</v>
      </c>
      <c r="D835" s="1" t="s">
        <v>2818</v>
      </c>
      <c r="E835" s="1" t="s">
        <v>178</v>
      </c>
      <c r="F835" s="1" t="s">
        <v>1675</v>
      </c>
      <c r="G835" s="1" t="s">
        <v>215</v>
      </c>
      <c r="H835" s="1">
        <v>5</v>
      </c>
      <c r="I835" s="1">
        <v>0.37562499999999999</v>
      </c>
      <c r="K835" s="1" t="s">
        <v>181</v>
      </c>
    </row>
    <row r="836" spans="1:11" x14ac:dyDescent="0.25">
      <c r="A836" s="1" t="s">
        <v>2819</v>
      </c>
      <c r="B836" s="1" t="s">
        <v>1031</v>
      </c>
      <c r="C836" s="1" t="s">
        <v>2820</v>
      </c>
      <c r="D836" s="1" t="s">
        <v>2821</v>
      </c>
      <c r="E836" s="1" t="s">
        <v>178</v>
      </c>
      <c r="F836" s="1" t="s">
        <v>1675</v>
      </c>
      <c r="G836" s="1" t="s">
        <v>215</v>
      </c>
      <c r="H836" s="1">
        <v>5</v>
      </c>
      <c r="I836" s="1">
        <v>0.37562499999999999</v>
      </c>
      <c r="K836" s="1" t="s">
        <v>181</v>
      </c>
    </row>
    <row r="837" spans="1:11" x14ac:dyDescent="0.25">
      <c r="A837" s="1" t="s">
        <v>2822</v>
      </c>
      <c r="B837" s="1" t="s">
        <v>1031</v>
      </c>
      <c r="C837" s="1" t="s">
        <v>2823</v>
      </c>
      <c r="D837" s="1" t="s">
        <v>2824</v>
      </c>
      <c r="E837" s="1" t="s">
        <v>178</v>
      </c>
      <c r="F837" s="1" t="s">
        <v>1675</v>
      </c>
      <c r="G837" s="1" t="s">
        <v>215</v>
      </c>
      <c r="H837" s="1">
        <v>5</v>
      </c>
      <c r="I837" s="1">
        <v>0.37562499999999999</v>
      </c>
      <c r="K837" s="1" t="s">
        <v>181</v>
      </c>
    </row>
    <row r="838" spans="1:11" x14ac:dyDescent="0.25">
      <c r="A838" s="1" t="s">
        <v>2825</v>
      </c>
      <c r="B838" s="1" t="s">
        <v>1031</v>
      </c>
      <c r="C838" s="1" t="s">
        <v>2826</v>
      </c>
      <c r="D838" s="1" t="s">
        <v>2827</v>
      </c>
      <c r="E838" s="1" t="s">
        <v>178</v>
      </c>
      <c r="F838" s="1" t="s">
        <v>1675</v>
      </c>
      <c r="G838" s="1" t="s">
        <v>215</v>
      </c>
      <c r="H838" s="1">
        <v>5</v>
      </c>
      <c r="I838" s="1">
        <v>0.37562499999999999</v>
      </c>
      <c r="K838" s="1" t="s">
        <v>181</v>
      </c>
    </row>
    <row r="839" spans="1:11" x14ac:dyDescent="0.25">
      <c r="A839" s="1" t="s">
        <v>2828</v>
      </c>
      <c r="B839" s="1" t="s">
        <v>1031</v>
      </c>
      <c r="C839" s="1" t="s">
        <v>2829</v>
      </c>
      <c r="D839" s="1" t="s">
        <v>2830</v>
      </c>
      <c r="E839" s="1" t="s">
        <v>178</v>
      </c>
      <c r="F839" s="1" t="s">
        <v>1675</v>
      </c>
      <c r="G839" s="1" t="s">
        <v>215</v>
      </c>
      <c r="H839" s="1">
        <v>5</v>
      </c>
      <c r="I839" s="1">
        <v>0.37562499999999999</v>
      </c>
      <c r="K839" s="1" t="s">
        <v>181</v>
      </c>
    </row>
    <row r="840" spans="1:11" x14ac:dyDescent="0.25">
      <c r="A840" s="1" t="s">
        <v>2831</v>
      </c>
      <c r="B840" s="1" t="s">
        <v>1031</v>
      </c>
      <c r="C840" s="1" t="s">
        <v>2832</v>
      </c>
      <c r="D840" s="1" t="s">
        <v>2833</v>
      </c>
      <c r="E840" s="1" t="s">
        <v>178</v>
      </c>
      <c r="F840" s="1" t="s">
        <v>1675</v>
      </c>
      <c r="G840" s="1" t="s">
        <v>215</v>
      </c>
      <c r="H840" s="1">
        <v>5</v>
      </c>
      <c r="I840" s="1">
        <v>0.37562499999999999</v>
      </c>
      <c r="K840" s="1" t="s">
        <v>181</v>
      </c>
    </row>
    <row r="841" spans="1:11" x14ac:dyDescent="0.25">
      <c r="A841" s="1" t="s">
        <v>2834</v>
      </c>
      <c r="B841" s="1" t="s">
        <v>1031</v>
      </c>
      <c r="C841" s="1" t="s">
        <v>2835</v>
      </c>
      <c r="D841" s="1" t="s">
        <v>2836</v>
      </c>
      <c r="E841" s="1" t="s">
        <v>178</v>
      </c>
      <c r="F841" s="1" t="s">
        <v>1675</v>
      </c>
      <c r="G841" s="1" t="s">
        <v>215</v>
      </c>
      <c r="H841" s="1">
        <v>5</v>
      </c>
      <c r="I841" s="1">
        <v>0.37562499999999999</v>
      </c>
      <c r="K841" s="1" t="s">
        <v>181</v>
      </c>
    </row>
    <row r="842" spans="1:11" x14ac:dyDescent="0.25">
      <c r="A842" s="1" t="s">
        <v>2837</v>
      </c>
      <c r="B842" s="1" t="s">
        <v>1031</v>
      </c>
      <c r="C842" s="1" t="s">
        <v>2838</v>
      </c>
      <c r="D842" s="1" t="s">
        <v>2839</v>
      </c>
      <c r="E842" s="1" t="s">
        <v>178</v>
      </c>
      <c r="F842" s="1" t="s">
        <v>1675</v>
      </c>
      <c r="G842" s="1" t="s">
        <v>215</v>
      </c>
      <c r="H842" s="1">
        <v>5</v>
      </c>
      <c r="I842" s="1">
        <v>0.37562499999999999</v>
      </c>
      <c r="K842" s="1" t="s">
        <v>181</v>
      </c>
    </row>
    <row r="843" spans="1:11" x14ac:dyDescent="0.25">
      <c r="A843" s="1" t="s">
        <v>2840</v>
      </c>
      <c r="B843" s="1" t="s">
        <v>1031</v>
      </c>
      <c r="C843" s="1" t="s">
        <v>2841</v>
      </c>
      <c r="D843" s="1" t="s">
        <v>2842</v>
      </c>
      <c r="E843" s="1" t="s">
        <v>178</v>
      </c>
      <c r="F843" s="1" t="s">
        <v>1675</v>
      </c>
      <c r="G843" s="1" t="s">
        <v>215</v>
      </c>
      <c r="H843" s="1">
        <v>5</v>
      </c>
      <c r="I843" s="1">
        <v>0.37562499999999999</v>
      </c>
      <c r="K843" s="1" t="s">
        <v>181</v>
      </c>
    </row>
    <row r="844" spans="1:11" x14ac:dyDescent="0.25">
      <c r="A844" s="1" t="s">
        <v>2843</v>
      </c>
      <c r="B844" s="1" t="s">
        <v>1031</v>
      </c>
      <c r="C844" s="1" t="s">
        <v>2844</v>
      </c>
      <c r="D844" s="1" t="s">
        <v>2845</v>
      </c>
      <c r="E844" s="1" t="s">
        <v>178</v>
      </c>
      <c r="F844" s="1" t="s">
        <v>1675</v>
      </c>
      <c r="G844" s="1" t="s">
        <v>215</v>
      </c>
      <c r="H844" s="1">
        <v>5</v>
      </c>
      <c r="I844" s="1">
        <v>0.37562499999999999</v>
      </c>
      <c r="K844" s="1" t="s">
        <v>181</v>
      </c>
    </row>
    <row r="845" spans="1:11" x14ac:dyDescent="0.25">
      <c r="A845" s="1" t="s">
        <v>2846</v>
      </c>
      <c r="B845" s="1" t="s">
        <v>1031</v>
      </c>
      <c r="C845" s="1" t="s">
        <v>2847</v>
      </c>
      <c r="D845" s="1" t="s">
        <v>2848</v>
      </c>
      <c r="E845" s="1" t="s">
        <v>178</v>
      </c>
      <c r="F845" s="1" t="s">
        <v>1675</v>
      </c>
      <c r="G845" s="1" t="s">
        <v>215</v>
      </c>
      <c r="H845" s="1">
        <v>5</v>
      </c>
      <c r="I845" s="1">
        <v>0.37562499999999999</v>
      </c>
      <c r="K845" s="1" t="s">
        <v>181</v>
      </c>
    </row>
    <row r="846" spans="1:11" x14ac:dyDescent="0.25">
      <c r="A846" s="1" t="s">
        <v>2849</v>
      </c>
      <c r="B846" s="1" t="s">
        <v>1031</v>
      </c>
      <c r="C846" s="1" t="s">
        <v>2850</v>
      </c>
      <c r="D846" s="1" t="s">
        <v>2851</v>
      </c>
      <c r="E846" s="1" t="s">
        <v>178</v>
      </c>
      <c r="F846" s="1" t="s">
        <v>1675</v>
      </c>
      <c r="G846" s="1" t="s">
        <v>215</v>
      </c>
      <c r="H846" s="1">
        <v>5</v>
      </c>
      <c r="I846" s="1">
        <v>0.37562499999999999</v>
      </c>
      <c r="K846" s="1" t="s">
        <v>181</v>
      </c>
    </row>
    <row r="847" spans="1:11" x14ac:dyDescent="0.25">
      <c r="A847" s="1" t="s">
        <v>2852</v>
      </c>
      <c r="B847" s="1" t="s">
        <v>1031</v>
      </c>
      <c r="C847" s="1" t="s">
        <v>2853</v>
      </c>
      <c r="D847" s="1" t="s">
        <v>2854</v>
      </c>
      <c r="E847" s="1" t="s">
        <v>178</v>
      </c>
      <c r="F847" s="1" t="s">
        <v>1675</v>
      </c>
      <c r="G847" s="1" t="s">
        <v>215</v>
      </c>
      <c r="H847" s="1">
        <v>5</v>
      </c>
      <c r="I847" s="1">
        <v>0.37562499999999999</v>
      </c>
      <c r="K847" s="1" t="s">
        <v>181</v>
      </c>
    </row>
    <row r="848" spans="1:11" x14ac:dyDescent="0.25">
      <c r="A848" s="1" t="s">
        <v>2855</v>
      </c>
      <c r="B848" s="1" t="s">
        <v>1031</v>
      </c>
      <c r="C848" s="1" t="s">
        <v>2856</v>
      </c>
      <c r="D848" s="1" t="s">
        <v>2857</v>
      </c>
      <c r="E848" s="1" t="s">
        <v>178</v>
      </c>
      <c r="F848" s="1" t="s">
        <v>1675</v>
      </c>
      <c r="G848" s="1" t="s">
        <v>215</v>
      </c>
      <c r="H848" s="1">
        <v>5</v>
      </c>
      <c r="I848" s="1">
        <v>0.37562499999999999</v>
      </c>
      <c r="K848" s="1" t="s">
        <v>181</v>
      </c>
    </row>
    <row r="849" spans="1:11" x14ac:dyDescent="0.25">
      <c r="A849" s="1" t="s">
        <v>2858</v>
      </c>
      <c r="B849" s="1" t="s">
        <v>1031</v>
      </c>
      <c r="C849" s="1" t="s">
        <v>2859</v>
      </c>
      <c r="D849" s="1" t="s">
        <v>2860</v>
      </c>
      <c r="E849" s="1" t="s">
        <v>178</v>
      </c>
      <c r="F849" s="1" t="s">
        <v>1675</v>
      </c>
      <c r="G849" s="1" t="s">
        <v>215</v>
      </c>
      <c r="H849" s="1">
        <v>5</v>
      </c>
      <c r="I849" s="1">
        <v>0.37562499999999999</v>
      </c>
      <c r="K849" s="1" t="s">
        <v>181</v>
      </c>
    </row>
    <row r="850" spans="1:11" x14ac:dyDescent="0.25">
      <c r="A850" s="1" t="s">
        <v>2861</v>
      </c>
      <c r="B850" s="1" t="s">
        <v>1031</v>
      </c>
      <c r="C850" s="1" t="s">
        <v>2862</v>
      </c>
      <c r="D850" s="1" t="s">
        <v>2863</v>
      </c>
      <c r="E850" s="1" t="s">
        <v>178</v>
      </c>
      <c r="F850" s="1" t="s">
        <v>1675</v>
      </c>
      <c r="G850" s="1" t="s">
        <v>215</v>
      </c>
      <c r="H850" s="1">
        <v>5</v>
      </c>
      <c r="I850" s="1">
        <v>0.37562499999999999</v>
      </c>
      <c r="K850" s="1" t="s">
        <v>181</v>
      </c>
    </row>
    <row r="851" spans="1:11" x14ac:dyDescent="0.25">
      <c r="A851" s="1" t="s">
        <v>2864</v>
      </c>
      <c r="B851" s="1" t="s">
        <v>1031</v>
      </c>
      <c r="C851" s="1" t="s">
        <v>2865</v>
      </c>
      <c r="D851" s="1" t="s">
        <v>2866</v>
      </c>
      <c r="E851" s="1" t="s">
        <v>178</v>
      </c>
      <c r="F851" s="1" t="s">
        <v>1675</v>
      </c>
      <c r="G851" s="1" t="s">
        <v>215</v>
      </c>
      <c r="H851" s="1">
        <v>5</v>
      </c>
      <c r="I851" s="1">
        <v>0.37562499999999999</v>
      </c>
      <c r="K851" s="1" t="s">
        <v>181</v>
      </c>
    </row>
    <row r="852" spans="1:11" x14ac:dyDescent="0.25">
      <c r="A852" s="1" t="s">
        <v>2867</v>
      </c>
      <c r="B852" s="1" t="s">
        <v>1031</v>
      </c>
      <c r="C852" s="1" t="s">
        <v>2868</v>
      </c>
      <c r="D852" s="1" t="s">
        <v>2869</v>
      </c>
      <c r="E852" s="1" t="s">
        <v>178</v>
      </c>
      <c r="F852" s="1" t="s">
        <v>1675</v>
      </c>
      <c r="G852" s="1" t="s">
        <v>215</v>
      </c>
      <c r="H852" s="1">
        <v>5</v>
      </c>
      <c r="I852" s="1">
        <v>0.37562499999999999</v>
      </c>
      <c r="K852" s="1" t="s">
        <v>181</v>
      </c>
    </row>
    <row r="853" spans="1:11" x14ac:dyDescent="0.25">
      <c r="A853" s="1" t="s">
        <v>2870</v>
      </c>
      <c r="B853" s="1" t="s">
        <v>1031</v>
      </c>
      <c r="C853" s="1" t="s">
        <v>2871</v>
      </c>
      <c r="D853" s="1" t="s">
        <v>2872</v>
      </c>
      <c r="E853" s="1" t="s">
        <v>178</v>
      </c>
      <c r="F853" s="1" t="s">
        <v>1675</v>
      </c>
      <c r="G853" s="1" t="s">
        <v>215</v>
      </c>
      <c r="H853" s="1">
        <v>5</v>
      </c>
      <c r="I853" s="1">
        <v>0.37562499999999999</v>
      </c>
      <c r="K853" s="1" t="s">
        <v>181</v>
      </c>
    </row>
    <row r="854" spans="1:11" x14ac:dyDescent="0.25">
      <c r="A854" s="1" t="s">
        <v>2873</v>
      </c>
      <c r="B854" s="1" t="s">
        <v>1031</v>
      </c>
      <c r="C854" s="1" t="s">
        <v>2874</v>
      </c>
      <c r="D854" s="1" t="s">
        <v>2875</v>
      </c>
      <c r="E854" s="1" t="s">
        <v>178</v>
      </c>
      <c r="F854" s="1" t="s">
        <v>1675</v>
      </c>
      <c r="G854" s="1" t="s">
        <v>215</v>
      </c>
      <c r="H854" s="1">
        <v>5</v>
      </c>
      <c r="I854" s="1">
        <v>0.37562499999999999</v>
      </c>
      <c r="K854" s="1" t="s">
        <v>181</v>
      </c>
    </row>
    <row r="855" spans="1:11" x14ac:dyDescent="0.25">
      <c r="A855" s="1" t="s">
        <v>2876</v>
      </c>
      <c r="B855" s="1" t="s">
        <v>1031</v>
      </c>
      <c r="C855" s="1" t="s">
        <v>2877</v>
      </c>
      <c r="D855" s="1" t="s">
        <v>2878</v>
      </c>
      <c r="E855" s="1" t="s">
        <v>178</v>
      </c>
      <c r="F855" s="1" t="s">
        <v>1675</v>
      </c>
      <c r="G855" s="1" t="s">
        <v>215</v>
      </c>
      <c r="H855" s="1">
        <v>5</v>
      </c>
      <c r="I855" s="1">
        <v>0.37562499999999999</v>
      </c>
      <c r="K855" s="1" t="s">
        <v>181</v>
      </c>
    </row>
    <row r="856" spans="1:11" x14ac:dyDescent="0.25">
      <c r="A856" s="1" t="s">
        <v>2879</v>
      </c>
      <c r="B856" s="1" t="s">
        <v>1031</v>
      </c>
      <c r="C856" s="1" t="s">
        <v>2880</v>
      </c>
      <c r="D856" s="1" t="s">
        <v>2881</v>
      </c>
      <c r="E856" s="1" t="s">
        <v>178</v>
      </c>
      <c r="F856" s="1" t="s">
        <v>1675</v>
      </c>
      <c r="G856" s="1" t="s">
        <v>215</v>
      </c>
      <c r="H856" s="1">
        <v>5</v>
      </c>
      <c r="I856" s="1">
        <v>0.37562499999999999</v>
      </c>
      <c r="K856" s="1" t="s">
        <v>181</v>
      </c>
    </row>
    <row r="857" spans="1:11" x14ac:dyDescent="0.25">
      <c r="A857" s="1" t="s">
        <v>2882</v>
      </c>
      <c r="B857" s="1" t="s">
        <v>1031</v>
      </c>
      <c r="C857" s="1" t="s">
        <v>2883</v>
      </c>
      <c r="D857" s="1" t="s">
        <v>2884</v>
      </c>
      <c r="E857" s="1" t="s">
        <v>178</v>
      </c>
      <c r="F857" s="1" t="s">
        <v>1675</v>
      </c>
      <c r="G857" s="1" t="s">
        <v>215</v>
      </c>
      <c r="H857" s="1">
        <v>5</v>
      </c>
      <c r="I857" s="1">
        <v>0.37562499999999999</v>
      </c>
      <c r="K857" s="1" t="s">
        <v>181</v>
      </c>
    </row>
    <row r="858" spans="1:11" x14ac:dyDescent="0.25">
      <c r="A858" s="1" t="s">
        <v>2885</v>
      </c>
      <c r="B858" s="1" t="s">
        <v>1031</v>
      </c>
      <c r="C858" s="1" t="s">
        <v>2886</v>
      </c>
      <c r="D858" s="1" t="s">
        <v>2887</v>
      </c>
      <c r="E858" s="1" t="s">
        <v>178</v>
      </c>
      <c r="F858" s="1" t="s">
        <v>1675</v>
      </c>
      <c r="G858" s="1" t="s">
        <v>215</v>
      </c>
      <c r="H858" s="1">
        <v>5</v>
      </c>
      <c r="I858" s="1">
        <v>0.37562499999999999</v>
      </c>
      <c r="K858" s="1" t="s">
        <v>181</v>
      </c>
    </row>
    <row r="859" spans="1:11" x14ac:dyDescent="0.25">
      <c r="A859" s="1" t="s">
        <v>2888</v>
      </c>
      <c r="B859" s="1" t="s">
        <v>1031</v>
      </c>
      <c r="C859" s="1" t="s">
        <v>2889</v>
      </c>
      <c r="D859" s="1" t="s">
        <v>2890</v>
      </c>
      <c r="E859" s="1" t="s">
        <v>178</v>
      </c>
      <c r="F859" s="1" t="s">
        <v>1675</v>
      </c>
      <c r="G859" s="1" t="s">
        <v>215</v>
      </c>
      <c r="H859" s="1">
        <v>5</v>
      </c>
      <c r="I859" s="1">
        <v>0.37562499999999999</v>
      </c>
      <c r="K859" s="1" t="s">
        <v>181</v>
      </c>
    </row>
    <row r="860" spans="1:11" x14ac:dyDescent="0.25">
      <c r="A860" s="1" t="s">
        <v>2891</v>
      </c>
      <c r="B860" s="1" t="s">
        <v>1031</v>
      </c>
      <c r="C860" s="1" t="s">
        <v>2892</v>
      </c>
      <c r="D860" s="1" t="s">
        <v>2893</v>
      </c>
      <c r="E860" s="1" t="s">
        <v>178</v>
      </c>
      <c r="F860" s="1" t="s">
        <v>1675</v>
      </c>
      <c r="G860" s="1" t="s">
        <v>215</v>
      </c>
      <c r="H860" s="1">
        <v>5</v>
      </c>
      <c r="I860" s="1">
        <v>0.37562499999999999</v>
      </c>
      <c r="K860" s="1" t="s">
        <v>181</v>
      </c>
    </row>
    <row r="861" spans="1:11" x14ac:dyDescent="0.25">
      <c r="A861" s="1" t="s">
        <v>2894</v>
      </c>
      <c r="B861" s="1" t="s">
        <v>1031</v>
      </c>
      <c r="C861" s="1" t="s">
        <v>2895</v>
      </c>
      <c r="D861" s="1" t="s">
        <v>2896</v>
      </c>
      <c r="E861" s="1" t="s">
        <v>178</v>
      </c>
      <c r="F861" s="1" t="s">
        <v>1675</v>
      </c>
      <c r="G861" s="1" t="s">
        <v>215</v>
      </c>
      <c r="H861" s="1">
        <v>5</v>
      </c>
      <c r="I861" s="1">
        <v>0.37562499999999999</v>
      </c>
      <c r="K861" s="1" t="s">
        <v>181</v>
      </c>
    </row>
    <row r="862" spans="1:11" x14ac:dyDescent="0.25">
      <c r="A862" s="1" t="s">
        <v>2897</v>
      </c>
      <c r="B862" s="1" t="s">
        <v>1031</v>
      </c>
      <c r="C862" s="1" t="s">
        <v>2898</v>
      </c>
      <c r="D862" s="1" t="s">
        <v>2899</v>
      </c>
      <c r="E862" s="1" t="s">
        <v>178</v>
      </c>
      <c r="F862" s="1" t="s">
        <v>1675</v>
      </c>
      <c r="G862" s="1" t="s">
        <v>215</v>
      </c>
      <c r="H862" s="1">
        <v>5</v>
      </c>
      <c r="I862" s="1">
        <v>0.37562499999999999</v>
      </c>
      <c r="K862" s="1" t="s">
        <v>181</v>
      </c>
    </row>
    <row r="863" spans="1:11" x14ac:dyDescent="0.25">
      <c r="A863" s="1" t="s">
        <v>2900</v>
      </c>
      <c r="B863" s="1" t="s">
        <v>1031</v>
      </c>
      <c r="C863" s="1" t="s">
        <v>2901</v>
      </c>
      <c r="D863" s="1" t="s">
        <v>2902</v>
      </c>
      <c r="E863" s="1" t="s">
        <v>178</v>
      </c>
      <c r="F863" s="1" t="s">
        <v>1675</v>
      </c>
      <c r="G863" s="1" t="s">
        <v>215</v>
      </c>
      <c r="H863" s="1">
        <v>5</v>
      </c>
      <c r="I863" s="1">
        <v>0.37562499999999999</v>
      </c>
      <c r="K863" s="1" t="s">
        <v>181</v>
      </c>
    </row>
    <row r="864" spans="1:11" x14ac:dyDescent="0.25">
      <c r="A864" s="1" t="s">
        <v>2903</v>
      </c>
      <c r="B864" s="1" t="s">
        <v>1031</v>
      </c>
      <c r="C864" s="1" t="s">
        <v>2904</v>
      </c>
      <c r="D864" s="1" t="s">
        <v>2905</v>
      </c>
      <c r="E864" s="1" t="s">
        <v>178</v>
      </c>
      <c r="F864" s="1" t="s">
        <v>1675</v>
      </c>
      <c r="G864" s="1" t="s">
        <v>215</v>
      </c>
      <c r="H864" s="1">
        <v>5</v>
      </c>
      <c r="I864" s="1">
        <v>0.37562499999999999</v>
      </c>
      <c r="K864" s="1" t="s">
        <v>181</v>
      </c>
    </row>
    <row r="865" spans="1:11" x14ac:dyDescent="0.25">
      <c r="A865" s="1" t="s">
        <v>2906</v>
      </c>
      <c r="B865" s="1" t="s">
        <v>1031</v>
      </c>
      <c r="C865" s="1" t="s">
        <v>2907</v>
      </c>
      <c r="D865" s="1" t="s">
        <v>2908</v>
      </c>
      <c r="E865" s="1" t="s">
        <v>178</v>
      </c>
      <c r="F865" s="1" t="s">
        <v>1675</v>
      </c>
      <c r="G865" s="1" t="s">
        <v>215</v>
      </c>
      <c r="H865" s="1">
        <v>5</v>
      </c>
      <c r="I865" s="1">
        <v>0.37562499999999999</v>
      </c>
      <c r="K865" s="1" t="s">
        <v>181</v>
      </c>
    </row>
    <row r="866" spans="1:11" x14ac:dyDescent="0.25">
      <c r="A866" s="1" t="s">
        <v>2909</v>
      </c>
      <c r="B866" s="1" t="s">
        <v>1031</v>
      </c>
      <c r="C866" s="1" t="s">
        <v>2910</v>
      </c>
      <c r="D866" s="1" t="s">
        <v>2911</v>
      </c>
      <c r="E866" s="1" t="s">
        <v>178</v>
      </c>
      <c r="F866" s="1" t="s">
        <v>1675</v>
      </c>
      <c r="G866" s="1" t="s">
        <v>215</v>
      </c>
      <c r="H866" s="1">
        <v>5</v>
      </c>
      <c r="I866" s="1">
        <v>0.37562499999999999</v>
      </c>
      <c r="K866" s="1" t="s">
        <v>181</v>
      </c>
    </row>
    <row r="867" spans="1:11" x14ac:dyDescent="0.25">
      <c r="A867" s="1" t="s">
        <v>2912</v>
      </c>
      <c r="B867" s="1" t="s">
        <v>2913</v>
      </c>
      <c r="C867" s="1" t="s">
        <v>2914</v>
      </c>
      <c r="D867" s="1" t="s">
        <v>2915</v>
      </c>
      <c r="E867" s="1" t="s">
        <v>178</v>
      </c>
      <c r="F867" s="1" t="s">
        <v>1675</v>
      </c>
      <c r="G867" s="1" t="s">
        <v>215</v>
      </c>
      <c r="H867" s="1">
        <v>5</v>
      </c>
      <c r="I867" s="1">
        <v>0.37562499999999999</v>
      </c>
      <c r="K867" s="1" t="s">
        <v>181</v>
      </c>
    </row>
    <row r="868" spans="1:11" x14ac:dyDescent="0.25">
      <c r="A868" s="1" t="s">
        <v>2916</v>
      </c>
      <c r="B868" s="1" t="s">
        <v>1031</v>
      </c>
      <c r="C868" s="1" t="s">
        <v>2917</v>
      </c>
      <c r="D868" s="1" t="s">
        <v>2918</v>
      </c>
      <c r="E868" s="1" t="s">
        <v>178</v>
      </c>
      <c r="F868" s="1" t="s">
        <v>1675</v>
      </c>
      <c r="G868" s="1" t="s">
        <v>215</v>
      </c>
      <c r="H868" s="1">
        <v>5</v>
      </c>
      <c r="I868" s="1">
        <v>0.37562499999999999</v>
      </c>
      <c r="K868" s="1" t="s">
        <v>181</v>
      </c>
    </row>
    <row r="869" spans="1:11" x14ac:dyDescent="0.25">
      <c r="A869" s="1" t="s">
        <v>2919</v>
      </c>
      <c r="B869" s="1" t="s">
        <v>659</v>
      </c>
      <c r="C869" s="1" t="s">
        <v>2920</v>
      </c>
      <c r="D869" s="1" t="s">
        <v>2921</v>
      </c>
      <c r="E869" s="1" t="s">
        <v>178</v>
      </c>
      <c r="F869" s="1" t="s">
        <v>1675</v>
      </c>
      <c r="G869" s="1" t="s">
        <v>215</v>
      </c>
      <c r="H869" s="1">
        <v>5</v>
      </c>
      <c r="I869" s="1">
        <v>0.37562499999999999</v>
      </c>
      <c r="K869" s="1" t="s">
        <v>181</v>
      </c>
    </row>
    <row r="870" spans="1:11" x14ac:dyDescent="0.25">
      <c r="A870" s="1" t="s">
        <v>2922</v>
      </c>
      <c r="B870" s="1" t="s">
        <v>659</v>
      </c>
      <c r="C870" s="1" t="s">
        <v>2923</v>
      </c>
      <c r="D870" s="1" t="s">
        <v>2924</v>
      </c>
      <c r="E870" s="1" t="s">
        <v>178</v>
      </c>
      <c r="F870" s="1" t="s">
        <v>1675</v>
      </c>
      <c r="G870" s="1" t="s">
        <v>215</v>
      </c>
      <c r="H870" s="1">
        <v>5</v>
      </c>
      <c r="I870" s="1">
        <v>0.37562499999999999</v>
      </c>
      <c r="K870" s="1" t="s">
        <v>181</v>
      </c>
    </row>
    <row r="871" spans="1:11" x14ac:dyDescent="0.25">
      <c r="A871" s="1" t="s">
        <v>2925</v>
      </c>
      <c r="B871" s="1" t="s">
        <v>673</v>
      </c>
      <c r="C871" s="1" t="s">
        <v>2926</v>
      </c>
      <c r="D871" s="1" t="s">
        <v>2927</v>
      </c>
      <c r="E871" s="1" t="s">
        <v>178</v>
      </c>
      <c r="F871" s="1" t="s">
        <v>1675</v>
      </c>
      <c r="G871" s="1" t="s">
        <v>215</v>
      </c>
      <c r="H871" s="1">
        <v>5</v>
      </c>
      <c r="I871" s="1">
        <v>0.37562499999999999</v>
      </c>
      <c r="K871" s="1" t="s">
        <v>181</v>
      </c>
    </row>
    <row r="872" spans="1:11" x14ac:dyDescent="0.25">
      <c r="A872" s="1" t="s">
        <v>2928</v>
      </c>
      <c r="B872" s="1" t="s">
        <v>673</v>
      </c>
      <c r="C872" s="1" t="s">
        <v>2929</v>
      </c>
      <c r="D872" s="1" t="s">
        <v>2930</v>
      </c>
      <c r="E872" s="1" t="s">
        <v>178</v>
      </c>
      <c r="F872" s="1" t="s">
        <v>1675</v>
      </c>
      <c r="G872" s="1" t="s">
        <v>215</v>
      </c>
      <c r="H872" s="1">
        <v>5</v>
      </c>
      <c r="I872" s="1">
        <v>0.37562499999999999</v>
      </c>
      <c r="K872" s="1" t="s">
        <v>181</v>
      </c>
    </row>
    <row r="873" spans="1:11" x14ac:dyDescent="0.25">
      <c r="A873" s="1" t="s">
        <v>2931</v>
      </c>
      <c r="B873" s="1" t="s">
        <v>1656</v>
      </c>
      <c r="C873" s="1" t="s">
        <v>2932</v>
      </c>
      <c r="D873" s="1" t="s">
        <v>2933</v>
      </c>
      <c r="E873" s="1" t="s">
        <v>178</v>
      </c>
      <c r="F873" s="1" t="s">
        <v>1675</v>
      </c>
      <c r="G873" s="1" t="s">
        <v>215</v>
      </c>
      <c r="H873" s="1">
        <v>5</v>
      </c>
      <c r="I873" s="1">
        <v>0.37562499999999999</v>
      </c>
      <c r="K873" s="1" t="s">
        <v>181</v>
      </c>
    </row>
    <row r="874" spans="1:11" x14ac:dyDescent="0.25">
      <c r="A874" s="1" t="s">
        <v>2934</v>
      </c>
      <c r="B874" s="1" t="s">
        <v>1660</v>
      </c>
      <c r="C874" s="1" t="s">
        <v>2935</v>
      </c>
      <c r="D874" s="1" t="s">
        <v>2936</v>
      </c>
      <c r="E874" s="1" t="s">
        <v>178</v>
      </c>
      <c r="F874" s="1" t="s">
        <v>1675</v>
      </c>
      <c r="G874" s="1" t="s">
        <v>211</v>
      </c>
      <c r="H874" s="1">
        <v>5</v>
      </c>
      <c r="I874" s="1">
        <v>0.37562499999999999</v>
      </c>
      <c r="K874" s="1" t="s">
        <v>181</v>
      </c>
    </row>
    <row r="875" spans="1:11" x14ac:dyDescent="0.25">
      <c r="A875" s="1" t="s">
        <v>2937</v>
      </c>
      <c r="B875" s="1" t="s">
        <v>1617</v>
      </c>
      <c r="C875" s="1" t="s">
        <v>2938</v>
      </c>
      <c r="D875" s="1" t="s">
        <v>2939</v>
      </c>
      <c r="E875" s="1" t="s">
        <v>178</v>
      </c>
      <c r="F875" s="1" t="s">
        <v>1675</v>
      </c>
      <c r="G875" s="1" t="s">
        <v>215</v>
      </c>
      <c r="H875" s="1">
        <v>5</v>
      </c>
      <c r="I875" s="1">
        <v>0.37562499999999999</v>
      </c>
      <c r="K875" s="1" t="s">
        <v>181</v>
      </c>
    </row>
    <row r="876" spans="1:11" x14ac:dyDescent="0.25">
      <c r="A876" s="1" t="s">
        <v>2940</v>
      </c>
      <c r="B876" s="1" t="s">
        <v>1617</v>
      </c>
      <c r="C876" s="1" t="s">
        <v>2941</v>
      </c>
      <c r="D876" s="1" t="s">
        <v>2942</v>
      </c>
      <c r="E876" s="1" t="s">
        <v>178</v>
      </c>
      <c r="F876" s="1" t="s">
        <v>1675</v>
      </c>
      <c r="G876" s="1" t="s">
        <v>215</v>
      </c>
      <c r="H876" s="1">
        <v>5</v>
      </c>
      <c r="I876" s="1">
        <v>0.37562499999999999</v>
      </c>
      <c r="K876" s="1" t="s">
        <v>181</v>
      </c>
    </row>
    <row r="877" spans="1:11" x14ac:dyDescent="0.25">
      <c r="A877" s="1" t="s">
        <v>2943</v>
      </c>
      <c r="B877" s="1" t="s">
        <v>1617</v>
      </c>
      <c r="C877" s="1" t="s">
        <v>2944</v>
      </c>
      <c r="D877" s="1" t="s">
        <v>2945</v>
      </c>
      <c r="E877" s="1" t="s">
        <v>178</v>
      </c>
      <c r="F877" s="1" t="s">
        <v>1675</v>
      </c>
      <c r="G877" s="1" t="s">
        <v>215</v>
      </c>
      <c r="H877" s="1">
        <v>5</v>
      </c>
      <c r="I877" s="1">
        <v>0.37562499999999999</v>
      </c>
      <c r="K877" s="1" t="s">
        <v>181</v>
      </c>
    </row>
    <row r="878" spans="1:11" x14ac:dyDescent="0.25">
      <c r="A878" s="1" t="s">
        <v>2946</v>
      </c>
      <c r="B878" s="1" t="s">
        <v>673</v>
      </c>
      <c r="C878" s="1" t="s">
        <v>2947</v>
      </c>
      <c r="D878" s="1" t="s">
        <v>2948</v>
      </c>
      <c r="E878" s="1" t="s">
        <v>178</v>
      </c>
      <c r="F878" s="1" t="s">
        <v>1675</v>
      </c>
      <c r="G878" s="1" t="s">
        <v>211</v>
      </c>
      <c r="H878" s="1">
        <v>5</v>
      </c>
      <c r="I878" s="1">
        <v>0.37562499999999999</v>
      </c>
      <c r="K878" s="1" t="s">
        <v>181</v>
      </c>
    </row>
    <row r="879" spans="1:11" x14ac:dyDescent="0.25">
      <c r="A879" s="1" t="s">
        <v>2949</v>
      </c>
      <c r="B879" s="1" t="s">
        <v>673</v>
      </c>
      <c r="C879" s="1" t="s">
        <v>2950</v>
      </c>
      <c r="D879" s="1" t="s">
        <v>2951</v>
      </c>
      <c r="E879" s="1" t="s">
        <v>178</v>
      </c>
      <c r="F879" s="1" t="s">
        <v>1675</v>
      </c>
      <c r="G879" s="1" t="s">
        <v>215</v>
      </c>
      <c r="H879" s="1">
        <v>5</v>
      </c>
      <c r="I879" s="1">
        <v>0.37562499999999999</v>
      </c>
      <c r="K879" s="1" t="s">
        <v>181</v>
      </c>
    </row>
    <row r="880" spans="1:11" x14ac:dyDescent="0.25">
      <c r="A880" s="1" t="s">
        <v>2952</v>
      </c>
      <c r="B880" s="1" t="s">
        <v>673</v>
      </c>
      <c r="C880" s="1" t="s">
        <v>2953</v>
      </c>
      <c r="D880" s="1" t="s">
        <v>2954</v>
      </c>
      <c r="E880" s="1" t="s">
        <v>178</v>
      </c>
      <c r="F880" s="1" t="s">
        <v>1675</v>
      </c>
      <c r="G880" s="1" t="s">
        <v>215</v>
      </c>
      <c r="H880" s="1">
        <v>5</v>
      </c>
      <c r="I880" s="1">
        <v>0.37562499999999999</v>
      </c>
      <c r="K880" s="1" t="s">
        <v>181</v>
      </c>
    </row>
    <row r="881" spans="1:11" x14ac:dyDescent="0.25">
      <c r="A881" s="1" t="s">
        <v>2955</v>
      </c>
      <c r="B881" s="1" t="s">
        <v>673</v>
      </c>
      <c r="C881" s="1" t="s">
        <v>2956</v>
      </c>
      <c r="D881" s="1" t="s">
        <v>2957</v>
      </c>
      <c r="E881" s="1" t="s">
        <v>178</v>
      </c>
      <c r="F881" s="1" t="s">
        <v>1675</v>
      </c>
      <c r="G881" s="1" t="s">
        <v>215</v>
      </c>
      <c r="H881" s="1">
        <v>5</v>
      </c>
      <c r="I881" s="1">
        <v>0.37562499999999999</v>
      </c>
      <c r="K881" s="1" t="s">
        <v>181</v>
      </c>
    </row>
    <row r="882" spans="1:11" x14ac:dyDescent="0.25">
      <c r="A882" s="1" t="s">
        <v>2958</v>
      </c>
      <c r="B882" s="1" t="s">
        <v>1379</v>
      </c>
      <c r="C882" s="1" t="s">
        <v>2959</v>
      </c>
      <c r="D882" s="1" t="s">
        <v>2960</v>
      </c>
      <c r="E882" s="1" t="s">
        <v>178</v>
      </c>
      <c r="F882" s="1" t="s">
        <v>1675</v>
      </c>
      <c r="G882" s="1" t="s">
        <v>215</v>
      </c>
      <c r="H882" s="1">
        <v>5</v>
      </c>
      <c r="I882" s="1">
        <v>0.37562499999999999</v>
      </c>
      <c r="K882" s="1" t="s">
        <v>181</v>
      </c>
    </row>
    <row r="883" spans="1:11" x14ac:dyDescent="0.25">
      <c r="A883" s="1" t="s">
        <v>2961</v>
      </c>
      <c r="B883" s="1" t="s">
        <v>1667</v>
      </c>
      <c r="C883" s="1" t="s">
        <v>2962</v>
      </c>
      <c r="D883" s="1" t="s">
        <v>2963</v>
      </c>
      <c r="E883" s="1" t="s">
        <v>178</v>
      </c>
      <c r="F883" s="1" t="s">
        <v>1675</v>
      </c>
      <c r="G883" s="1" t="s">
        <v>215</v>
      </c>
      <c r="H883" s="1">
        <v>5</v>
      </c>
      <c r="I883" s="1">
        <v>0.37562499999999999</v>
      </c>
      <c r="K883" s="1" t="s">
        <v>181</v>
      </c>
    </row>
    <row r="884" spans="1:11" x14ac:dyDescent="0.25">
      <c r="A884" s="1" t="s">
        <v>2964</v>
      </c>
      <c r="B884" s="1" t="s">
        <v>2965</v>
      </c>
      <c r="C884" s="1" t="s">
        <v>2966</v>
      </c>
      <c r="D884" s="1" t="s">
        <v>2967</v>
      </c>
      <c r="E884" s="1" t="s">
        <v>178</v>
      </c>
      <c r="F884" s="1" t="s">
        <v>1675</v>
      </c>
      <c r="G884" s="1" t="s">
        <v>215</v>
      </c>
      <c r="H884" s="1">
        <v>5</v>
      </c>
      <c r="I884" s="1">
        <v>0.37562499999999999</v>
      </c>
      <c r="K884" s="1" t="s">
        <v>181</v>
      </c>
    </row>
    <row r="885" spans="1:11" x14ac:dyDescent="0.25">
      <c r="A885" s="1" t="s">
        <v>2968</v>
      </c>
      <c r="B885" s="1" t="s">
        <v>2969</v>
      </c>
      <c r="C885" s="1" t="s">
        <v>2970</v>
      </c>
      <c r="D885" s="1" t="s">
        <v>2971</v>
      </c>
      <c r="E885" s="1" t="s">
        <v>178</v>
      </c>
      <c r="F885" s="1" t="s">
        <v>1675</v>
      </c>
      <c r="G885" s="1" t="s">
        <v>211</v>
      </c>
      <c r="H885" s="1">
        <v>5</v>
      </c>
      <c r="I885" s="1">
        <v>0.37562499999999999</v>
      </c>
      <c r="K885" s="1" t="s">
        <v>181</v>
      </c>
    </row>
    <row r="886" spans="1:11" x14ac:dyDescent="0.25">
      <c r="A886" s="1" t="s">
        <v>2972</v>
      </c>
      <c r="B886" s="1" t="s">
        <v>2973</v>
      </c>
      <c r="C886" s="1" t="s">
        <v>2974</v>
      </c>
      <c r="D886" s="1" t="s">
        <v>2975</v>
      </c>
      <c r="E886" s="1" t="s">
        <v>178</v>
      </c>
      <c r="F886" s="1" t="s">
        <v>1675</v>
      </c>
      <c r="G886" s="1" t="s">
        <v>215</v>
      </c>
      <c r="H886" s="1">
        <v>5</v>
      </c>
      <c r="I886" s="1">
        <v>0.37562499999999999</v>
      </c>
      <c r="K886" s="1" t="s">
        <v>181</v>
      </c>
    </row>
    <row r="887" spans="1:11" x14ac:dyDescent="0.25">
      <c r="A887" s="1" t="s">
        <v>2976</v>
      </c>
      <c r="B887" s="1" t="s">
        <v>1667</v>
      </c>
      <c r="C887" s="1" t="s">
        <v>2977</v>
      </c>
      <c r="D887" s="1" t="s">
        <v>2963</v>
      </c>
      <c r="E887" s="1" t="s">
        <v>178</v>
      </c>
      <c r="F887" s="1" t="s">
        <v>1675</v>
      </c>
      <c r="G887" s="1" t="s">
        <v>215</v>
      </c>
      <c r="H887" s="1">
        <v>5</v>
      </c>
      <c r="I887" s="1">
        <v>0.37562499999999999</v>
      </c>
      <c r="K887" s="1" t="s">
        <v>181</v>
      </c>
    </row>
    <row r="888" spans="1:11" x14ac:dyDescent="0.25">
      <c r="A888" s="1" t="s">
        <v>2978</v>
      </c>
      <c r="B888" s="1" t="s">
        <v>1667</v>
      </c>
      <c r="C888" s="1" t="s">
        <v>2979</v>
      </c>
      <c r="D888" s="1" t="s">
        <v>2621</v>
      </c>
      <c r="E888" s="1" t="s">
        <v>178</v>
      </c>
      <c r="F888" s="1" t="s">
        <v>1675</v>
      </c>
      <c r="G888" s="1" t="s">
        <v>215</v>
      </c>
      <c r="H888" s="1">
        <v>5</v>
      </c>
      <c r="I888" s="1">
        <v>0.37562499999999999</v>
      </c>
      <c r="K888" s="1" t="s">
        <v>181</v>
      </c>
    </row>
    <row r="889" spans="1:11" x14ac:dyDescent="0.25">
      <c r="A889" s="1" t="s">
        <v>2980</v>
      </c>
      <c r="B889" s="1" t="s">
        <v>2981</v>
      </c>
      <c r="D889" s="1" t="s">
        <v>2982</v>
      </c>
      <c r="E889" s="1" t="s">
        <v>209</v>
      </c>
      <c r="F889" s="1" t="s">
        <v>1675</v>
      </c>
      <c r="G889" s="1" t="s">
        <v>215</v>
      </c>
      <c r="H889" s="1">
        <v>5</v>
      </c>
      <c r="I889" s="1">
        <v>0.37562499999999999</v>
      </c>
      <c r="K889" s="1" t="s">
        <v>181</v>
      </c>
    </row>
    <row r="890" spans="1:11" x14ac:dyDescent="0.25">
      <c r="A890" s="1" t="s">
        <v>2983</v>
      </c>
      <c r="B890" s="1" t="s">
        <v>2984</v>
      </c>
      <c r="D890" s="1" t="s">
        <v>2985</v>
      </c>
      <c r="E890" s="1" t="s">
        <v>209</v>
      </c>
      <c r="F890" s="1" t="s">
        <v>1675</v>
      </c>
      <c r="G890" s="1" t="s">
        <v>215</v>
      </c>
      <c r="H890" s="1">
        <v>5</v>
      </c>
      <c r="I890" s="1">
        <v>0.37562499999999999</v>
      </c>
      <c r="K890" s="1" t="s">
        <v>181</v>
      </c>
    </row>
    <row r="891" spans="1:11" x14ac:dyDescent="0.25">
      <c r="A891" s="1" t="s">
        <v>2986</v>
      </c>
      <c r="B891" s="1" t="s">
        <v>2987</v>
      </c>
      <c r="D891" s="1" t="s">
        <v>2988</v>
      </c>
      <c r="E891" s="1" t="s">
        <v>209</v>
      </c>
      <c r="F891" s="1" t="s">
        <v>1675</v>
      </c>
      <c r="G891" s="1" t="s">
        <v>211</v>
      </c>
      <c r="H891" s="1">
        <v>5</v>
      </c>
      <c r="I891" s="1">
        <v>0.37562499999999999</v>
      </c>
      <c r="K891" s="1" t="s">
        <v>181</v>
      </c>
    </row>
    <row r="892" spans="1:11" x14ac:dyDescent="0.25">
      <c r="A892" s="1" t="s">
        <v>2989</v>
      </c>
      <c r="B892" s="1" t="s">
        <v>2990</v>
      </c>
      <c r="D892" s="1" t="s">
        <v>2991</v>
      </c>
      <c r="E892" s="1" t="s">
        <v>209</v>
      </c>
      <c r="F892" s="1" t="s">
        <v>1675</v>
      </c>
      <c r="G892" s="1" t="s">
        <v>215</v>
      </c>
      <c r="H892" s="1">
        <v>5</v>
      </c>
      <c r="I892" s="1">
        <v>0.37562499999999999</v>
      </c>
      <c r="K892" s="1" t="s">
        <v>181</v>
      </c>
    </row>
    <row r="893" spans="1:11" x14ac:dyDescent="0.25">
      <c r="A893" s="1" t="s">
        <v>2992</v>
      </c>
      <c r="B893" s="1" t="s">
        <v>2993</v>
      </c>
      <c r="D893" s="1" t="s">
        <v>2994</v>
      </c>
      <c r="E893" s="1" t="s">
        <v>209</v>
      </c>
      <c r="F893" s="1" t="s">
        <v>1675</v>
      </c>
      <c r="G893" s="1" t="s">
        <v>215</v>
      </c>
      <c r="H893" s="1">
        <v>5</v>
      </c>
      <c r="I893" s="1">
        <v>0.37562499999999999</v>
      </c>
      <c r="K893" s="1" t="s">
        <v>181</v>
      </c>
    </row>
    <row r="894" spans="1:11" x14ac:dyDescent="0.25">
      <c r="A894" s="1" t="s">
        <v>2995</v>
      </c>
      <c r="B894" s="1" t="s">
        <v>2996</v>
      </c>
      <c r="D894" s="1" t="s">
        <v>2997</v>
      </c>
      <c r="E894" s="1" t="s">
        <v>209</v>
      </c>
      <c r="F894" s="1" t="s">
        <v>1675</v>
      </c>
      <c r="G894" s="1" t="s">
        <v>215</v>
      </c>
      <c r="H894" s="1">
        <v>5</v>
      </c>
      <c r="I894" s="1">
        <v>0.37562499999999999</v>
      </c>
      <c r="K894" s="1" t="s">
        <v>181</v>
      </c>
    </row>
    <row r="895" spans="1:11" x14ac:dyDescent="0.25">
      <c r="A895" s="1" t="s">
        <v>2998</v>
      </c>
      <c r="B895" s="1" t="s">
        <v>2999</v>
      </c>
      <c r="D895" s="1" t="s">
        <v>3000</v>
      </c>
      <c r="E895" s="1" t="s">
        <v>209</v>
      </c>
      <c r="F895" s="1" t="s">
        <v>1675</v>
      </c>
      <c r="G895" s="1" t="s">
        <v>215</v>
      </c>
      <c r="H895" s="1">
        <v>5</v>
      </c>
      <c r="I895" s="1">
        <v>0.37562499999999999</v>
      </c>
      <c r="K895" s="1" t="s">
        <v>181</v>
      </c>
    </row>
    <row r="896" spans="1:11" x14ac:dyDescent="0.25">
      <c r="A896" s="1" t="s">
        <v>3001</v>
      </c>
      <c r="B896" s="1" t="s">
        <v>3002</v>
      </c>
      <c r="D896" s="1" t="s">
        <v>3003</v>
      </c>
      <c r="E896" s="1" t="s">
        <v>209</v>
      </c>
      <c r="F896" s="1" t="s">
        <v>1675</v>
      </c>
      <c r="G896" s="1" t="s">
        <v>215</v>
      </c>
      <c r="H896" s="1">
        <v>5</v>
      </c>
      <c r="I896" s="1">
        <v>0.37562499999999999</v>
      </c>
      <c r="K896" s="1" t="s">
        <v>181</v>
      </c>
    </row>
    <row r="897" spans="1:11" x14ac:dyDescent="0.25">
      <c r="A897" s="1" t="s">
        <v>3004</v>
      </c>
      <c r="B897" s="1" t="s">
        <v>3005</v>
      </c>
      <c r="D897" s="1" t="s">
        <v>3006</v>
      </c>
      <c r="E897" s="1" t="s">
        <v>209</v>
      </c>
      <c r="F897" s="1" t="s">
        <v>1675</v>
      </c>
      <c r="G897" s="1" t="s">
        <v>215</v>
      </c>
      <c r="H897" s="1">
        <v>5</v>
      </c>
      <c r="I897" s="1">
        <v>0.37562499999999999</v>
      </c>
      <c r="K897" s="1" t="s">
        <v>181</v>
      </c>
    </row>
    <row r="898" spans="1:11" x14ac:dyDescent="0.25">
      <c r="A898" s="1" t="s">
        <v>3007</v>
      </c>
      <c r="B898" s="1" t="s">
        <v>3008</v>
      </c>
      <c r="D898" s="1" t="s">
        <v>3009</v>
      </c>
      <c r="E898" s="1" t="s">
        <v>209</v>
      </c>
      <c r="F898" s="1" t="s">
        <v>1675</v>
      </c>
      <c r="G898" s="1" t="s">
        <v>215</v>
      </c>
      <c r="H898" s="1">
        <v>5</v>
      </c>
      <c r="I898" s="1">
        <v>0.37562499999999999</v>
      </c>
      <c r="K898" s="1" t="s">
        <v>181</v>
      </c>
    </row>
    <row r="899" spans="1:11" x14ac:dyDescent="0.25">
      <c r="A899" s="1" t="s">
        <v>3010</v>
      </c>
      <c r="B899" s="1" t="s">
        <v>3011</v>
      </c>
      <c r="D899" s="1" t="s">
        <v>3012</v>
      </c>
      <c r="E899" s="1" t="s">
        <v>209</v>
      </c>
      <c r="F899" s="1" t="s">
        <v>1675</v>
      </c>
      <c r="G899" s="1" t="s">
        <v>215</v>
      </c>
      <c r="H899" s="1">
        <v>5</v>
      </c>
      <c r="I899" s="1">
        <v>0.37562499999999999</v>
      </c>
      <c r="K899" s="1" t="s">
        <v>181</v>
      </c>
    </row>
    <row r="900" spans="1:11" x14ac:dyDescent="0.25">
      <c r="A900" s="1" t="s">
        <v>3013</v>
      </c>
      <c r="B900" s="1" t="s">
        <v>3014</v>
      </c>
      <c r="D900" s="1" t="s">
        <v>3015</v>
      </c>
      <c r="E900" s="1" t="s">
        <v>209</v>
      </c>
      <c r="F900" s="1" t="s">
        <v>1675</v>
      </c>
      <c r="G900" s="1" t="s">
        <v>215</v>
      </c>
      <c r="H900" s="1">
        <v>5</v>
      </c>
      <c r="I900" s="1">
        <v>0.37562499999999999</v>
      </c>
      <c r="K900" s="1" t="s">
        <v>181</v>
      </c>
    </row>
    <row r="901" spans="1:11" x14ac:dyDescent="0.25">
      <c r="A901" s="1" t="s">
        <v>3016</v>
      </c>
      <c r="B901" s="1" t="s">
        <v>3017</v>
      </c>
      <c r="D901" s="1" t="s">
        <v>3018</v>
      </c>
      <c r="E901" s="1" t="s">
        <v>209</v>
      </c>
      <c r="F901" s="1" t="s">
        <v>1675</v>
      </c>
      <c r="G901" s="1" t="s">
        <v>215</v>
      </c>
      <c r="H901" s="1">
        <v>5</v>
      </c>
      <c r="I901" s="1">
        <v>0.37562499999999999</v>
      </c>
      <c r="K901" s="1" t="s">
        <v>181</v>
      </c>
    </row>
    <row r="902" spans="1:11" x14ac:dyDescent="0.25">
      <c r="A902" s="1" t="s">
        <v>3019</v>
      </c>
      <c r="B902" s="1" t="s">
        <v>3020</v>
      </c>
      <c r="D902" s="1" t="s">
        <v>3021</v>
      </c>
      <c r="E902" s="1" t="s">
        <v>209</v>
      </c>
      <c r="F902" s="1" t="s">
        <v>1675</v>
      </c>
      <c r="G902" s="1" t="s">
        <v>215</v>
      </c>
      <c r="H902" s="1">
        <v>5</v>
      </c>
      <c r="I902" s="1">
        <v>0.37562499999999999</v>
      </c>
      <c r="K902" s="1" t="s">
        <v>181</v>
      </c>
    </row>
    <row r="903" spans="1:11" x14ac:dyDescent="0.25">
      <c r="A903" s="1" t="s">
        <v>3022</v>
      </c>
      <c r="B903" s="1" t="s">
        <v>3023</v>
      </c>
      <c r="D903" s="1" t="s">
        <v>3024</v>
      </c>
      <c r="E903" s="1" t="s">
        <v>209</v>
      </c>
      <c r="F903" s="1" t="s">
        <v>1675</v>
      </c>
      <c r="G903" s="1" t="s">
        <v>215</v>
      </c>
      <c r="H903" s="1">
        <v>5</v>
      </c>
      <c r="I903" s="1">
        <v>0.37562499999999999</v>
      </c>
      <c r="K903" s="1" t="s">
        <v>181</v>
      </c>
    </row>
    <row r="904" spans="1:11" x14ac:dyDescent="0.25">
      <c r="A904" s="1" t="s">
        <v>3025</v>
      </c>
      <c r="B904" s="1" t="s">
        <v>3026</v>
      </c>
      <c r="D904" s="1" t="s">
        <v>3027</v>
      </c>
      <c r="E904" s="1" t="s">
        <v>209</v>
      </c>
      <c r="F904" s="1" t="s">
        <v>1675</v>
      </c>
      <c r="G904" s="1" t="s">
        <v>215</v>
      </c>
      <c r="H904" s="1">
        <v>5</v>
      </c>
      <c r="I904" s="1">
        <v>0.37562499999999999</v>
      </c>
      <c r="K904" s="1" t="s">
        <v>181</v>
      </c>
    </row>
    <row r="905" spans="1:11" x14ac:dyDescent="0.25">
      <c r="A905" s="1" t="s">
        <v>3028</v>
      </c>
      <c r="B905" s="1" t="s">
        <v>3029</v>
      </c>
      <c r="D905" s="1" t="s">
        <v>3030</v>
      </c>
      <c r="E905" s="1" t="s">
        <v>209</v>
      </c>
      <c r="F905" s="1" t="s">
        <v>1675</v>
      </c>
      <c r="G905" s="1" t="s">
        <v>215</v>
      </c>
      <c r="H905" s="1">
        <v>5</v>
      </c>
      <c r="I905" s="1">
        <v>0.37562499999999999</v>
      </c>
      <c r="K905" s="1" t="s">
        <v>181</v>
      </c>
    </row>
    <row r="906" spans="1:11" x14ac:dyDescent="0.25">
      <c r="A906" s="1" t="s">
        <v>3031</v>
      </c>
      <c r="B906" s="1" t="s">
        <v>3032</v>
      </c>
      <c r="D906" s="1" t="s">
        <v>3033</v>
      </c>
      <c r="E906" s="1" t="s">
        <v>209</v>
      </c>
      <c r="F906" s="1" t="s">
        <v>1675</v>
      </c>
      <c r="G906" s="1" t="s">
        <v>215</v>
      </c>
      <c r="H906" s="1">
        <v>5</v>
      </c>
      <c r="I906" s="1">
        <v>0.37562499999999999</v>
      </c>
      <c r="K906" s="1" t="s">
        <v>181</v>
      </c>
    </row>
    <row r="907" spans="1:11" x14ac:dyDescent="0.25">
      <c r="A907" s="1" t="s">
        <v>3034</v>
      </c>
      <c r="B907" s="1" t="s">
        <v>3035</v>
      </c>
      <c r="D907" s="1" t="s">
        <v>3036</v>
      </c>
      <c r="E907" s="1" t="s">
        <v>209</v>
      </c>
      <c r="F907" s="1" t="s">
        <v>1675</v>
      </c>
      <c r="G907" s="1" t="s">
        <v>215</v>
      </c>
      <c r="H907" s="1">
        <v>5</v>
      </c>
      <c r="I907" s="1">
        <v>0.37562499999999999</v>
      </c>
      <c r="K907" s="1" t="s">
        <v>181</v>
      </c>
    </row>
    <row r="908" spans="1:11" x14ac:dyDescent="0.25">
      <c r="A908" s="1" t="s">
        <v>3037</v>
      </c>
      <c r="B908" s="1" t="s">
        <v>3038</v>
      </c>
      <c r="D908" s="1" t="s">
        <v>3039</v>
      </c>
      <c r="E908" s="1" t="s">
        <v>209</v>
      </c>
      <c r="F908" s="1" t="s">
        <v>1675</v>
      </c>
      <c r="G908" s="1" t="s">
        <v>215</v>
      </c>
      <c r="H908" s="1">
        <v>5</v>
      </c>
      <c r="I908" s="1">
        <v>0.37562499999999999</v>
      </c>
      <c r="K908" s="1" t="s">
        <v>181</v>
      </c>
    </row>
    <row r="909" spans="1:11" x14ac:dyDescent="0.25">
      <c r="A909" s="1" t="s">
        <v>3040</v>
      </c>
      <c r="B909" s="1" t="s">
        <v>3041</v>
      </c>
      <c r="D909" s="1" t="s">
        <v>3042</v>
      </c>
      <c r="E909" s="1" t="s">
        <v>209</v>
      </c>
      <c r="F909" s="1" t="s">
        <v>1675</v>
      </c>
      <c r="G909" s="1" t="s">
        <v>215</v>
      </c>
      <c r="H909" s="1">
        <v>5</v>
      </c>
      <c r="I909" s="1">
        <v>0.37562499999999999</v>
      </c>
      <c r="K909" s="1" t="s">
        <v>181</v>
      </c>
    </row>
    <row r="910" spans="1:11" x14ac:dyDescent="0.25">
      <c r="A910" s="1" t="s">
        <v>3043</v>
      </c>
      <c r="B910" s="1" t="s">
        <v>3044</v>
      </c>
      <c r="D910" s="1" t="s">
        <v>3045</v>
      </c>
      <c r="E910" s="1" t="s">
        <v>209</v>
      </c>
      <c r="F910" s="1" t="s">
        <v>1675</v>
      </c>
      <c r="G910" s="1" t="s">
        <v>215</v>
      </c>
      <c r="H910" s="1">
        <v>5</v>
      </c>
      <c r="I910" s="1">
        <v>0.37562499999999999</v>
      </c>
      <c r="K910" s="1" t="s">
        <v>181</v>
      </c>
    </row>
    <row r="911" spans="1:11" x14ac:dyDescent="0.25">
      <c r="A911" s="1" t="s">
        <v>3046</v>
      </c>
      <c r="B911" s="1" t="s">
        <v>3047</v>
      </c>
      <c r="D911" s="1" t="s">
        <v>3048</v>
      </c>
      <c r="E911" s="1" t="s">
        <v>209</v>
      </c>
      <c r="F911" s="1" t="s">
        <v>1675</v>
      </c>
      <c r="G911" s="1" t="s">
        <v>215</v>
      </c>
      <c r="H911" s="1">
        <v>5</v>
      </c>
      <c r="I911" s="1">
        <v>0.37562499999999999</v>
      </c>
      <c r="K911" s="1" t="s">
        <v>181</v>
      </c>
    </row>
    <row r="912" spans="1:11" x14ac:dyDescent="0.25">
      <c r="A912" s="1" t="s">
        <v>3049</v>
      </c>
      <c r="B912" s="1" t="s">
        <v>3050</v>
      </c>
      <c r="D912" s="1" t="s">
        <v>3051</v>
      </c>
      <c r="E912" s="1" t="s">
        <v>209</v>
      </c>
      <c r="F912" s="1" t="s">
        <v>1675</v>
      </c>
      <c r="G912" s="1" t="s">
        <v>215</v>
      </c>
      <c r="H912" s="1">
        <v>5</v>
      </c>
      <c r="I912" s="1">
        <v>0.37562499999999999</v>
      </c>
      <c r="K912" s="1" t="s">
        <v>181</v>
      </c>
    </row>
    <row r="913" spans="1:11" x14ac:dyDescent="0.25">
      <c r="A913" s="1" t="s">
        <v>3052</v>
      </c>
      <c r="B913" s="1" t="s">
        <v>3053</v>
      </c>
      <c r="D913" s="1" t="s">
        <v>3054</v>
      </c>
      <c r="E913" s="1" t="s">
        <v>209</v>
      </c>
      <c r="F913" s="1" t="s">
        <v>1675</v>
      </c>
      <c r="G913" s="1" t="s">
        <v>215</v>
      </c>
      <c r="H913" s="1">
        <v>5</v>
      </c>
      <c r="I913" s="1">
        <v>0.37562499999999999</v>
      </c>
      <c r="K913" s="1" t="s">
        <v>181</v>
      </c>
    </row>
    <row r="914" spans="1:11" x14ac:dyDescent="0.25">
      <c r="A914" s="1" t="s">
        <v>3055</v>
      </c>
      <c r="B914" s="1" t="s">
        <v>3056</v>
      </c>
      <c r="D914" s="1" t="s">
        <v>3057</v>
      </c>
      <c r="E914" s="1" t="s">
        <v>209</v>
      </c>
      <c r="F914" s="1" t="s">
        <v>1675</v>
      </c>
      <c r="G914" s="1" t="s">
        <v>215</v>
      </c>
      <c r="H914" s="1">
        <v>5</v>
      </c>
      <c r="I914" s="1">
        <v>0.37562499999999999</v>
      </c>
      <c r="K914" s="1" t="s">
        <v>181</v>
      </c>
    </row>
    <row r="915" spans="1:11" x14ac:dyDescent="0.25">
      <c r="A915" s="1" t="s">
        <v>3058</v>
      </c>
      <c r="B915" s="1" t="s">
        <v>3059</v>
      </c>
      <c r="D915" s="1" t="s">
        <v>3060</v>
      </c>
      <c r="E915" s="1" t="s">
        <v>209</v>
      </c>
      <c r="F915" s="1" t="s">
        <v>1675</v>
      </c>
      <c r="G915" s="1" t="s">
        <v>215</v>
      </c>
      <c r="H915" s="1">
        <v>5</v>
      </c>
      <c r="I915" s="1">
        <v>0.37562499999999999</v>
      </c>
      <c r="K915" s="1" t="s">
        <v>181</v>
      </c>
    </row>
    <row r="916" spans="1:11" x14ac:dyDescent="0.25">
      <c r="A916" s="1" t="s">
        <v>3061</v>
      </c>
      <c r="B916" s="1" t="s">
        <v>3062</v>
      </c>
      <c r="D916" s="1" t="s">
        <v>3063</v>
      </c>
      <c r="E916" s="1" t="s">
        <v>209</v>
      </c>
      <c r="F916" s="1" t="s">
        <v>1675</v>
      </c>
      <c r="G916" s="1" t="s">
        <v>215</v>
      </c>
      <c r="H916" s="1">
        <v>5</v>
      </c>
      <c r="I916" s="1">
        <v>0.37562499999999999</v>
      </c>
      <c r="K916" s="1" t="s">
        <v>181</v>
      </c>
    </row>
    <row r="917" spans="1:11" x14ac:dyDescent="0.25">
      <c r="A917" s="1" t="s">
        <v>3064</v>
      </c>
      <c r="B917" s="1" t="s">
        <v>3065</v>
      </c>
      <c r="D917" s="1" t="s">
        <v>3066</v>
      </c>
      <c r="E917" s="1" t="s">
        <v>209</v>
      </c>
      <c r="F917" s="1" t="s">
        <v>1675</v>
      </c>
      <c r="G917" s="1" t="s">
        <v>215</v>
      </c>
      <c r="H917" s="1">
        <v>5</v>
      </c>
      <c r="I917" s="1">
        <v>0.37562499999999999</v>
      </c>
      <c r="K917" s="1" t="s">
        <v>181</v>
      </c>
    </row>
    <row r="918" spans="1:11" x14ac:dyDescent="0.25">
      <c r="A918" s="1" t="s">
        <v>3067</v>
      </c>
      <c r="B918" s="1" t="s">
        <v>3068</v>
      </c>
      <c r="D918" s="1" t="s">
        <v>3069</v>
      </c>
      <c r="E918" s="1" t="s">
        <v>209</v>
      </c>
      <c r="F918" s="1" t="s">
        <v>1675</v>
      </c>
      <c r="G918" s="1" t="s">
        <v>215</v>
      </c>
      <c r="H918" s="1">
        <v>5</v>
      </c>
      <c r="I918" s="1">
        <v>0.37562499999999999</v>
      </c>
      <c r="K918" s="1" t="s">
        <v>181</v>
      </c>
    </row>
    <row r="919" spans="1:11" x14ac:dyDescent="0.25">
      <c r="A919" s="1" t="s">
        <v>3070</v>
      </c>
      <c r="B919" s="1" t="s">
        <v>3071</v>
      </c>
      <c r="D919" s="1" t="s">
        <v>3072</v>
      </c>
      <c r="E919" s="1" t="s">
        <v>209</v>
      </c>
      <c r="F919" s="1" t="s">
        <v>1675</v>
      </c>
      <c r="G919" s="1" t="s">
        <v>215</v>
      </c>
      <c r="H919" s="1">
        <v>5</v>
      </c>
      <c r="I919" s="1">
        <v>0.37562499999999999</v>
      </c>
      <c r="K919" s="1" t="s">
        <v>181</v>
      </c>
    </row>
    <row r="920" spans="1:11" x14ac:dyDescent="0.25">
      <c r="A920" s="1" t="s">
        <v>3073</v>
      </c>
      <c r="B920" s="1" t="s">
        <v>3074</v>
      </c>
      <c r="D920" s="1" t="s">
        <v>3075</v>
      </c>
      <c r="E920" s="1" t="s">
        <v>209</v>
      </c>
      <c r="F920" s="1" t="s">
        <v>1675</v>
      </c>
      <c r="G920" s="1" t="s">
        <v>215</v>
      </c>
      <c r="H920" s="1">
        <v>5</v>
      </c>
      <c r="I920" s="1">
        <v>0.37562499999999999</v>
      </c>
      <c r="K920" s="1" t="s">
        <v>181</v>
      </c>
    </row>
    <row r="921" spans="1:11" x14ac:dyDescent="0.25">
      <c r="A921" s="1" t="s">
        <v>3076</v>
      </c>
      <c r="B921" s="1" t="s">
        <v>3077</v>
      </c>
      <c r="D921" s="1" t="s">
        <v>3078</v>
      </c>
      <c r="E921" s="1" t="s">
        <v>209</v>
      </c>
      <c r="F921" s="1" t="s">
        <v>1675</v>
      </c>
      <c r="G921" s="1" t="s">
        <v>215</v>
      </c>
      <c r="H921" s="1">
        <v>5</v>
      </c>
      <c r="I921" s="1">
        <v>0.37562499999999999</v>
      </c>
      <c r="K921" s="1" t="s">
        <v>181</v>
      </c>
    </row>
    <row r="922" spans="1:11" x14ac:dyDescent="0.25">
      <c r="A922" s="1" t="s">
        <v>3079</v>
      </c>
      <c r="B922" s="1" t="s">
        <v>3080</v>
      </c>
      <c r="D922" s="1" t="s">
        <v>3081</v>
      </c>
      <c r="E922" s="1" t="s">
        <v>209</v>
      </c>
      <c r="F922" s="1" t="s">
        <v>1675</v>
      </c>
      <c r="G922" s="1" t="s">
        <v>215</v>
      </c>
      <c r="H922" s="1">
        <v>5</v>
      </c>
      <c r="I922" s="1">
        <v>0.37562499999999999</v>
      </c>
      <c r="K922" s="1" t="s">
        <v>181</v>
      </c>
    </row>
    <row r="923" spans="1:11" x14ac:dyDescent="0.25">
      <c r="A923" s="1" t="s">
        <v>3082</v>
      </c>
      <c r="B923" s="1" t="s">
        <v>3083</v>
      </c>
      <c r="D923" s="1" t="s">
        <v>3084</v>
      </c>
      <c r="E923" s="1" t="s">
        <v>209</v>
      </c>
      <c r="F923" s="1" t="s">
        <v>1675</v>
      </c>
      <c r="G923" s="1" t="s">
        <v>215</v>
      </c>
      <c r="H923" s="1">
        <v>5</v>
      </c>
      <c r="I923" s="1">
        <v>0.37562499999999999</v>
      </c>
      <c r="K923" s="1" t="s">
        <v>181</v>
      </c>
    </row>
    <row r="924" spans="1:11" x14ac:dyDescent="0.25">
      <c r="A924" s="1" t="s">
        <v>3085</v>
      </c>
      <c r="B924" s="1" t="s">
        <v>3086</v>
      </c>
      <c r="D924" s="1" t="s">
        <v>3087</v>
      </c>
      <c r="E924" s="1" t="s">
        <v>209</v>
      </c>
      <c r="F924" s="1" t="s">
        <v>1675</v>
      </c>
      <c r="G924" s="1" t="s">
        <v>215</v>
      </c>
      <c r="H924" s="1">
        <v>5</v>
      </c>
      <c r="I924" s="1">
        <v>0.37562499999999999</v>
      </c>
      <c r="K924" s="1" t="s">
        <v>181</v>
      </c>
    </row>
    <row r="925" spans="1:11" x14ac:dyDescent="0.25">
      <c r="A925" s="1" t="s">
        <v>3088</v>
      </c>
      <c r="B925" s="1" t="s">
        <v>3089</v>
      </c>
      <c r="D925" s="1" t="s">
        <v>3090</v>
      </c>
      <c r="E925" s="1" t="s">
        <v>209</v>
      </c>
      <c r="F925" s="1" t="s">
        <v>1675</v>
      </c>
      <c r="G925" s="1" t="s">
        <v>215</v>
      </c>
      <c r="H925" s="1">
        <v>5</v>
      </c>
      <c r="I925" s="1">
        <v>0.37562499999999999</v>
      </c>
      <c r="K925" s="1" t="s">
        <v>181</v>
      </c>
    </row>
    <row r="926" spans="1:11" x14ac:dyDescent="0.25">
      <c r="A926" s="1" t="s">
        <v>3091</v>
      </c>
      <c r="B926" s="1" t="s">
        <v>2052</v>
      </c>
      <c r="D926" s="1" t="s">
        <v>3092</v>
      </c>
      <c r="E926" s="1" t="s">
        <v>209</v>
      </c>
      <c r="F926" s="1" t="s">
        <v>1675</v>
      </c>
      <c r="G926" s="1" t="s">
        <v>215</v>
      </c>
      <c r="H926" s="1">
        <v>5</v>
      </c>
      <c r="I926" s="1">
        <v>0.37562499999999999</v>
      </c>
      <c r="K926" s="1" t="s">
        <v>181</v>
      </c>
    </row>
    <row r="927" spans="1:11" x14ac:dyDescent="0.25">
      <c r="A927" s="1" t="s">
        <v>3093</v>
      </c>
      <c r="B927" s="1" t="s">
        <v>3094</v>
      </c>
      <c r="D927" s="1" t="s">
        <v>3095</v>
      </c>
      <c r="E927" s="1" t="s">
        <v>209</v>
      </c>
      <c r="F927" s="1" t="s">
        <v>1675</v>
      </c>
      <c r="G927" s="1" t="s">
        <v>215</v>
      </c>
      <c r="H927" s="1">
        <v>5</v>
      </c>
      <c r="I927" s="1">
        <v>0.37562499999999999</v>
      </c>
      <c r="K927" s="1" t="s">
        <v>181</v>
      </c>
    </row>
    <row r="928" spans="1:11" x14ac:dyDescent="0.25">
      <c r="A928" s="1" t="s">
        <v>3096</v>
      </c>
      <c r="B928" s="1" t="s">
        <v>3097</v>
      </c>
      <c r="D928" s="1" t="s">
        <v>3098</v>
      </c>
      <c r="E928" s="1" t="s">
        <v>209</v>
      </c>
      <c r="F928" s="1" t="s">
        <v>1675</v>
      </c>
      <c r="G928" s="1" t="s">
        <v>215</v>
      </c>
      <c r="H928" s="1">
        <v>5</v>
      </c>
      <c r="I928" s="1">
        <v>0.37562499999999999</v>
      </c>
      <c r="K928" s="1" t="s">
        <v>181</v>
      </c>
    </row>
    <row r="929" spans="1:11" x14ac:dyDescent="0.25">
      <c r="A929" s="1" t="s">
        <v>3099</v>
      </c>
      <c r="B929" s="1" t="s">
        <v>3100</v>
      </c>
      <c r="D929" s="1" t="s">
        <v>3101</v>
      </c>
      <c r="E929" s="1" t="s">
        <v>209</v>
      </c>
      <c r="F929" s="1" t="s">
        <v>1675</v>
      </c>
      <c r="G929" s="1" t="s">
        <v>215</v>
      </c>
      <c r="H929" s="1">
        <v>5</v>
      </c>
      <c r="I929" s="1">
        <v>0.37562499999999999</v>
      </c>
      <c r="K929" s="1" t="s">
        <v>181</v>
      </c>
    </row>
    <row r="930" spans="1:11" x14ac:dyDescent="0.25">
      <c r="A930" s="1" t="s">
        <v>3102</v>
      </c>
      <c r="B930" s="1" t="s">
        <v>3103</v>
      </c>
      <c r="D930" s="1" t="s">
        <v>3104</v>
      </c>
      <c r="E930" s="1" t="s">
        <v>209</v>
      </c>
      <c r="F930" s="1" t="s">
        <v>1675</v>
      </c>
      <c r="G930" s="1" t="s">
        <v>215</v>
      </c>
      <c r="H930" s="1">
        <v>5</v>
      </c>
      <c r="I930" s="1">
        <v>0.37562499999999999</v>
      </c>
      <c r="K930" s="1" t="s">
        <v>181</v>
      </c>
    </row>
    <row r="931" spans="1:11" x14ac:dyDescent="0.25">
      <c r="A931" s="1" t="s">
        <v>3105</v>
      </c>
      <c r="B931" s="1" t="s">
        <v>3106</v>
      </c>
      <c r="D931" s="1" t="s">
        <v>3107</v>
      </c>
      <c r="E931" s="1" t="s">
        <v>209</v>
      </c>
      <c r="F931" s="1" t="s">
        <v>1675</v>
      </c>
      <c r="G931" s="1" t="s">
        <v>215</v>
      </c>
      <c r="H931" s="1">
        <v>5</v>
      </c>
      <c r="I931" s="1">
        <v>0.37562499999999999</v>
      </c>
      <c r="K931" s="1" t="s">
        <v>181</v>
      </c>
    </row>
    <row r="932" spans="1:11" x14ac:dyDescent="0.25">
      <c r="A932" s="1" t="s">
        <v>3108</v>
      </c>
      <c r="B932" s="1" t="s">
        <v>3109</v>
      </c>
      <c r="D932" s="1" t="s">
        <v>3110</v>
      </c>
      <c r="E932" s="1" t="s">
        <v>209</v>
      </c>
      <c r="F932" s="1" t="s">
        <v>1675</v>
      </c>
      <c r="G932" s="1" t="s">
        <v>215</v>
      </c>
      <c r="H932" s="1">
        <v>5</v>
      </c>
      <c r="I932" s="1">
        <v>0.37562499999999999</v>
      </c>
      <c r="K932" s="1" t="s">
        <v>181</v>
      </c>
    </row>
    <row r="933" spans="1:11" x14ac:dyDescent="0.25">
      <c r="A933" s="1" t="s">
        <v>3111</v>
      </c>
      <c r="B933" s="1" t="s">
        <v>3112</v>
      </c>
      <c r="D933" s="1" t="s">
        <v>3113</v>
      </c>
      <c r="E933" s="1" t="s">
        <v>209</v>
      </c>
      <c r="F933" s="1" t="s">
        <v>1675</v>
      </c>
      <c r="G933" s="1" t="s">
        <v>215</v>
      </c>
      <c r="H933" s="1">
        <v>5</v>
      </c>
      <c r="I933" s="1">
        <v>0.37562499999999999</v>
      </c>
      <c r="K933" s="1" t="s">
        <v>181</v>
      </c>
    </row>
    <row r="934" spans="1:11" x14ac:dyDescent="0.25">
      <c r="A934" s="1" t="s">
        <v>3114</v>
      </c>
      <c r="B934" s="1" t="s">
        <v>3115</v>
      </c>
      <c r="D934" s="1" t="s">
        <v>3116</v>
      </c>
      <c r="E934" s="1" t="s">
        <v>209</v>
      </c>
      <c r="F934" s="1" t="s">
        <v>1675</v>
      </c>
      <c r="G934" s="1" t="s">
        <v>215</v>
      </c>
      <c r="H934" s="1">
        <v>5</v>
      </c>
      <c r="I934" s="1">
        <v>0.37562499999999999</v>
      </c>
      <c r="K934" s="1" t="s">
        <v>181</v>
      </c>
    </row>
    <row r="935" spans="1:11" x14ac:dyDescent="0.25">
      <c r="A935" s="1" t="s">
        <v>3117</v>
      </c>
      <c r="B935" s="1" t="s">
        <v>3118</v>
      </c>
      <c r="D935" s="1" t="s">
        <v>3119</v>
      </c>
      <c r="E935" s="1" t="s">
        <v>209</v>
      </c>
      <c r="F935" s="1" t="s">
        <v>1675</v>
      </c>
      <c r="G935" s="1" t="s">
        <v>215</v>
      </c>
      <c r="H935" s="1">
        <v>5</v>
      </c>
      <c r="I935" s="1">
        <v>0.37562499999999999</v>
      </c>
      <c r="K935" s="1" t="s">
        <v>181</v>
      </c>
    </row>
    <row r="936" spans="1:11" x14ac:dyDescent="0.25">
      <c r="A936" s="1" t="s">
        <v>3120</v>
      </c>
      <c r="B936" s="1" t="s">
        <v>3121</v>
      </c>
      <c r="D936" s="1" t="s">
        <v>3122</v>
      </c>
      <c r="E936" s="1" t="s">
        <v>209</v>
      </c>
      <c r="F936" s="1" t="s">
        <v>1675</v>
      </c>
      <c r="G936" s="1" t="s">
        <v>215</v>
      </c>
      <c r="H936" s="1">
        <v>5</v>
      </c>
      <c r="I936" s="1">
        <v>0.37562499999999999</v>
      </c>
      <c r="K936" s="1" t="s">
        <v>181</v>
      </c>
    </row>
    <row r="937" spans="1:11" x14ac:dyDescent="0.25">
      <c r="A937" s="1" t="s">
        <v>3123</v>
      </c>
      <c r="B937" s="1" t="s">
        <v>3124</v>
      </c>
      <c r="D937" s="1" t="s">
        <v>3125</v>
      </c>
      <c r="E937" s="1" t="s">
        <v>209</v>
      </c>
      <c r="F937" s="1" t="s">
        <v>1675</v>
      </c>
      <c r="G937" s="1" t="s">
        <v>215</v>
      </c>
      <c r="H937" s="1">
        <v>5</v>
      </c>
      <c r="I937" s="1">
        <v>0.37562499999999999</v>
      </c>
      <c r="K937" s="1" t="s">
        <v>181</v>
      </c>
    </row>
    <row r="938" spans="1:11" x14ac:dyDescent="0.25">
      <c r="A938" s="1" t="s">
        <v>3126</v>
      </c>
      <c r="B938" s="1" t="s">
        <v>3127</v>
      </c>
      <c r="D938" s="1" t="s">
        <v>3128</v>
      </c>
      <c r="E938" s="1" t="s">
        <v>209</v>
      </c>
      <c r="F938" s="1" t="s">
        <v>1675</v>
      </c>
      <c r="G938" s="1" t="s">
        <v>215</v>
      </c>
      <c r="H938" s="1">
        <v>5</v>
      </c>
      <c r="I938" s="1">
        <v>0.37562499999999999</v>
      </c>
      <c r="K938" s="1" t="s">
        <v>181</v>
      </c>
    </row>
    <row r="939" spans="1:11" x14ac:dyDescent="0.25">
      <c r="A939" s="1" t="s">
        <v>3129</v>
      </c>
      <c r="B939" s="1" t="s">
        <v>3130</v>
      </c>
      <c r="D939" s="1" t="s">
        <v>3131</v>
      </c>
      <c r="E939" s="1" t="s">
        <v>209</v>
      </c>
      <c r="F939" s="1" t="s">
        <v>1675</v>
      </c>
      <c r="G939" s="1" t="s">
        <v>215</v>
      </c>
      <c r="H939" s="1">
        <v>5</v>
      </c>
      <c r="I939" s="1">
        <v>0.37562499999999999</v>
      </c>
      <c r="K939" s="1" t="s">
        <v>181</v>
      </c>
    </row>
    <row r="940" spans="1:11" x14ac:dyDescent="0.25">
      <c r="A940" s="1" t="s">
        <v>3132</v>
      </c>
      <c r="B940" s="1" t="s">
        <v>3133</v>
      </c>
      <c r="D940" s="1" t="s">
        <v>3134</v>
      </c>
      <c r="E940" s="1" t="s">
        <v>209</v>
      </c>
      <c r="F940" s="1" t="s">
        <v>1675</v>
      </c>
      <c r="G940" s="1" t="s">
        <v>215</v>
      </c>
      <c r="H940" s="1">
        <v>5</v>
      </c>
      <c r="I940" s="1">
        <v>0.37562499999999999</v>
      </c>
      <c r="K940" s="1" t="s">
        <v>181</v>
      </c>
    </row>
    <row r="941" spans="1:11" x14ac:dyDescent="0.25">
      <c r="A941" s="1" t="s">
        <v>3135</v>
      </c>
      <c r="B941" s="1" t="s">
        <v>3136</v>
      </c>
      <c r="D941" s="1" t="s">
        <v>3137</v>
      </c>
      <c r="E941" s="1" t="s">
        <v>209</v>
      </c>
      <c r="F941" s="1" t="s">
        <v>1675</v>
      </c>
      <c r="G941" s="1" t="s">
        <v>215</v>
      </c>
      <c r="H941" s="1">
        <v>5</v>
      </c>
      <c r="I941" s="1">
        <v>0.37562499999999999</v>
      </c>
      <c r="K941" s="1" t="s">
        <v>181</v>
      </c>
    </row>
    <row r="942" spans="1:11" x14ac:dyDescent="0.25">
      <c r="A942" s="1" t="s">
        <v>3138</v>
      </c>
      <c r="B942" s="1" t="s">
        <v>3139</v>
      </c>
      <c r="D942" s="1" t="s">
        <v>3140</v>
      </c>
      <c r="E942" s="1" t="s">
        <v>209</v>
      </c>
      <c r="F942" s="1" t="s">
        <v>1675</v>
      </c>
      <c r="G942" s="1" t="s">
        <v>215</v>
      </c>
      <c r="H942" s="1">
        <v>5</v>
      </c>
      <c r="I942" s="1">
        <v>0.37562499999999999</v>
      </c>
      <c r="K942" s="1" t="s">
        <v>181</v>
      </c>
    </row>
    <row r="943" spans="1:11" x14ac:dyDescent="0.25">
      <c r="A943" s="1" t="s">
        <v>3141</v>
      </c>
      <c r="B943" s="1" t="s">
        <v>3142</v>
      </c>
      <c r="D943" s="1" t="s">
        <v>3143</v>
      </c>
      <c r="E943" s="1" t="s">
        <v>209</v>
      </c>
      <c r="F943" s="1" t="s">
        <v>1675</v>
      </c>
      <c r="G943" s="1" t="s">
        <v>215</v>
      </c>
      <c r="H943" s="1">
        <v>5</v>
      </c>
      <c r="I943" s="1">
        <v>0.37562499999999999</v>
      </c>
      <c r="K943" s="1" t="s">
        <v>181</v>
      </c>
    </row>
    <row r="944" spans="1:11" x14ac:dyDescent="0.25">
      <c r="A944" s="1" t="s">
        <v>3144</v>
      </c>
      <c r="B944" s="1" t="s">
        <v>3145</v>
      </c>
      <c r="D944" s="1" t="s">
        <v>3146</v>
      </c>
      <c r="E944" s="1" t="s">
        <v>209</v>
      </c>
      <c r="F944" s="1" t="s">
        <v>1675</v>
      </c>
      <c r="G944" s="1" t="s">
        <v>215</v>
      </c>
      <c r="H944" s="1">
        <v>5</v>
      </c>
      <c r="I944" s="1">
        <v>0.37562499999999999</v>
      </c>
      <c r="K944" s="1" t="s">
        <v>181</v>
      </c>
    </row>
    <row r="945" spans="1:11" x14ac:dyDescent="0.25">
      <c r="A945" s="1" t="s">
        <v>3147</v>
      </c>
      <c r="B945" s="1" t="s">
        <v>3148</v>
      </c>
      <c r="D945" s="1" t="s">
        <v>3149</v>
      </c>
      <c r="E945" s="1" t="s">
        <v>209</v>
      </c>
      <c r="F945" s="1" t="s">
        <v>1675</v>
      </c>
      <c r="G945" s="1" t="s">
        <v>215</v>
      </c>
      <c r="H945" s="1">
        <v>5</v>
      </c>
      <c r="I945" s="1">
        <v>0.37562499999999999</v>
      </c>
      <c r="K945" s="1" t="s">
        <v>181</v>
      </c>
    </row>
    <row r="946" spans="1:11" x14ac:dyDescent="0.25">
      <c r="A946" s="1" t="s">
        <v>3150</v>
      </c>
      <c r="B946" s="1" t="s">
        <v>3151</v>
      </c>
      <c r="D946" s="1" t="s">
        <v>3152</v>
      </c>
      <c r="E946" s="1" t="s">
        <v>209</v>
      </c>
      <c r="F946" s="1" t="s">
        <v>1675</v>
      </c>
      <c r="G946" s="1" t="s">
        <v>215</v>
      </c>
      <c r="H946" s="1">
        <v>5</v>
      </c>
      <c r="I946" s="1">
        <v>0.37562499999999999</v>
      </c>
      <c r="K946" s="1" t="s">
        <v>181</v>
      </c>
    </row>
    <row r="947" spans="1:11" x14ac:dyDescent="0.25">
      <c r="A947" s="1" t="s">
        <v>3153</v>
      </c>
      <c r="B947" s="1" t="s">
        <v>3154</v>
      </c>
      <c r="D947" s="1" t="s">
        <v>3155</v>
      </c>
      <c r="E947" s="1" t="s">
        <v>209</v>
      </c>
      <c r="F947" s="1" t="s">
        <v>1675</v>
      </c>
      <c r="G947" s="1" t="s">
        <v>215</v>
      </c>
      <c r="H947" s="1">
        <v>5</v>
      </c>
      <c r="I947" s="1">
        <v>0.37562499999999999</v>
      </c>
      <c r="K947" s="1" t="s">
        <v>181</v>
      </c>
    </row>
    <row r="948" spans="1:11" x14ac:dyDescent="0.25">
      <c r="A948" s="1" t="s">
        <v>3156</v>
      </c>
      <c r="B948" s="1" t="s">
        <v>3157</v>
      </c>
      <c r="D948" s="1" t="s">
        <v>3158</v>
      </c>
      <c r="E948" s="1" t="s">
        <v>209</v>
      </c>
      <c r="F948" s="1" t="s">
        <v>1675</v>
      </c>
      <c r="G948" s="1" t="s">
        <v>215</v>
      </c>
      <c r="H948" s="1">
        <v>5</v>
      </c>
      <c r="I948" s="1">
        <v>0.37562499999999999</v>
      </c>
      <c r="K948" s="1" t="s">
        <v>181</v>
      </c>
    </row>
    <row r="949" spans="1:11" x14ac:dyDescent="0.25">
      <c r="A949" s="1" t="s">
        <v>3159</v>
      </c>
      <c r="B949" s="1" t="s">
        <v>3160</v>
      </c>
      <c r="D949" s="1" t="s">
        <v>3161</v>
      </c>
      <c r="E949" s="1" t="s">
        <v>209</v>
      </c>
      <c r="F949" s="1" t="s">
        <v>1675</v>
      </c>
      <c r="G949" s="1" t="s">
        <v>215</v>
      </c>
      <c r="H949" s="1">
        <v>5</v>
      </c>
      <c r="I949" s="1">
        <v>0.37562499999999999</v>
      </c>
      <c r="K949" s="1" t="s">
        <v>181</v>
      </c>
    </row>
    <row r="950" spans="1:11" x14ac:dyDescent="0.25">
      <c r="A950" s="1" t="s">
        <v>3162</v>
      </c>
      <c r="B950" s="1" t="s">
        <v>3163</v>
      </c>
      <c r="D950" s="1" t="s">
        <v>3164</v>
      </c>
      <c r="E950" s="1" t="s">
        <v>209</v>
      </c>
      <c r="F950" s="1" t="s">
        <v>1675</v>
      </c>
      <c r="G950" s="1" t="s">
        <v>215</v>
      </c>
      <c r="H950" s="1">
        <v>5</v>
      </c>
      <c r="I950" s="1">
        <v>0.37562499999999999</v>
      </c>
      <c r="K950" s="1" t="s">
        <v>181</v>
      </c>
    </row>
    <row r="951" spans="1:11" x14ac:dyDescent="0.25">
      <c r="A951" s="1" t="s">
        <v>3165</v>
      </c>
      <c r="B951" s="1" t="s">
        <v>3166</v>
      </c>
      <c r="D951" s="1" t="s">
        <v>3167</v>
      </c>
      <c r="E951" s="1" t="s">
        <v>209</v>
      </c>
      <c r="F951" s="1" t="s">
        <v>1675</v>
      </c>
      <c r="G951" s="1" t="s">
        <v>215</v>
      </c>
      <c r="H951" s="1">
        <v>5</v>
      </c>
      <c r="I951" s="1">
        <v>0.37562499999999999</v>
      </c>
      <c r="K951" s="1" t="s">
        <v>181</v>
      </c>
    </row>
    <row r="952" spans="1:11" x14ac:dyDescent="0.25">
      <c r="A952" s="1" t="s">
        <v>3168</v>
      </c>
      <c r="B952" s="1" t="s">
        <v>3169</v>
      </c>
      <c r="D952" s="1" t="s">
        <v>3170</v>
      </c>
      <c r="E952" s="1" t="s">
        <v>209</v>
      </c>
      <c r="F952" s="1" t="s">
        <v>1675</v>
      </c>
      <c r="G952" s="1" t="s">
        <v>215</v>
      </c>
      <c r="H952" s="1">
        <v>5</v>
      </c>
      <c r="I952" s="1">
        <v>0.37562499999999999</v>
      </c>
      <c r="K952" s="1" t="s">
        <v>181</v>
      </c>
    </row>
    <row r="953" spans="1:11" x14ac:dyDescent="0.25">
      <c r="A953" s="1" t="s">
        <v>3171</v>
      </c>
      <c r="B953" s="1" t="s">
        <v>3172</v>
      </c>
      <c r="D953" s="1" t="s">
        <v>3173</v>
      </c>
      <c r="E953" s="1" t="s">
        <v>209</v>
      </c>
      <c r="F953" s="1" t="s">
        <v>1675</v>
      </c>
      <c r="G953" s="1" t="s">
        <v>215</v>
      </c>
      <c r="H953" s="1">
        <v>5</v>
      </c>
      <c r="I953" s="1">
        <v>0.37562499999999999</v>
      </c>
      <c r="K953" s="1" t="s">
        <v>181</v>
      </c>
    </row>
    <row r="954" spans="1:11" x14ac:dyDescent="0.25">
      <c r="A954" s="1" t="s">
        <v>3174</v>
      </c>
      <c r="B954" s="1" t="s">
        <v>3175</v>
      </c>
      <c r="D954" s="1" t="s">
        <v>3176</v>
      </c>
      <c r="E954" s="1" t="s">
        <v>209</v>
      </c>
      <c r="F954" s="1" t="s">
        <v>1675</v>
      </c>
      <c r="G954" s="1" t="s">
        <v>215</v>
      </c>
      <c r="H954" s="1">
        <v>5</v>
      </c>
      <c r="I954" s="1">
        <v>0.37562499999999999</v>
      </c>
      <c r="K954" s="1" t="s">
        <v>181</v>
      </c>
    </row>
    <row r="955" spans="1:11" x14ac:dyDescent="0.25">
      <c r="A955" s="1" t="s">
        <v>3177</v>
      </c>
      <c r="B955" s="1" t="s">
        <v>3178</v>
      </c>
      <c r="D955" s="1" t="s">
        <v>3179</v>
      </c>
      <c r="E955" s="1" t="s">
        <v>209</v>
      </c>
      <c r="F955" s="1" t="s">
        <v>1675</v>
      </c>
      <c r="G955" s="1" t="s">
        <v>215</v>
      </c>
      <c r="H955" s="1">
        <v>5</v>
      </c>
      <c r="I955" s="1">
        <v>0.37562499999999999</v>
      </c>
      <c r="K955" s="1" t="s">
        <v>181</v>
      </c>
    </row>
    <row r="956" spans="1:11" x14ac:dyDescent="0.25">
      <c r="A956" s="1" t="s">
        <v>3180</v>
      </c>
      <c r="B956" s="1" t="s">
        <v>3181</v>
      </c>
      <c r="D956" s="1" t="s">
        <v>3182</v>
      </c>
      <c r="E956" s="1" t="s">
        <v>209</v>
      </c>
      <c r="F956" s="1" t="s">
        <v>1675</v>
      </c>
      <c r="G956" s="1" t="s">
        <v>215</v>
      </c>
      <c r="H956" s="1">
        <v>5</v>
      </c>
      <c r="I956" s="1">
        <v>0.37562499999999999</v>
      </c>
      <c r="K956" s="1" t="s">
        <v>181</v>
      </c>
    </row>
    <row r="957" spans="1:11" x14ac:dyDescent="0.25">
      <c r="A957" s="1" t="s">
        <v>3183</v>
      </c>
      <c r="B957" s="1" t="s">
        <v>3184</v>
      </c>
      <c r="D957" s="1" t="s">
        <v>3185</v>
      </c>
      <c r="E957" s="1" t="s">
        <v>209</v>
      </c>
      <c r="F957" s="1" t="s">
        <v>1675</v>
      </c>
      <c r="G957" s="1" t="s">
        <v>215</v>
      </c>
      <c r="H957" s="1">
        <v>5</v>
      </c>
      <c r="I957" s="1">
        <v>0.37562499999999999</v>
      </c>
      <c r="K957" s="1" t="s">
        <v>181</v>
      </c>
    </row>
    <row r="958" spans="1:11" x14ac:dyDescent="0.25">
      <c r="A958" s="1" t="s">
        <v>3186</v>
      </c>
      <c r="B958" s="1" t="s">
        <v>3187</v>
      </c>
      <c r="D958" s="1" t="s">
        <v>3188</v>
      </c>
      <c r="E958" s="1" t="s">
        <v>209</v>
      </c>
      <c r="F958" s="1" t="s">
        <v>1675</v>
      </c>
      <c r="G958" s="1" t="s">
        <v>215</v>
      </c>
      <c r="H958" s="1">
        <v>5</v>
      </c>
      <c r="I958" s="1">
        <v>0.37562499999999999</v>
      </c>
      <c r="K958" s="1" t="s">
        <v>181</v>
      </c>
    </row>
    <row r="959" spans="1:11" x14ac:dyDescent="0.25">
      <c r="A959" s="1" t="s">
        <v>3189</v>
      </c>
      <c r="B959" s="1" t="s">
        <v>3190</v>
      </c>
      <c r="D959" s="1" t="s">
        <v>3191</v>
      </c>
      <c r="E959" s="1" t="s">
        <v>209</v>
      </c>
      <c r="F959" s="1" t="s">
        <v>1675</v>
      </c>
      <c r="G959" s="1" t="s">
        <v>215</v>
      </c>
      <c r="H959" s="1">
        <v>5</v>
      </c>
      <c r="I959" s="1">
        <v>0.37562499999999999</v>
      </c>
      <c r="K959" s="1" t="s">
        <v>181</v>
      </c>
    </row>
    <row r="960" spans="1:11" x14ac:dyDescent="0.25">
      <c r="A960" s="1" t="s">
        <v>3192</v>
      </c>
      <c r="B960" s="1" t="s">
        <v>3193</v>
      </c>
      <c r="D960" s="1" t="s">
        <v>3194</v>
      </c>
      <c r="E960" s="1" t="s">
        <v>209</v>
      </c>
      <c r="F960" s="1" t="s">
        <v>1675</v>
      </c>
      <c r="G960" s="1" t="s">
        <v>215</v>
      </c>
      <c r="H960" s="1">
        <v>5</v>
      </c>
      <c r="I960" s="1">
        <v>0.37562499999999999</v>
      </c>
      <c r="K960" s="1" t="s">
        <v>181</v>
      </c>
    </row>
    <row r="961" spans="1:11" x14ac:dyDescent="0.25">
      <c r="A961" s="1" t="s">
        <v>3195</v>
      </c>
      <c r="B961" s="1" t="s">
        <v>3196</v>
      </c>
      <c r="D961" s="1" t="s">
        <v>3197</v>
      </c>
      <c r="E961" s="1" t="s">
        <v>209</v>
      </c>
      <c r="F961" s="1" t="s">
        <v>1675</v>
      </c>
      <c r="G961" s="1" t="s">
        <v>215</v>
      </c>
      <c r="H961" s="1">
        <v>5</v>
      </c>
      <c r="I961" s="1">
        <v>0.37562499999999999</v>
      </c>
      <c r="K961" s="1" t="s">
        <v>181</v>
      </c>
    </row>
    <row r="962" spans="1:11" x14ac:dyDescent="0.25">
      <c r="A962" s="1" t="s">
        <v>3198</v>
      </c>
      <c r="B962" s="1" t="s">
        <v>3199</v>
      </c>
      <c r="D962" s="1" t="s">
        <v>3200</v>
      </c>
      <c r="E962" s="1" t="s">
        <v>209</v>
      </c>
      <c r="F962" s="1" t="s">
        <v>1675</v>
      </c>
      <c r="G962" s="1" t="s">
        <v>215</v>
      </c>
      <c r="H962" s="1">
        <v>5</v>
      </c>
      <c r="I962" s="1">
        <v>0.37562499999999999</v>
      </c>
      <c r="K962" s="1" t="s">
        <v>181</v>
      </c>
    </row>
    <row r="963" spans="1:11" x14ac:dyDescent="0.25">
      <c r="A963" s="1" t="s">
        <v>3201</v>
      </c>
      <c r="B963" s="1" t="s">
        <v>3202</v>
      </c>
      <c r="D963" s="1" t="s">
        <v>3203</v>
      </c>
      <c r="E963" s="1" t="s">
        <v>209</v>
      </c>
      <c r="F963" s="1" t="s">
        <v>1675</v>
      </c>
      <c r="G963" s="1" t="s">
        <v>215</v>
      </c>
      <c r="H963" s="1">
        <v>5</v>
      </c>
      <c r="I963" s="1">
        <v>0.37562499999999999</v>
      </c>
      <c r="K963" s="1" t="s">
        <v>181</v>
      </c>
    </row>
    <row r="964" spans="1:11" x14ac:dyDescent="0.25">
      <c r="A964" s="1" t="s">
        <v>3204</v>
      </c>
      <c r="B964" s="1" t="s">
        <v>3205</v>
      </c>
      <c r="D964" s="1" t="s">
        <v>3206</v>
      </c>
      <c r="E964" s="1" t="s">
        <v>209</v>
      </c>
      <c r="F964" s="1" t="s">
        <v>1675</v>
      </c>
      <c r="G964" s="1" t="s">
        <v>215</v>
      </c>
      <c r="H964" s="1">
        <v>5</v>
      </c>
      <c r="I964" s="1">
        <v>0.37562499999999999</v>
      </c>
      <c r="K964" s="1" t="s">
        <v>181</v>
      </c>
    </row>
    <row r="965" spans="1:11" x14ac:dyDescent="0.25">
      <c r="A965" s="1" t="s">
        <v>3207</v>
      </c>
      <c r="B965" s="1" t="s">
        <v>3208</v>
      </c>
      <c r="D965" s="1" t="s">
        <v>3209</v>
      </c>
      <c r="E965" s="1" t="s">
        <v>209</v>
      </c>
      <c r="F965" s="1" t="s">
        <v>1675</v>
      </c>
      <c r="G965" s="1" t="s">
        <v>215</v>
      </c>
      <c r="H965" s="1">
        <v>5</v>
      </c>
      <c r="I965" s="1">
        <v>0.37562499999999999</v>
      </c>
      <c r="K965" s="1" t="s">
        <v>181</v>
      </c>
    </row>
    <row r="966" spans="1:11" x14ac:dyDescent="0.25">
      <c r="A966" s="1" t="s">
        <v>3210</v>
      </c>
      <c r="B966" s="1" t="s">
        <v>3211</v>
      </c>
      <c r="D966" s="1" t="s">
        <v>3212</v>
      </c>
      <c r="E966" s="1" t="s">
        <v>209</v>
      </c>
      <c r="F966" s="1" t="s">
        <v>1675</v>
      </c>
      <c r="G966" s="1" t="s">
        <v>215</v>
      </c>
      <c r="H966" s="1">
        <v>5</v>
      </c>
      <c r="I966" s="1">
        <v>0.37562499999999999</v>
      </c>
      <c r="K966" s="1" t="s">
        <v>181</v>
      </c>
    </row>
    <row r="967" spans="1:11" x14ac:dyDescent="0.25">
      <c r="A967" s="1" t="s">
        <v>3213</v>
      </c>
      <c r="B967" s="1" t="s">
        <v>3214</v>
      </c>
      <c r="D967" s="1" t="s">
        <v>3215</v>
      </c>
      <c r="E967" s="1" t="s">
        <v>209</v>
      </c>
      <c r="F967" s="1" t="s">
        <v>1675</v>
      </c>
      <c r="G967" s="1" t="s">
        <v>215</v>
      </c>
      <c r="H967" s="1">
        <v>5</v>
      </c>
      <c r="I967" s="1">
        <v>0.37562499999999999</v>
      </c>
      <c r="K967" s="1" t="s">
        <v>181</v>
      </c>
    </row>
    <row r="968" spans="1:11" x14ac:dyDescent="0.25">
      <c r="A968" s="1" t="s">
        <v>3216</v>
      </c>
      <c r="B968" s="1" t="s">
        <v>3217</v>
      </c>
      <c r="D968" s="1" t="s">
        <v>3218</v>
      </c>
      <c r="E968" s="1" t="s">
        <v>209</v>
      </c>
      <c r="F968" s="1" t="s">
        <v>1675</v>
      </c>
      <c r="G968" s="1" t="s">
        <v>215</v>
      </c>
      <c r="H968" s="1">
        <v>5</v>
      </c>
      <c r="I968" s="1">
        <v>0.37562499999999999</v>
      </c>
      <c r="K968" s="1" t="s">
        <v>181</v>
      </c>
    </row>
    <row r="969" spans="1:11" x14ac:dyDescent="0.25">
      <c r="A969" s="1" t="s">
        <v>3219</v>
      </c>
      <c r="B969" s="1" t="s">
        <v>3220</v>
      </c>
      <c r="D969" s="1" t="s">
        <v>3221</v>
      </c>
      <c r="E969" s="1" t="s">
        <v>209</v>
      </c>
      <c r="F969" s="1" t="s">
        <v>1675</v>
      </c>
      <c r="G969" s="1" t="s">
        <v>215</v>
      </c>
      <c r="H969" s="1">
        <v>5</v>
      </c>
      <c r="I969" s="1">
        <v>0.37562499999999999</v>
      </c>
      <c r="K969" s="1" t="s">
        <v>181</v>
      </c>
    </row>
    <row r="970" spans="1:11" x14ac:dyDescent="0.25">
      <c r="A970" s="1" t="s">
        <v>3222</v>
      </c>
      <c r="B970" s="1" t="s">
        <v>3223</v>
      </c>
      <c r="D970" s="1" t="s">
        <v>3224</v>
      </c>
      <c r="E970" s="1" t="s">
        <v>209</v>
      </c>
      <c r="F970" s="1" t="s">
        <v>1675</v>
      </c>
      <c r="G970" s="1" t="s">
        <v>215</v>
      </c>
      <c r="H970" s="1">
        <v>5</v>
      </c>
      <c r="I970" s="1">
        <v>0.37562499999999999</v>
      </c>
      <c r="K970" s="1" t="s">
        <v>181</v>
      </c>
    </row>
    <row r="971" spans="1:11" x14ac:dyDescent="0.25">
      <c r="A971" s="1" t="s">
        <v>3225</v>
      </c>
      <c r="B971" s="1" t="s">
        <v>3226</v>
      </c>
      <c r="D971" s="1" t="s">
        <v>3227</v>
      </c>
      <c r="E971" s="1" t="s">
        <v>209</v>
      </c>
      <c r="F971" s="1" t="s">
        <v>1675</v>
      </c>
      <c r="G971" s="1" t="s">
        <v>215</v>
      </c>
      <c r="H971" s="1">
        <v>5</v>
      </c>
      <c r="I971" s="1">
        <v>0.37562499999999999</v>
      </c>
      <c r="K971" s="1" t="s">
        <v>181</v>
      </c>
    </row>
    <row r="972" spans="1:11" x14ac:dyDescent="0.25">
      <c r="A972" s="1" t="s">
        <v>3228</v>
      </c>
      <c r="B972" s="1" t="s">
        <v>3229</v>
      </c>
      <c r="D972" s="1" t="s">
        <v>3230</v>
      </c>
      <c r="E972" s="1" t="s">
        <v>209</v>
      </c>
      <c r="F972" s="1" t="s">
        <v>1675</v>
      </c>
      <c r="G972" s="1" t="s">
        <v>215</v>
      </c>
      <c r="H972" s="1">
        <v>5</v>
      </c>
      <c r="I972" s="1">
        <v>0.37562499999999999</v>
      </c>
      <c r="K972" s="1" t="s">
        <v>181</v>
      </c>
    </row>
    <row r="973" spans="1:11" x14ac:dyDescent="0.25">
      <c r="A973" s="1" t="s">
        <v>3231</v>
      </c>
      <c r="B973" s="1" t="s">
        <v>3232</v>
      </c>
      <c r="D973" s="1" t="s">
        <v>3233</v>
      </c>
      <c r="E973" s="1" t="s">
        <v>209</v>
      </c>
      <c r="F973" s="1" t="s">
        <v>1675</v>
      </c>
      <c r="G973" s="1" t="s">
        <v>215</v>
      </c>
      <c r="H973" s="1">
        <v>5</v>
      </c>
      <c r="I973" s="1">
        <v>0.37562499999999999</v>
      </c>
      <c r="K973" s="1" t="s">
        <v>181</v>
      </c>
    </row>
    <row r="974" spans="1:11" x14ac:dyDescent="0.25">
      <c r="A974" s="1" t="s">
        <v>3234</v>
      </c>
      <c r="B974" s="1" t="s">
        <v>3235</v>
      </c>
      <c r="D974" s="1" t="s">
        <v>3236</v>
      </c>
      <c r="E974" s="1" t="s">
        <v>209</v>
      </c>
      <c r="F974" s="1" t="s">
        <v>1675</v>
      </c>
      <c r="G974" s="1" t="s">
        <v>215</v>
      </c>
      <c r="H974" s="1">
        <v>5</v>
      </c>
      <c r="I974" s="1">
        <v>0.37562499999999999</v>
      </c>
      <c r="K974" s="1" t="s">
        <v>181</v>
      </c>
    </row>
    <row r="975" spans="1:11" x14ac:dyDescent="0.25">
      <c r="A975" s="1" t="s">
        <v>3237</v>
      </c>
      <c r="B975" s="1" t="s">
        <v>3238</v>
      </c>
      <c r="D975" s="1" t="s">
        <v>3239</v>
      </c>
      <c r="E975" s="1" t="s">
        <v>209</v>
      </c>
      <c r="F975" s="1" t="s">
        <v>1675</v>
      </c>
      <c r="G975" s="1" t="s">
        <v>215</v>
      </c>
      <c r="H975" s="1">
        <v>5</v>
      </c>
      <c r="I975" s="1">
        <v>0.37562499999999999</v>
      </c>
      <c r="K975" s="1" t="s">
        <v>181</v>
      </c>
    </row>
    <row r="976" spans="1:11" x14ac:dyDescent="0.25">
      <c r="A976" s="1" t="s">
        <v>3240</v>
      </c>
      <c r="B976" s="1" t="s">
        <v>3241</v>
      </c>
      <c r="D976" s="1" t="s">
        <v>3242</v>
      </c>
      <c r="E976" s="1" t="s">
        <v>209</v>
      </c>
      <c r="F976" s="1" t="s">
        <v>1675</v>
      </c>
      <c r="G976" s="1" t="s">
        <v>215</v>
      </c>
      <c r="H976" s="1">
        <v>5</v>
      </c>
      <c r="I976" s="1">
        <v>0.37562499999999999</v>
      </c>
      <c r="K976" s="1" t="s">
        <v>181</v>
      </c>
    </row>
    <row r="977" spans="1:11" x14ac:dyDescent="0.25">
      <c r="A977" s="1" t="s">
        <v>3243</v>
      </c>
      <c r="B977" s="1" t="s">
        <v>3244</v>
      </c>
      <c r="D977" s="1" t="s">
        <v>3245</v>
      </c>
      <c r="E977" s="1" t="s">
        <v>209</v>
      </c>
      <c r="F977" s="1" t="s">
        <v>1675</v>
      </c>
      <c r="G977" s="1" t="s">
        <v>215</v>
      </c>
      <c r="H977" s="1">
        <v>5</v>
      </c>
      <c r="I977" s="1">
        <v>0.37562499999999999</v>
      </c>
      <c r="K977" s="1" t="s">
        <v>181</v>
      </c>
    </row>
    <row r="978" spans="1:11" x14ac:dyDescent="0.25">
      <c r="A978" s="1" t="s">
        <v>3246</v>
      </c>
      <c r="B978" s="1" t="s">
        <v>3247</v>
      </c>
      <c r="D978" s="1" t="s">
        <v>3248</v>
      </c>
      <c r="E978" s="1" t="s">
        <v>209</v>
      </c>
      <c r="F978" s="1" t="s">
        <v>1675</v>
      </c>
      <c r="G978" s="1" t="s">
        <v>215</v>
      </c>
      <c r="H978" s="1">
        <v>5</v>
      </c>
      <c r="I978" s="1">
        <v>0.37562499999999999</v>
      </c>
      <c r="K978" s="1" t="s">
        <v>181</v>
      </c>
    </row>
    <row r="979" spans="1:11" x14ac:dyDescent="0.25">
      <c r="A979" s="1" t="s">
        <v>3249</v>
      </c>
      <c r="B979" s="1" t="s">
        <v>3250</v>
      </c>
      <c r="D979" s="1" t="s">
        <v>3251</v>
      </c>
      <c r="E979" s="1" t="s">
        <v>209</v>
      </c>
      <c r="F979" s="1" t="s">
        <v>1675</v>
      </c>
      <c r="G979" s="1" t="s">
        <v>215</v>
      </c>
      <c r="H979" s="1">
        <v>5</v>
      </c>
      <c r="I979" s="1">
        <v>0.37562499999999999</v>
      </c>
      <c r="K979" s="1" t="s">
        <v>181</v>
      </c>
    </row>
    <row r="980" spans="1:11" x14ac:dyDescent="0.25">
      <c r="A980" s="1" t="s">
        <v>3252</v>
      </c>
      <c r="B980" s="1" t="s">
        <v>3253</v>
      </c>
      <c r="D980" s="1" t="s">
        <v>3254</v>
      </c>
      <c r="E980" s="1" t="s">
        <v>209</v>
      </c>
      <c r="F980" s="1" t="s">
        <v>1675</v>
      </c>
      <c r="G980" s="1" t="s">
        <v>215</v>
      </c>
      <c r="H980" s="1">
        <v>5</v>
      </c>
      <c r="I980" s="1">
        <v>0.37562499999999999</v>
      </c>
      <c r="K980" s="1" t="s">
        <v>181</v>
      </c>
    </row>
    <row r="981" spans="1:11" x14ac:dyDescent="0.25">
      <c r="A981" s="1" t="s">
        <v>3255</v>
      </c>
      <c r="B981" s="1" t="s">
        <v>3256</v>
      </c>
      <c r="D981" s="1" t="s">
        <v>3257</v>
      </c>
      <c r="E981" s="1" t="s">
        <v>209</v>
      </c>
      <c r="F981" s="1" t="s">
        <v>1675</v>
      </c>
      <c r="G981" s="1" t="s">
        <v>215</v>
      </c>
      <c r="H981" s="1">
        <v>5</v>
      </c>
      <c r="I981" s="1">
        <v>0.37562499999999999</v>
      </c>
      <c r="K981" s="1" t="s">
        <v>181</v>
      </c>
    </row>
    <row r="982" spans="1:11" x14ac:dyDescent="0.25">
      <c r="A982" s="1" t="s">
        <v>3258</v>
      </c>
      <c r="B982" s="1" t="s">
        <v>3259</v>
      </c>
      <c r="D982" s="1" t="s">
        <v>3260</v>
      </c>
      <c r="E982" s="1" t="s">
        <v>209</v>
      </c>
      <c r="F982" s="1" t="s">
        <v>1675</v>
      </c>
      <c r="G982" s="1" t="s">
        <v>215</v>
      </c>
      <c r="H982" s="1">
        <v>5</v>
      </c>
      <c r="I982" s="1">
        <v>0.37562499999999999</v>
      </c>
      <c r="K982" s="1" t="s">
        <v>181</v>
      </c>
    </row>
    <row r="983" spans="1:11" x14ac:dyDescent="0.25">
      <c r="A983" s="1" t="s">
        <v>3261</v>
      </c>
      <c r="B983" s="1" t="s">
        <v>3262</v>
      </c>
      <c r="D983" s="1" t="s">
        <v>3263</v>
      </c>
      <c r="E983" s="1" t="s">
        <v>209</v>
      </c>
      <c r="F983" s="1" t="s">
        <v>1675</v>
      </c>
      <c r="G983" s="1" t="s">
        <v>215</v>
      </c>
      <c r="H983" s="1">
        <v>5</v>
      </c>
      <c r="I983" s="1">
        <v>0.37562499999999999</v>
      </c>
      <c r="K983" s="1" t="s">
        <v>181</v>
      </c>
    </row>
    <row r="984" spans="1:11" x14ac:dyDescent="0.25">
      <c r="A984" s="1" t="s">
        <v>3264</v>
      </c>
      <c r="B984" s="1" t="s">
        <v>3265</v>
      </c>
      <c r="D984" s="1" t="s">
        <v>3266</v>
      </c>
      <c r="E984" s="1" t="s">
        <v>209</v>
      </c>
      <c r="F984" s="1" t="s">
        <v>1675</v>
      </c>
      <c r="G984" s="1" t="s">
        <v>215</v>
      </c>
      <c r="H984" s="1">
        <v>5</v>
      </c>
      <c r="I984" s="1">
        <v>0.37562499999999999</v>
      </c>
      <c r="K984" s="1" t="s">
        <v>181</v>
      </c>
    </row>
    <row r="985" spans="1:11" x14ac:dyDescent="0.25">
      <c r="A985" s="1" t="s">
        <v>3267</v>
      </c>
      <c r="B985" s="1" t="s">
        <v>3268</v>
      </c>
      <c r="D985" s="1" t="s">
        <v>3269</v>
      </c>
      <c r="E985" s="1" t="s">
        <v>209</v>
      </c>
      <c r="F985" s="1" t="s">
        <v>1675</v>
      </c>
      <c r="G985" s="1" t="s">
        <v>215</v>
      </c>
      <c r="H985" s="1">
        <v>5</v>
      </c>
      <c r="I985" s="1">
        <v>0.37562499999999999</v>
      </c>
      <c r="K985" s="1" t="s">
        <v>181</v>
      </c>
    </row>
    <row r="986" spans="1:11" x14ac:dyDescent="0.25">
      <c r="A986" s="1" t="s">
        <v>3270</v>
      </c>
      <c r="B986" s="1" t="s">
        <v>3271</v>
      </c>
      <c r="D986" s="1" t="s">
        <v>3272</v>
      </c>
      <c r="E986" s="1" t="s">
        <v>209</v>
      </c>
      <c r="F986" s="1" t="s">
        <v>1675</v>
      </c>
      <c r="G986" s="1" t="s">
        <v>215</v>
      </c>
      <c r="H986" s="1">
        <v>5</v>
      </c>
      <c r="I986" s="1">
        <v>0.37562499999999999</v>
      </c>
      <c r="K986" s="1" t="s">
        <v>181</v>
      </c>
    </row>
    <row r="987" spans="1:11" x14ac:dyDescent="0.25">
      <c r="A987" s="1" t="s">
        <v>3273</v>
      </c>
      <c r="B987" s="1" t="s">
        <v>3274</v>
      </c>
      <c r="D987" s="1" t="s">
        <v>3275</v>
      </c>
      <c r="E987" s="1" t="s">
        <v>209</v>
      </c>
      <c r="F987" s="1" t="s">
        <v>1675</v>
      </c>
      <c r="G987" s="1" t="s">
        <v>215</v>
      </c>
      <c r="H987" s="1">
        <v>5</v>
      </c>
      <c r="I987" s="1">
        <v>0.37562499999999999</v>
      </c>
      <c r="K987" s="1" t="s">
        <v>181</v>
      </c>
    </row>
    <row r="988" spans="1:11" x14ac:dyDescent="0.25">
      <c r="A988" s="1" t="s">
        <v>3276</v>
      </c>
      <c r="B988" s="1" t="s">
        <v>3277</v>
      </c>
      <c r="D988" s="1" t="s">
        <v>3278</v>
      </c>
      <c r="E988" s="1" t="s">
        <v>209</v>
      </c>
      <c r="F988" s="1" t="s">
        <v>1675</v>
      </c>
      <c r="G988" s="1" t="s">
        <v>215</v>
      </c>
      <c r="H988" s="1">
        <v>5</v>
      </c>
      <c r="I988" s="1">
        <v>0.37562499999999999</v>
      </c>
      <c r="K988" s="1" t="s">
        <v>181</v>
      </c>
    </row>
    <row r="989" spans="1:11" x14ac:dyDescent="0.25">
      <c r="A989" s="1" t="s">
        <v>3279</v>
      </c>
      <c r="B989" s="1" t="s">
        <v>3280</v>
      </c>
      <c r="D989" s="1" t="s">
        <v>3281</v>
      </c>
      <c r="E989" s="1" t="s">
        <v>209</v>
      </c>
      <c r="F989" s="1" t="s">
        <v>1675</v>
      </c>
      <c r="G989" s="1" t="s">
        <v>215</v>
      </c>
      <c r="H989" s="1">
        <v>5</v>
      </c>
      <c r="I989" s="1">
        <v>0.37562499999999999</v>
      </c>
      <c r="K989" s="1" t="s">
        <v>181</v>
      </c>
    </row>
    <row r="990" spans="1:11" x14ac:dyDescent="0.25">
      <c r="A990" s="1" t="s">
        <v>3282</v>
      </c>
      <c r="B990" s="1" t="s">
        <v>3283</v>
      </c>
      <c r="D990" s="1" t="s">
        <v>3284</v>
      </c>
      <c r="E990" s="1" t="s">
        <v>209</v>
      </c>
      <c r="F990" s="1" t="s">
        <v>1675</v>
      </c>
      <c r="G990" s="1" t="s">
        <v>215</v>
      </c>
      <c r="H990" s="1">
        <v>5</v>
      </c>
      <c r="I990" s="1">
        <v>0.37562499999999999</v>
      </c>
      <c r="K990" s="1" t="s">
        <v>181</v>
      </c>
    </row>
    <row r="991" spans="1:11" x14ac:dyDescent="0.25">
      <c r="A991" s="1" t="s">
        <v>3285</v>
      </c>
      <c r="B991" s="1" t="s">
        <v>3286</v>
      </c>
      <c r="D991" s="1" t="s">
        <v>3287</v>
      </c>
      <c r="E991" s="1" t="s">
        <v>209</v>
      </c>
      <c r="F991" s="1" t="s">
        <v>1675</v>
      </c>
      <c r="G991" s="1" t="s">
        <v>215</v>
      </c>
      <c r="H991" s="1">
        <v>5</v>
      </c>
      <c r="I991" s="1">
        <v>0.37562499999999999</v>
      </c>
      <c r="K991" s="1" t="s">
        <v>181</v>
      </c>
    </row>
    <row r="992" spans="1:11" x14ac:dyDescent="0.25">
      <c r="A992" s="1" t="s">
        <v>3288</v>
      </c>
      <c r="B992" s="1" t="s">
        <v>3289</v>
      </c>
      <c r="D992" s="1" t="s">
        <v>3290</v>
      </c>
      <c r="E992" s="1" t="s">
        <v>209</v>
      </c>
      <c r="F992" s="1" t="s">
        <v>1675</v>
      </c>
      <c r="G992" s="1" t="s">
        <v>215</v>
      </c>
      <c r="H992" s="1">
        <v>5</v>
      </c>
      <c r="I992" s="1">
        <v>0.37562499999999999</v>
      </c>
      <c r="K992" s="1" t="s">
        <v>181</v>
      </c>
    </row>
    <row r="993" spans="1:11" x14ac:dyDescent="0.25">
      <c r="A993" s="1" t="s">
        <v>3291</v>
      </c>
      <c r="B993" s="1" t="s">
        <v>3292</v>
      </c>
      <c r="D993" s="1" t="s">
        <v>3293</v>
      </c>
      <c r="E993" s="1" t="s">
        <v>209</v>
      </c>
      <c r="F993" s="1" t="s">
        <v>1675</v>
      </c>
      <c r="G993" s="1" t="s">
        <v>215</v>
      </c>
      <c r="H993" s="1">
        <v>5</v>
      </c>
      <c r="I993" s="1">
        <v>0.37562499999999999</v>
      </c>
      <c r="K993" s="1" t="s">
        <v>181</v>
      </c>
    </row>
    <row r="994" spans="1:11" x14ac:dyDescent="0.25">
      <c r="A994" s="1" t="s">
        <v>3294</v>
      </c>
      <c r="B994" s="1" t="s">
        <v>3295</v>
      </c>
      <c r="D994" s="1" t="s">
        <v>3296</v>
      </c>
      <c r="E994" s="1" t="s">
        <v>209</v>
      </c>
      <c r="F994" s="1" t="s">
        <v>1675</v>
      </c>
      <c r="G994" s="1" t="s">
        <v>211</v>
      </c>
      <c r="H994" s="1">
        <v>5</v>
      </c>
      <c r="I994" s="1">
        <v>0.37562499999999999</v>
      </c>
      <c r="K994" s="1" t="s">
        <v>181</v>
      </c>
    </row>
    <row r="995" spans="1:11" x14ac:dyDescent="0.25">
      <c r="A995" s="1" t="s">
        <v>3297</v>
      </c>
      <c r="B995" s="1" t="s">
        <v>3298</v>
      </c>
      <c r="D995" s="1" t="s">
        <v>3299</v>
      </c>
      <c r="E995" s="1" t="s">
        <v>209</v>
      </c>
      <c r="F995" s="1" t="s">
        <v>1675</v>
      </c>
      <c r="G995" s="1" t="s">
        <v>211</v>
      </c>
      <c r="H995" s="1">
        <v>5</v>
      </c>
      <c r="I995" s="1">
        <v>0.37562499999999999</v>
      </c>
      <c r="K995" s="1" t="s">
        <v>181</v>
      </c>
    </row>
    <row r="996" spans="1:11" x14ac:dyDescent="0.25">
      <c r="A996" s="1" t="s">
        <v>3300</v>
      </c>
      <c r="B996" s="1" t="s">
        <v>3301</v>
      </c>
      <c r="D996" s="1" t="s">
        <v>3302</v>
      </c>
      <c r="E996" s="1" t="s">
        <v>209</v>
      </c>
      <c r="F996" s="1" t="s">
        <v>1675</v>
      </c>
      <c r="G996" s="1" t="s">
        <v>211</v>
      </c>
      <c r="H996" s="1">
        <v>5</v>
      </c>
      <c r="I996" s="1">
        <v>0.37562499999999999</v>
      </c>
      <c r="K996" s="1" t="s">
        <v>181</v>
      </c>
    </row>
    <row r="997" spans="1:11" x14ac:dyDescent="0.25">
      <c r="A997" s="1" t="s">
        <v>3303</v>
      </c>
      <c r="B997" s="1" t="s">
        <v>3304</v>
      </c>
      <c r="D997" s="1" t="s">
        <v>3305</v>
      </c>
      <c r="E997" s="1" t="s">
        <v>209</v>
      </c>
      <c r="F997" s="1" t="s">
        <v>1675</v>
      </c>
      <c r="G997" s="1" t="s">
        <v>215</v>
      </c>
      <c r="H997" s="1">
        <v>5</v>
      </c>
      <c r="I997" s="1">
        <v>0.37562499999999999</v>
      </c>
      <c r="K997" s="1" t="s">
        <v>181</v>
      </c>
    </row>
    <row r="998" spans="1:11" x14ac:dyDescent="0.25">
      <c r="A998" s="1" t="s">
        <v>3306</v>
      </c>
      <c r="B998" s="1" t="s">
        <v>3307</v>
      </c>
      <c r="D998" s="1" t="s">
        <v>3308</v>
      </c>
      <c r="E998" s="1" t="s">
        <v>209</v>
      </c>
      <c r="F998" s="1" t="s">
        <v>1675</v>
      </c>
      <c r="G998" s="1" t="s">
        <v>215</v>
      </c>
      <c r="H998" s="1">
        <v>5</v>
      </c>
      <c r="I998" s="1">
        <v>0.37562499999999999</v>
      </c>
      <c r="K998" s="1" t="s">
        <v>181</v>
      </c>
    </row>
    <row r="999" spans="1:11" x14ac:dyDescent="0.25">
      <c r="A999" s="1" t="s">
        <v>3309</v>
      </c>
      <c r="B999" s="1" t="s">
        <v>3310</v>
      </c>
      <c r="D999" s="1" t="s">
        <v>3311</v>
      </c>
      <c r="E999" s="1" t="s">
        <v>209</v>
      </c>
      <c r="F999" s="1" t="s">
        <v>1675</v>
      </c>
      <c r="G999" s="1" t="s">
        <v>215</v>
      </c>
      <c r="H999" s="1">
        <v>5</v>
      </c>
      <c r="I999" s="1">
        <v>0.37562499999999999</v>
      </c>
      <c r="K999" s="1" t="s">
        <v>181</v>
      </c>
    </row>
    <row r="1000" spans="1:11" x14ac:dyDescent="0.25">
      <c r="A1000" s="1" t="s">
        <v>3312</v>
      </c>
      <c r="B1000" s="1" t="s">
        <v>3313</v>
      </c>
      <c r="D1000" s="1" t="s">
        <v>3314</v>
      </c>
      <c r="E1000" s="1" t="s">
        <v>209</v>
      </c>
      <c r="F1000" s="1" t="s">
        <v>1675</v>
      </c>
      <c r="G1000" s="1" t="s">
        <v>211</v>
      </c>
      <c r="H1000" s="1">
        <v>5</v>
      </c>
      <c r="I1000" s="1">
        <v>0.37562499999999999</v>
      </c>
      <c r="K1000" s="1" t="s">
        <v>181</v>
      </c>
    </row>
    <row r="1001" spans="1:11" x14ac:dyDescent="0.25">
      <c r="A1001" s="1" t="s">
        <v>3315</v>
      </c>
      <c r="B1001" s="1" t="s">
        <v>3316</v>
      </c>
      <c r="D1001" s="1" t="s">
        <v>3317</v>
      </c>
      <c r="E1001" s="1" t="s">
        <v>209</v>
      </c>
      <c r="F1001" s="1" t="s">
        <v>1675</v>
      </c>
      <c r="G1001" s="1" t="s">
        <v>211</v>
      </c>
      <c r="H1001" s="1">
        <v>5</v>
      </c>
      <c r="I1001" s="1">
        <v>0.37562499999999999</v>
      </c>
      <c r="K1001" s="1" t="s">
        <v>181</v>
      </c>
    </row>
    <row r="1002" spans="1:11" x14ac:dyDescent="0.25">
      <c r="A1002" s="1" t="s">
        <v>3318</v>
      </c>
      <c r="B1002" s="1" t="s">
        <v>3319</v>
      </c>
      <c r="D1002" s="1" t="s">
        <v>3320</v>
      </c>
      <c r="E1002" s="1" t="s">
        <v>209</v>
      </c>
      <c r="F1002" s="1" t="s">
        <v>1675</v>
      </c>
      <c r="G1002" s="1" t="s">
        <v>215</v>
      </c>
      <c r="H1002" s="1">
        <v>5</v>
      </c>
      <c r="I1002" s="1">
        <v>0.37562499999999999</v>
      </c>
      <c r="K1002" s="1" t="s">
        <v>181</v>
      </c>
    </row>
    <row r="1003" spans="1:11" x14ac:dyDescent="0.25">
      <c r="A1003" s="1" t="s">
        <v>3321</v>
      </c>
      <c r="B1003" s="1" t="s">
        <v>3322</v>
      </c>
      <c r="D1003" s="1" t="s">
        <v>3323</v>
      </c>
      <c r="E1003" s="1" t="s">
        <v>209</v>
      </c>
      <c r="F1003" s="1" t="s">
        <v>1675</v>
      </c>
      <c r="G1003" s="1" t="s">
        <v>215</v>
      </c>
      <c r="H1003" s="1">
        <v>5</v>
      </c>
      <c r="I1003" s="1">
        <v>0.37562499999999999</v>
      </c>
      <c r="K1003" s="1" t="s">
        <v>181</v>
      </c>
    </row>
    <row r="1004" spans="1:11" x14ac:dyDescent="0.25">
      <c r="A1004" s="1" t="s">
        <v>3324</v>
      </c>
      <c r="B1004" s="1" t="s">
        <v>3325</v>
      </c>
      <c r="D1004" s="1" t="s">
        <v>3326</v>
      </c>
      <c r="E1004" s="1" t="s">
        <v>209</v>
      </c>
      <c r="F1004" s="1" t="s">
        <v>1675</v>
      </c>
      <c r="G1004" s="1" t="s">
        <v>215</v>
      </c>
      <c r="H1004" s="1">
        <v>5</v>
      </c>
      <c r="I1004" s="1">
        <v>0.37562499999999999</v>
      </c>
      <c r="K1004" s="1" t="s">
        <v>181</v>
      </c>
    </row>
    <row r="1005" spans="1:11" x14ac:dyDescent="0.25">
      <c r="A1005" s="1" t="s">
        <v>3327</v>
      </c>
      <c r="B1005" s="1" t="s">
        <v>3328</v>
      </c>
      <c r="D1005" s="1" t="s">
        <v>3329</v>
      </c>
      <c r="E1005" s="1" t="s">
        <v>209</v>
      </c>
      <c r="F1005" s="1" t="s">
        <v>1675</v>
      </c>
      <c r="G1005" s="1" t="s">
        <v>215</v>
      </c>
      <c r="H1005" s="1">
        <v>5</v>
      </c>
      <c r="I1005" s="1">
        <v>0.37562499999999999</v>
      </c>
      <c r="K1005" s="1" t="s">
        <v>181</v>
      </c>
    </row>
    <row r="1006" spans="1:11" x14ac:dyDescent="0.25">
      <c r="A1006" s="1" t="s">
        <v>3330</v>
      </c>
      <c r="B1006" s="1" t="s">
        <v>3331</v>
      </c>
      <c r="D1006" s="1" t="s">
        <v>3332</v>
      </c>
      <c r="E1006" s="1" t="s">
        <v>209</v>
      </c>
      <c r="F1006" s="1" t="s">
        <v>1675</v>
      </c>
      <c r="G1006" s="1" t="s">
        <v>215</v>
      </c>
      <c r="H1006" s="1">
        <v>5</v>
      </c>
      <c r="I1006" s="1">
        <v>0.37562499999999999</v>
      </c>
      <c r="K1006" s="1" t="s">
        <v>181</v>
      </c>
    </row>
    <row r="1007" spans="1:11" x14ac:dyDescent="0.25">
      <c r="A1007" s="1" t="s">
        <v>3333</v>
      </c>
      <c r="B1007" s="1" t="s">
        <v>3334</v>
      </c>
      <c r="D1007" s="1" t="s">
        <v>3335</v>
      </c>
      <c r="E1007" s="1" t="s">
        <v>209</v>
      </c>
      <c r="F1007" s="1" t="s">
        <v>1675</v>
      </c>
      <c r="G1007" s="1" t="s">
        <v>215</v>
      </c>
      <c r="H1007" s="1">
        <v>5</v>
      </c>
      <c r="I1007" s="1">
        <v>0.37562499999999999</v>
      </c>
      <c r="K1007" s="1" t="s">
        <v>181</v>
      </c>
    </row>
    <row r="1008" spans="1:11" x14ac:dyDescent="0.25">
      <c r="A1008" s="1" t="s">
        <v>3336</v>
      </c>
      <c r="B1008" s="1" t="s">
        <v>3337</v>
      </c>
      <c r="D1008" s="1" t="s">
        <v>3338</v>
      </c>
      <c r="E1008" s="1" t="s">
        <v>209</v>
      </c>
      <c r="F1008" s="1" t="s">
        <v>1675</v>
      </c>
      <c r="G1008" s="1" t="s">
        <v>215</v>
      </c>
      <c r="H1008" s="1">
        <v>5</v>
      </c>
      <c r="I1008" s="1">
        <v>0.37562499999999999</v>
      </c>
      <c r="K1008" s="1" t="s">
        <v>181</v>
      </c>
    </row>
    <row r="1009" spans="1:11" x14ac:dyDescent="0.25">
      <c r="A1009" s="1" t="s">
        <v>3339</v>
      </c>
      <c r="B1009" s="1" t="s">
        <v>3340</v>
      </c>
      <c r="D1009" s="1" t="s">
        <v>3341</v>
      </c>
      <c r="E1009" s="1" t="s">
        <v>209</v>
      </c>
      <c r="F1009" s="1" t="s">
        <v>1675</v>
      </c>
      <c r="G1009" s="1" t="s">
        <v>215</v>
      </c>
      <c r="H1009" s="1">
        <v>5</v>
      </c>
      <c r="I1009" s="1">
        <v>0.37562499999999999</v>
      </c>
      <c r="K1009" s="1" t="s">
        <v>181</v>
      </c>
    </row>
    <row r="1010" spans="1:11" x14ac:dyDescent="0.25">
      <c r="A1010" s="1" t="s">
        <v>3342</v>
      </c>
      <c r="B1010" s="1" t="s">
        <v>3343</v>
      </c>
      <c r="D1010" s="1" t="s">
        <v>3344</v>
      </c>
      <c r="E1010" s="1" t="s">
        <v>209</v>
      </c>
      <c r="F1010" s="1" t="s">
        <v>1675</v>
      </c>
      <c r="G1010" s="1" t="s">
        <v>215</v>
      </c>
      <c r="H1010" s="1">
        <v>5</v>
      </c>
      <c r="I1010" s="1">
        <v>0.37562499999999999</v>
      </c>
      <c r="K1010" s="1" t="s">
        <v>181</v>
      </c>
    </row>
    <row r="1011" spans="1:11" x14ac:dyDescent="0.25">
      <c r="A1011" s="1" t="s">
        <v>3345</v>
      </c>
      <c r="B1011" s="1" t="s">
        <v>3346</v>
      </c>
      <c r="D1011" s="1" t="s">
        <v>3347</v>
      </c>
      <c r="E1011" s="1" t="s">
        <v>209</v>
      </c>
      <c r="F1011" s="1" t="s">
        <v>1675</v>
      </c>
      <c r="G1011" s="1" t="s">
        <v>215</v>
      </c>
      <c r="H1011" s="1">
        <v>5</v>
      </c>
      <c r="I1011" s="1">
        <v>0.37562499999999999</v>
      </c>
      <c r="K1011" s="1" t="s">
        <v>181</v>
      </c>
    </row>
    <row r="1012" spans="1:11" x14ac:dyDescent="0.25">
      <c r="A1012" s="1" t="s">
        <v>3348</v>
      </c>
      <c r="B1012" s="1" t="s">
        <v>3349</v>
      </c>
      <c r="D1012" s="1" t="s">
        <v>3350</v>
      </c>
      <c r="E1012" s="1" t="s">
        <v>209</v>
      </c>
      <c r="F1012" s="1" t="s">
        <v>1675</v>
      </c>
      <c r="G1012" s="1" t="s">
        <v>215</v>
      </c>
      <c r="H1012" s="1">
        <v>5</v>
      </c>
      <c r="I1012" s="1">
        <v>0.37562499999999999</v>
      </c>
      <c r="K1012" s="1" t="s">
        <v>181</v>
      </c>
    </row>
    <row r="1013" spans="1:11" x14ac:dyDescent="0.25">
      <c r="A1013" s="1" t="s">
        <v>3351</v>
      </c>
      <c r="B1013" s="1" t="s">
        <v>3352</v>
      </c>
      <c r="D1013" s="1" t="s">
        <v>3353</v>
      </c>
      <c r="E1013" s="1" t="s">
        <v>209</v>
      </c>
      <c r="F1013" s="1" t="s">
        <v>1675</v>
      </c>
      <c r="G1013" s="1" t="s">
        <v>215</v>
      </c>
      <c r="H1013" s="1">
        <v>5</v>
      </c>
      <c r="I1013" s="1">
        <v>0.37562499999999999</v>
      </c>
      <c r="K1013" s="1" t="s">
        <v>181</v>
      </c>
    </row>
    <row r="1014" spans="1:11" x14ac:dyDescent="0.25">
      <c r="A1014" s="1" t="s">
        <v>3354</v>
      </c>
      <c r="B1014" s="1" t="s">
        <v>3355</v>
      </c>
      <c r="D1014" s="1" t="s">
        <v>3356</v>
      </c>
      <c r="E1014" s="1" t="s">
        <v>209</v>
      </c>
      <c r="F1014" s="1" t="s">
        <v>1675</v>
      </c>
      <c r="G1014" s="1" t="s">
        <v>215</v>
      </c>
      <c r="H1014" s="1">
        <v>5</v>
      </c>
      <c r="I1014" s="1">
        <v>0.37562499999999999</v>
      </c>
      <c r="K1014" s="1" t="s">
        <v>181</v>
      </c>
    </row>
    <row r="1015" spans="1:11" x14ac:dyDescent="0.25">
      <c r="A1015" s="1" t="s">
        <v>3357</v>
      </c>
      <c r="B1015" s="1" t="s">
        <v>3358</v>
      </c>
      <c r="D1015" s="1" t="s">
        <v>3359</v>
      </c>
      <c r="E1015" s="1" t="s">
        <v>209</v>
      </c>
      <c r="F1015" s="1" t="s">
        <v>1675</v>
      </c>
      <c r="G1015" s="1" t="s">
        <v>215</v>
      </c>
      <c r="H1015" s="1">
        <v>5</v>
      </c>
      <c r="I1015" s="1">
        <v>0.37562499999999999</v>
      </c>
      <c r="K1015" s="1" t="s">
        <v>181</v>
      </c>
    </row>
    <row r="1016" spans="1:11" x14ac:dyDescent="0.25">
      <c r="A1016" s="1" t="s">
        <v>3360</v>
      </c>
      <c r="B1016" s="1" t="s">
        <v>3361</v>
      </c>
      <c r="D1016" s="1" t="s">
        <v>3362</v>
      </c>
      <c r="E1016" s="1" t="s">
        <v>209</v>
      </c>
      <c r="F1016" s="1" t="s">
        <v>1675</v>
      </c>
      <c r="G1016" s="1" t="s">
        <v>215</v>
      </c>
      <c r="H1016" s="1">
        <v>5</v>
      </c>
      <c r="I1016" s="1">
        <v>0.37562499999999999</v>
      </c>
      <c r="K1016" s="1" t="s">
        <v>181</v>
      </c>
    </row>
    <row r="1017" spans="1:11" x14ac:dyDescent="0.25">
      <c r="A1017" s="1" t="s">
        <v>3363</v>
      </c>
      <c r="B1017" s="1" t="s">
        <v>3364</v>
      </c>
      <c r="D1017" s="1" t="s">
        <v>3365</v>
      </c>
      <c r="E1017" s="1" t="s">
        <v>209</v>
      </c>
      <c r="F1017" s="1" t="s">
        <v>1675</v>
      </c>
      <c r="G1017" s="1" t="s">
        <v>215</v>
      </c>
      <c r="H1017" s="1">
        <v>5</v>
      </c>
      <c r="I1017" s="1">
        <v>0.37562499999999999</v>
      </c>
      <c r="K1017" s="1" t="s">
        <v>181</v>
      </c>
    </row>
    <row r="1018" spans="1:11" x14ac:dyDescent="0.25">
      <c r="A1018" s="1" t="s">
        <v>3366</v>
      </c>
      <c r="B1018" s="1" t="s">
        <v>3367</v>
      </c>
      <c r="D1018" s="1" t="s">
        <v>3368</v>
      </c>
      <c r="E1018" s="1" t="s">
        <v>209</v>
      </c>
      <c r="F1018" s="1" t="s">
        <v>1675</v>
      </c>
      <c r="G1018" s="1" t="s">
        <v>215</v>
      </c>
      <c r="H1018" s="1">
        <v>5</v>
      </c>
      <c r="I1018" s="1">
        <v>0.37562499999999999</v>
      </c>
      <c r="K1018" s="1" t="s">
        <v>181</v>
      </c>
    </row>
    <row r="1019" spans="1:11" x14ac:dyDescent="0.25">
      <c r="A1019" s="1" t="s">
        <v>3369</v>
      </c>
      <c r="B1019" s="1" t="s">
        <v>3370</v>
      </c>
      <c r="D1019" s="1" t="s">
        <v>3371</v>
      </c>
      <c r="E1019" s="1" t="s">
        <v>209</v>
      </c>
      <c r="F1019" s="1" t="s">
        <v>1675</v>
      </c>
      <c r="G1019" s="1" t="s">
        <v>215</v>
      </c>
      <c r="H1019" s="1">
        <v>5</v>
      </c>
      <c r="I1019" s="1">
        <v>0.37562499999999999</v>
      </c>
      <c r="K1019" s="1" t="s">
        <v>181</v>
      </c>
    </row>
    <row r="1020" spans="1:11" x14ac:dyDescent="0.25">
      <c r="A1020" s="1" t="s">
        <v>3372</v>
      </c>
      <c r="B1020" s="1" t="s">
        <v>3373</v>
      </c>
      <c r="D1020" s="1" t="s">
        <v>3374</v>
      </c>
      <c r="E1020" s="1" t="s">
        <v>209</v>
      </c>
      <c r="F1020" s="1" t="s">
        <v>1675</v>
      </c>
      <c r="G1020" s="1" t="s">
        <v>215</v>
      </c>
      <c r="H1020" s="1">
        <v>5</v>
      </c>
      <c r="I1020" s="1">
        <v>0.37562499999999999</v>
      </c>
      <c r="K1020" s="1" t="s">
        <v>181</v>
      </c>
    </row>
    <row r="1021" spans="1:11" x14ac:dyDescent="0.25">
      <c r="A1021" s="1" t="s">
        <v>3375</v>
      </c>
      <c r="B1021" s="1" t="s">
        <v>3376</v>
      </c>
      <c r="D1021" s="1" t="s">
        <v>3377</v>
      </c>
      <c r="E1021" s="1" t="s">
        <v>209</v>
      </c>
      <c r="F1021" s="1" t="s">
        <v>1675</v>
      </c>
      <c r="G1021" s="1" t="s">
        <v>215</v>
      </c>
      <c r="H1021" s="1">
        <v>5</v>
      </c>
      <c r="I1021" s="1">
        <v>0.37562499999999999</v>
      </c>
      <c r="K1021" s="1" t="s">
        <v>181</v>
      </c>
    </row>
    <row r="1022" spans="1:11" x14ac:dyDescent="0.25">
      <c r="A1022" s="1" t="s">
        <v>3378</v>
      </c>
      <c r="B1022" s="1" t="s">
        <v>3379</v>
      </c>
      <c r="D1022" s="1" t="s">
        <v>3380</v>
      </c>
      <c r="E1022" s="1" t="s">
        <v>209</v>
      </c>
      <c r="F1022" s="1" t="s">
        <v>1675</v>
      </c>
      <c r="G1022" s="1" t="s">
        <v>215</v>
      </c>
      <c r="H1022" s="1">
        <v>5</v>
      </c>
      <c r="I1022" s="1">
        <v>0.37562499999999999</v>
      </c>
      <c r="K1022" s="1" t="s">
        <v>181</v>
      </c>
    </row>
    <row r="1023" spans="1:11" x14ac:dyDescent="0.25">
      <c r="A1023" s="1" t="s">
        <v>3381</v>
      </c>
      <c r="B1023" s="1" t="s">
        <v>3382</v>
      </c>
      <c r="D1023" s="1" t="s">
        <v>3383</v>
      </c>
      <c r="E1023" s="1" t="s">
        <v>209</v>
      </c>
      <c r="F1023" s="1" t="s">
        <v>1675</v>
      </c>
      <c r="G1023" s="1" t="s">
        <v>215</v>
      </c>
      <c r="H1023" s="1">
        <v>5</v>
      </c>
      <c r="I1023" s="1">
        <v>0.37562499999999999</v>
      </c>
      <c r="K1023" s="1" t="s">
        <v>181</v>
      </c>
    </row>
    <row r="1024" spans="1:11" x14ac:dyDescent="0.25">
      <c r="A1024" s="1" t="s">
        <v>3384</v>
      </c>
      <c r="B1024" s="1" t="s">
        <v>3385</v>
      </c>
      <c r="D1024" s="1" t="s">
        <v>3386</v>
      </c>
      <c r="E1024" s="1" t="s">
        <v>209</v>
      </c>
      <c r="F1024" s="1" t="s">
        <v>1675</v>
      </c>
      <c r="G1024" s="1" t="s">
        <v>215</v>
      </c>
      <c r="H1024" s="1">
        <v>5</v>
      </c>
      <c r="I1024" s="1">
        <v>0.37562499999999999</v>
      </c>
      <c r="K1024" s="1" t="s">
        <v>181</v>
      </c>
    </row>
    <row r="1025" spans="1:11" x14ac:dyDescent="0.25">
      <c r="A1025" s="1" t="s">
        <v>3387</v>
      </c>
      <c r="B1025" s="1" t="s">
        <v>3388</v>
      </c>
      <c r="D1025" s="1" t="s">
        <v>3389</v>
      </c>
      <c r="E1025" s="1" t="s">
        <v>209</v>
      </c>
      <c r="F1025" s="1" t="s">
        <v>1675</v>
      </c>
      <c r="G1025" s="1" t="s">
        <v>215</v>
      </c>
      <c r="H1025" s="1">
        <v>5</v>
      </c>
      <c r="I1025" s="1">
        <v>0.37562499999999999</v>
      </c>
      <c r="K1025" s="1" t="s">
        <v>181</v>
      </c>
    </row>
    <row r="1026" spans="1:11" x14ac:dyDescent="0.25">
      <c r="A1026" s="1" t="s">
        <v>3390</v>
      </c>
      <c r="B1026" s="1" t="s">
        <v>3391</v>
      </c>
      <c r="D1026" s="1" t="s">
        <v>3392</v>
      </c>
      <c r="E1026" s="1" t="s">
        <v>209</v>
      </c>
      <c r="F1026" s="1" t="s">
        <v>1675</v>
      </c>
      <c r="G1026" s="1" t="s">
        <v>215</v>
      </c>
      <c r="H1026" s="1">
        <v>5</v>
      </c>
      <c r="I1026" s="1">
        <v>0.37562499999999999</v>
      </c>
      <c r="K1026" s="1" t="s">
        <v>181</v>
      </c>
    </row>
    <row r="1027" spans="1:11" x14ac:dyDescent="0.25">
      <c r="A1027" s="1" t="s">
        <v>3393</v>
      </c>
      <c r="B1027" s="1" t="s">
        <v>3394</v>
      </c>
      <c r="D1027" s="1" t="s">
        <v>3395</v>
      </c>
      <c r="E1027" s="1" t="s">
        <v>209</v>
      </c>
      <c r="F1027" s="1" t="s">
        <v>1675</v>
      </c>
      <c r="G1027" s="1" t="s">
        <v>215</v>
      </c>
      <c r="H1027" s="1">
        <v>5</v>
      </c>
      <c r="I1027" s="1">
        <v>0.37562499999999999</v>
      </c>
      <c r="K1027" s="1" t="s">
        <v>181</v>
      </c>
    </row>
    <row r="1028" spans="1:11" x14ac:dyDescent="0.25">
      <c r="A1028" s="1" t="s">
        <v>3396</v>
      </c>
      <c r="B1028" s="1" t="s">
        <v>3397</v>
      </c>
      <c r="D1028" s="1" t="s">
        <v>3398</v>
      </c>
      <c r="E1028" s="1" t="s">
        <v>209</v>
      </c>
      <c r="F1028" s="1" t="s">
        <v>1675</v>
      </c>
      <c r="G1028" s="1" t="s">
        <v>215</v>
      </c>
      <c r="H1028" s="1">
        <v>5</v>
      </c>
      <c r="I1028" s="1">
        <v>0.37562499999999999</v>
      </c>
      <c r="K1028" s="1" t="s">
        <v>181</v>
      </c>
    </row>
    <row r="1029" spans="1:11" x14ac:dyDescent="0.25">
      <c r="A1029" s="1" t="s">
        <v>3399</v>
      </c>
      <c r="B1029" s="1" t="s">
        <v>3400</v>
      </c>
      <c r="D1029" s="1" t="s">
        <v>3401</v>
      </c>
      <c r="E1029" s="1" t="s">
        <v>209</v>
      </c>
      <c r="F1029" s="1" t="s">
        <v>1675</v>
      </c>
      <c r="G1029" s="1" t="s">
        <v>215</v>
      </c>
      <c r="H1029" s="1">
        <v>5</v>
      </c>
      <c r="I1029" s="1">
        <v>0.37562499999999999</v>
      </c>
      <c r="K1029" s="1" t="s">
        <v>181</v>
      </c>
    </row>
    <row r="1030" spans="1:11" x14ac:dyDescent="0.25">
      <c r="A1030" s="1" t="s">
        <v>3402</v>
      </c>
      <c r="B1030" s="1" t="s">
        <v>3403</v>
      </c>
      <c r="D1030" s="1" t="s">
        <v>3404</v>
      </c>
      <c r="E1030" s="1" t="s">
        <v>209</v>
      </c>
      <c r="F1030" s="1" t="s">
        <v>1675</v>
      </c>
      <c r="G1030" s="1" t="s">
        <v>215</v>
      </c>
      <c r="H1030" s="1">
        <v>5</v>
      </c>
      <c r="I1030" s="1">
        <v>0.37562499999999999</v>
      </c>
      <c r="K1030" s="1" t="s">
        <v>181</v>
      </c>
    </row>
    <row r="1031" spans="1:11" x14ac:dyDescent="0.25">
      <c r="A1031" s="1" t="s">
        <v>3405</v>
      </c>
      <c r="B1031" s="1" t="s">
        <v>3406</v>
      </c>
      <c r="D1031" s="1" t="s">
        <v>3407</v>
      </c>
      <c r="E1031" s="1" t="s">
        <v>209</v>
      </c>
      <c r="F1031" s="1" t="s">
        <v>1675</v>
      </c>
      <c r="G1031" s="1" t="s">
        <v>215</v>
      </c>
      <c r="H1031" s="1">
        <v>5</v>
      </c>
      <c r="I1031" s="1">
        <v>0.37562499999999999</v>
      </c>
      <c r="K1031" s="1" t="s">
        <v>181</v>
      </c>
    </row>
    <row r="1032" spans="1:11" x14ac:dyDescent="0.25">
      <c r="A1032" s="1" t="s">
        <v>3408</v>
      </c>
      <c r="B1032" s="1" t="s">
        <v>3409</v>
      </c>
      <c r="D1032" s="1" t="s">
        <v>3410</v>
      </c>
      <c r="E1032" s="1" t="s">
        <v>209</v>
      </c>
      <c r="F1032" s="1" t="s">
        <v>1675</v>
      </c>
      <c r="G1032" s="1" t="s">
        <v>215</v>
      </c>
      <c r="H1032" s="1">
        <v>5</v>
      </c>
      <c r="I1032" s="1">
        <v>0.37562499999999999</v>
      </c>
      <c r="K1032" s="1" t="s">
        <v>181</v>
      </c>
    </row>
    <row r="1033" spans="1:11" x14ac:dyDescent="0.25">
      <c r="A1033" s="1" t="s">
        <v>3411</v>
      </c>
      <c r="B1033" s="1" t="s">
        <v>3412</v>
      </c>
      <c r="D1033" s="1" t="s">
        <v>3413</v>
      </c>
      <c r="E1033" s="1" t="s">
        <v>209</v>
      </c>
      <c r="F1033" s="1" t="s">
        <v>1675</v>
      </c>
      <c r="G1033" s="1" t="s">
        <v>215</v>
      </c>
      <c r="H1033" s="1">
        <v>5</v>
      </c>
      <c r="I1033" s="1">
        <v>0.37562499999999999</v>
      </c>
      <c r="K1033" s="1" t="s">
        <v>181</v>
      </c>
    </row>
    <row r="1034" spans="1:11" x14ac:dyDescent="0.25">
      <c r="A1034" s="1" t="s">
        <v>3414</v>
      </c>
      <c r="B1034" s="1" t="s">
        <v>3415</v>
      </c>
      <c r="D1034" s="1" t="s">
        <v>3416</v>
      </c>
      <c r="E1034" s="1" t="s">
        <v>209</v>
      </c>
      <c r="F1034" s="1" t="s">
        <v>1675</v>
      </c>
      <c r="G1034" s="1" t="s">
        <v>215</v>
      </c>
      <c r="H1034" s="1">
        <v>5</v>
      </c>
      <c r="I1034" s="1">
        <v>0.37562499999999999</v>
      </c>
      <c r="K1034" s="1" t="s">
        <v>181</v>
      </c>
    </row>
    <row r="1035" spans="1:11" x14ac:dyDescent="0.25">
      <c r="A1035" s="1" t="s">
        <v>3417</v>
      </c>
      <c r="B1035" s="1" t="s">
        <v>3418</v>
      </c>
      <c r="D1035" s="1" t="s">
        <v>3419</v>
      </c>
      <c r="E1035" s="1" t="s">
        <v>209</v>
      </c>
      <c r="F1035" s="1" t="s">
        <v>1675</v>
      </c>
      <c r="G1035" s="1" t="s">
        <v>215</v>
      </c>
      <c r="H1035" s="1">
        <v>5</v>
      </c>
      <c r="I1035" s="1">
        <v>0.37562499999999999</v>
      </c>
      <c r="K1035" s="1" t="s">
        <v>181</v>
      </c>
    </row>
    <row r="1036" spans="1:11" x14ac:dyDescent="0.25">
      <c r="A1036" s="1" t="s">
        <v>3420</v>
      </c>
      <c r="B1036" s="1" t="s">
        <v>3421</v>
      </c>
      <c r="D1036" s="1" t="s">
        <v>3422</v>
      </c>
      <c r="E1036" s="1" t="s">
        <v>209</v>
      </c>
      <c r="F1036" s="1" t="s">
        <v>1675</v>
      </c>
      <c r="G1036" s="1" t="s">
        <v>215</v>
      </c>
      <c r="H1036" s="1">
        <v>5</v>
      </c>
      <c r="I1036" s="1">
        <v>0.37562499999999999</v>
      </c>
      <c r="K1036" s="1" t="s">
        <v>181</v>
      </c>
    </row>
    <row r="1037" spans="1:11" x14ac:dyDescent="0.25">
      <c r="A1037" s="1" t="s">
        <v>3423</v>
      </c>
      <c r="B1037" s="1" t="s">
        <v>3424</v>
      </c>
      <c r="D1037" s="1" t="s">
        <v>3425</v>
      </c>
      <c r="E1037" s="1" t="s">
        <v>209</v>
      </c>
      <c r="F1037" s="1" t="s">
        <v>1675</v>
      </c>
      <c r="G1037" s="1" t="s">
        <v>215</v>
      </c>
      <c r="H1037" s="1">
        <v>5</v>
      </c>
      <c r="I1037" s="1">
        <v>0.37562499999999999</v>
      </c>
      <c r="K1037" s="1" t="s">
        <v>181</v>
      </c>
    </row>
    <row r="1038" spans="1:11" x14ac:dyDescent="0.25">
      <c r="A1038" s="1" t="s">
        <v>3426</v>
      </c>
      <c r="B1038" s="1" t="s">
        <v>3427</v>
      </c>
      <c r="D1038" s="1" t="s">
        <v>3428</v>
      </c>
      <c r="E1038" s="1" t="s">
        <v>209</v>
      </c>
      <c r="F1038" s="1" t="s">
        <v>1675</v>
      </c>
      <c r="G1038" s="1" t="s">
        <v>215</v>
      </c>
      <c r="H1038" s="1">
        <v>5</v>
      </c>
      <c r="I1038" s="1">
        <v>0.37562499999999999</v>
      </c>
      <c r="K1038" s="1" t="s">
        <v>181</v>
      </c>
    </row>
    <row r="1039" spans="1:11" x14ac:dyDescent="0.25">
      <c r="A1039" s="1" t="s">
        <v>3429</v>
      </c>
      <c r="B1039" s="1" t="s">
        <v>3430</v>
      </c>
      <c r="D1039" s="1" t="s">
        <v>3431</v>
      </c>
      <c r="E1039" s="1" t="s">
        <v>209</v>
      </c>
      <c r="F1039" s="1" t="s">
        <v>1675</v>
      </c>
      <c r="G1039" s="1" t="s">
        <v>215</v>
      </c>
      <c r="H1039" s="1">
        <v>5</v>
      </c>
      <c r="I1039" s="1">
        <v>0.37562499999999999</v>
      </c>
      <c r="K1039" s="1" t="s">
        <v>181</v>
      </c>
    </row>
    <row r="1040" spans="1:11" x14ac:dyDescent="0.25">
      <c r="A1040" s="1" t="s">
        <v>3432</v>
      </c>
      <c r="B1040" s="1" t="s">
        <v>3433</v>
      </c>
      <c r="D1040" s="1" t="s">
        <v>3434</v>
      </c>
      <c r="E1040" s="1" t="s">
        <v>209</v>
      </c>
      <c r="F1040" s="1" t="s">
        <v>1675</v>
      </c>
      <c r="G1040" s="1" t="s">
        <v>574</v>
      </c>
      <c r="H1040" s="1">
        <v>5</v>
      </c>
      <c r="I1040" s="1">
        <v>0.37562499999999999</v>
      </c>
      <c r="K1040" s="1" t="s">
        <v>181</v>
      </c>
    </row>
    <row r="1041" spans="1:11" x14ac:dyDescent="0.25">
      <c r="A1041" s="1" t="s">
        <v>3435</v>
      </c>
      <c r="B1041" s="1" t="s">
        <v>3436</v>
      </c>
      <c r="D1041" s="1" t="s">
        <v>3437</v>
      </c>
      <c r="E1041" s="1" t="s">
        <v>209</v>
      </c>
      <c r="F1041" s="1" t="s">
        <v>1675</v>
      </c>
      <c r="G1041" s="1" t="s">
        <v>574</v>
      </c>
      <c r="H1041" s="1">
        <v>5</v>
      </c>
      <c r="I1041" s="1">
        <v>0.37562499999999999</v>
      </c>
      <c r="K1041" s="1" t="s">
        <v>181</v>
      </c>
    </row>
    <row r="1042" spans="1:11" x14ac:dyDescent="0.25">
      <c r="A1042" s="1" t="s">
        <v>3438</v>
      </c>
      <c r="B1042" s="1" t="s">
        <v>3439</v>
      </c>
      <c r="D1042" s="1" t="s">
        <v>3440</v>
      </c>
      <c r="E1042" s="1" t="s">
        <v>209</v>
      </c>
      <c r="F1042" s="1" t="s">
        <v>1675</v>
      </c>
      <c r="G1042" s="1" t="s">
        <v>574</v>
      </c>
      <c r="H1042" s="1">
        <v>5</v>
      </c>
      <c r="I1042" s="1">
        <v>0.37562499999999999</v>
      </c>
      <c r="K1042" s="1" t="s">
        <v>181</v>
      </c>
    </row>
    <row r="1043" spans="1:11" x14ac:dyDescent="0.25">
      <c r="A1043" s="1" t="s">
        <v>3441</v>
      </c>
      <c r="B1043" s="1" t="s">
        <v>3442</v>
      </c>
      <c r="D1043" s="1" t="s">
        <v>3443</v>
      </c>
      <c r="E1043" s="1" t="s">
        <v>209</v>
      </c>
      <c r="F1043" s="1" t="s">
        <v>1675</v>
      </c>
      <c r="G1043" s="1" t="s">
        <v>211</v>
      </c>
      <c r="H1043" s="1">
        <v>5</v>
      </c>
      <c r="I1043" s="1">
        <v>0.37562499999999999</v>
      </c>
      <c r="K1043" s="1" t="s">
        <v>181</v>
      </c>
    </row>
    <row r="1044" spans="1:11" x14ac:dyDescent="0.25">
      <c r="A1044" s="1" t="s">
        <v>3444</v>
      </c>
      <c r="B1044" s="1" t="s">
        <v>3445</v>
      </c>
      <c r="D1044" s="1" t="s">
        <v>3446</v>
      </c>
      <c r="E1044" s="1" t="s">
        <v>209</v>
      </c>
      <c r="F1044" s="1" t="s">
        <v>1675</v>
      </c>
      <c r="G1044" s="1" t="s">
        <v>215</v>
      </c>
      <c r="H1044" s="1">
        <v>5</v>
      </c>
      <c r="I1044" s="1">
        <v>0.37562499999999999</v>
      </c>
      <c r="K1044" s="1" t="s">
        <v>181</v>
      </c>
    </row>
    <row r="1045" spans="1:11" x14ac:dyDescent="0.25">
      <c r="A1045" s="1" t="s">
        <v>3447</v>
      </c>
      <c r="B1045" s="1" t="s">
        <v>3448</v>
      </c>
      <c r="D1045" s="1" t="s">
        <v>3449</v>
      </c>
      <c r="E1045" s="1" t="s">
        <v>209</v>
      </c>
      <c r="F1045" s="1" t="s">
        <v>1675</v>
      </c>
      <c r="G1045" s="1" t="s">
        <v>215</v>
      </c>
      <c r="H1045" s="1">
        <v>5</v>
      </c>
      <c r="I1045" s="1">
        <v>0.37562499999999999</v>
      </c>
      <c r="K1045" s="1" t="s">
        <v>181</v>
      </c>
    </row>
    <row r="1046" spans="1:11" x14ac:dyDescent="0.25">
      <c r="A1046" s="1" t="s">
        <v>3450</v>
      </c>
      <c r="B1046" s="1" t="s">
        <v>3451</v>
      </c>
      <c r="D1046" s="1" t="s">
        <v>3452</v>
      </c>
      <c r="E1046" s="1" t="s">
        <v>209</v>
      </c>
      <c r="F1046" s="1" t="s">
        <v>1675</v>
      </c>
      <c r="G1046" s="1" t="s">
        <v>215</v>
      </c>
      <c r="H1046" s="1">
        <v>5</v>
      </c>
      <c r="I1046" s="1">
        <v>0.37562499999999999</v>
      </c>
      <c r="K1046" s="1" t="s">
        <v>181</v>
      </c>
    </row>
    <row r="1047" spans="1:11" x14ac:dyDescent="0.25">
      <c r="A1047" s="1" t="s">
        <v>3453</v>
      </c>
      <c r="B1047" s="1" t="s">
        <v>3454</v>
      </c>
      <c r="D1047" s="1" t="s">
        <v>3455</v>
      </c>
      <c r="E1047" s="1" t="s">
        <v>209</v>
      </c>
      <c r="F1047" s="1" t="s">
        <v>1675</v>
      </c>
      <c r="G1047" s="1" t="s">
        <v>215</v>
      </c>
      <c r="H1047" s="1">
        <v>5</v>
      </c>
      <c r="I1047" s="1">
        <v>0.37562499999999999</v>
      </c>
      <c r="K1047" s="1" t="s">
        <v>181</v>
      </c>
    </row>
    <row r="1048" spans="1:11" x14ac:dyDescent="0.25">
      <c r="A1048" s="1" t="s">
        <v>3456</v>
      </c>
      <c r="B1048" s="1" t="s">
        <v>3457</v>
      </c>
      <c r="D1048" s="1" t="s">
        <v>3458</v>
      </c>
      <c r="E1048" s="1" t="s">
        <v>209</v>
      </c>
      <c r="F1048" s="1" t="s">
        <v>1675</v>
      </c>
      <c r="G1048" s="1" t="s">
        <v>215</v>
      </c>
      <c r="H1048" s="1">
        <v>5</v>
      </c>
      <c r="I1048" s="1">
        <v>0.37562499999999999</v>
      </c>
      <c r="K1048" s="1" t="s">
        <v>181</v>
      </c>
    </row>
    <row r="1049" spans="1:11" x14ac:dyDescent="0.25">
      <c r="A1049" s="1" t="s">
        <v>3459</v>
      </c>
      <c r="B1049" s="1" t="s">
        <v>3460</v>
      </c>
      <c r="D1049" s="1" t="s">
        <v>3461</v>
      </c>
      <c r="E1049" s="1" t="s">
        <v>209</v>
      </c>
      <c r="F1049" s="1" t="s">
        <v>1675</v>
      </c>
      <c r="G1049" s="1" t="s">
        <v>215</v>
      </c>
      <c r="H1049" s="1">
        <v>5</v>
      </c>
      <c r="I1049" s="1">
        <v>0.37562499999999999</v>
      </c>
      <c r="K1049" s="1" t="s">
        <v>181</v>
      </c>
    </row>
    <row r="1050" spans="1:11" x14ac:dyDescent="0.25">
      <c r="A1050" s="1" t="s">
        <v>3462</v>
      </c>
      <c r="B1050" s="1" t="s">
        <v>3463</v>
      </c>
      <c r="D1050" s="1" t="s">
        <v>3464</v>
      </c>
      <c r="E1050" s="1" t="s">
        <v>209</v>
      </c>
      <c r="F1050" s="1" t="s">
        <v>1675</v>
      </c>
      <c r="G1050" s="1" t="s">
        <v>215</v>
      </c>
      <c r="H1050" s="1">
        <v>5</v>
      </c>
      <c r="I1050" s="1">
        <v>0.37562499999999999</v>
      </c>
      <c r="K1050" s="1" t="s">
        <v>181</v>
      </c>
    </row>
    <row r="1051" spans="1:11" x14ac:dyDescent="0.25">
      <c r="A1051" s="1" t="s">
        <v>3465</v>
      </c>
      <c r="B1051" s="1" t="s">
        <v>3466</v>
      </c>
      <c r="D1051" s="1" t="s">
        <v>3467</v>
      </c>
      <c r="E1051" s="1" t="s">
        <v>209</v>
      </c>
      <c r="F1051" s="1" t="s">
        <v>1675</v>
      </c>
      <c r="G1051" s="1" t="s">
        <v>215</v>
      </c>
      <c r="H1051" s="1">
        <v>5</v>
      </c>
      <c r="I1051" s="1">
        <v>0.37562499999999999</v>
      </c>
      <c r="K1051" s="1" t="s">
        <v>181</v>
      </c>
    </row>
    <row r="1052" spans="1:11" x14ac:dyDescent="0.25">
      <c r="A1052" s="1" t="s">
        <v>3468</v>
      </c>
      <c r="B1052" s="1" t="s">
        <v>3469</v>
      </c>
      <c r="D1052" s="1" t="s">
        <v>3470</v>
      </c>
      <c r="E1052" s="1" t="s">
        <v>209</v>
      </c>
      <c r="F1052" s="1" t="s">
        <v>1675</v>
      </c>
      <c r="G1052" s="1" t="s">
        <v>215</v>
      </c>
      <c r="H1052" s="1">
        <v>5</v>
      </c>
      <c r="I1052" s="1">
        <v>0.37562499999999999</v>
      </c>
      <c r="K1052" s="1" t="s">
        <v>181</v>
      </c>
    </row>
    <row r="1053" spans="1:11" x14ac:dyDescent="0.25">
      <c r="A1053" s="1" t="s">
        <v>3471</v>
      </c>
      <c r="B1053" s="1" t="s">
        <v>3472</v>
      </c>
      <c r="D1053" s="1" t="s">
        <v>3473</v>
      </c>
      <c r="E1053" s="1" t="s">
        <v>209</v>
      </c>
      <c r="F1053" s="1" t="s">
        <v>1675</v>
      </c>
      <c r="G1053" s="1" t="s">
        <v>215</v>
      </c>
      <c r="H1053" s="1">
        <v>5</v>
      </c>
      <c r="I1053" s="1">
        <v>0.37562499999999999</v>
      </c>
      <c r="K1053" s="1" t="s">
        <v>181</v>
      </c>
    </row>
    <row r="1054" spans="1:11" x14ac:dyDescent="0.25">
      <c r="A1054" s="1" t="s">
        <v>3474</v>
      </c>
      <c r="B1054" s="1" t="s">
        <v>3475</v>
      </c>
      <c r="D1054" s="1" t="s">
        <v>3476</v>
      </c>
      <c r="E1054" s="1" t="s">
        <v>209</v>
      </c>
      <c r="F1054" s="1" t="s">
        <v>1675</v>
      </c>
      <c r="G1054" s="1" t="s">
        <v>215</v>
      </c>
      <c r="H1054" s="1">
        <v>5</v>
      </c>
      <c r="I1054" s="1">
        <v>0.37562499999999999</v>
      </c>
      <c r="K1054" s="1" t="s">
        <v>181</v>
      </c>
    </row>
    <row r="1055" spans="1:11" x14ac:dyDescent="0.25">
      <c r="A1055" s="1" t="s">
        <v>3477</v>
      </c>
      <c r="B1055" s="1" t="s">
        <v>3478</v>
      </c>
      <c r="D1055" s="1" t="s">
        <v>3479</v>
      </c>
      <c r="E1055" s="1" t="s">
        <v>209</v>
      </c>
      <c r="F1055" s="1" t="s">
        <v>1675</v>
      </c>
      <c r="G1055" s="1" t="s">
        <v>215</v>
      </c>
      <c r="H1055" s="1">
        <v>5</v>
      </c>
      <c r="I1055" s="1">
        <v>0.37562499999999999</v>
      </c>
      <c r="K1055" s="1" t="s">
        <v>181</v>
      </c>
    </row>
    <row r="1056" spans="1:11" x14ac:dyDescent="0.25">
      <c r="A1056" s="1" t="s">
        <v>3480</v>
      </c>
      <c r="B1056" s="1" t="s">
        <v>3481</v>
      </c>
      <c r="D1056" s="1" t="s">
        <v>3482</v>
      </c>
      <c r="E1056" s="1" t="s">
        <v>209</v>
      </c>
      <c r="F1056" s="1" t="s">
        <v>1675</v>
      </c>
      <c r="G1056" s="1" t="s">
        <v>215</v>
      </c>
      <c r="H1056" s="1">
        <v>5</v>
      </c>
      <c r="I1056" s="1">
        <v>0.37562499999999999</v>
      </c>
      <c r="K1056" s="1" t="s">
        <v>181</v>
      </c>
    </row>
    <row r="1057" spans="1:11" x14ac:dyDescent="0.25">
      <c r="A1057" s="1" t="s">
        <v>3483</v>
      </c>
      <c r="B1057" s="1" t="s">
        <v>3484</v>
      </c>
      <c r="D1057" s="1" t="s">
        <v>3485</v>
      </c>
      <c r="E1057" s="1" t="s">
        <v>209</v>
      </c>
      <c r="F1057" s="1" t="s">
        <v>1675</v>
      </c>
      <c r="G1057" s="1" t="s">
        <v>215</v>
      </c>
      <c r="H1057" s="1">
        <v>5</v>
      </c>
      <c r="I1057" s="1">
        <v>0.37562499999999999</v>
      </c>
      <c r="K1057" s="1" t="s">
        <v>181</v>
      </c>
    </row>
    <row r="1058" spans="1:11" x14ac:dyDescent="0.25">
      <c r="A1058" s="1" t="s">
        <v>3486</v>
      </c>
      <c r="B1058" s="1" t="s">
        <v>3487</v>
      </c>
      <c r="D1058" s="1" t="s">
        <v>3488</v>
      </c>
      <c r="E1058" s="1" t="s">
        <v>209</v>
      </c>
      <c r="F1058" s="1" t="s">
        <v>1675</v>
      </c>
      <c r="G1058" s="1" t="s">
        <v>215</v>
      </c>
      <c r="H1058" s="1">
        <v>5</v>
      </c>
      <c r="I1058" s="1">
        <v>0.37562499999999999</v>
      </c>
      <c r="K1058" s="1" t="s">
        <v>181</v>
      </c>
    </row>
    <row r="1059" spans="1:11" x14ac:dyDescent="0.25">
      <c r="A1059" s="1" t="s">
        <v>3489</v>
      </c>
      <c r="B1059" s="1" t="s">
        <v>3490</v>
      </c>
      <c r="D1059" s="1" t="s">
        <v>3491</v>
      </c>
      <c r="E1059" s="1" t="s">
        <v>209</v>
      </c>
      <c r="F1059" s="1" t="s">
        <v>1675</v>
      </c>
      <c r="G1059" s="1" t="s">
        <v>215</v>
      </c>
      <c r="H1059" s="1">
        <v>5</v>
      </c>
      <c r="I1059" s="1">
        <v>0.37562499999999999</v>
      </c>
      <c r="K1059" s="1" t="s">
        <v>181</v>
      </c>
    </row>
    <row r="1060" spans="1:11" x14ac:dyDescent="0.25">
      <c r="A1060" s="1" t="s">
        <v>3492</v>
      </c>
      <c r="B1060" s="1" t="s">
        <v>3493</v>
      </c>
      <c r="D1060" s="1" t="s">
        <v>3494</v>
      </c>
      <c r="E1060" s="1" t="s">
        <v>209</v>
      </c>
      <c r="F1060" s="1" t="s">
        <v>1675</v>
      </c>
      <c r="G1060" s="1" t="s">
        <v>211</v>
      </c>
      <c r="H1060" s="1">
        <v>5</v>
      </c>
      <c r="I1060" s="1">
        <v>0.37562499999999999</v>
      </c>
      <c r="K1060" s="1" t="s">
        <v>181</v>
      </c>
    </row>
    <row r="1061" spans="1:11" x14ac:dyDescent="0.25">
      <c r="A1061" s="1" t="s">
        <v>3495</v>
      </c>
      <c r="B1061" s="1" t="s">
        <v>3496</v>
      </c>
      <c r="D1061" s="1" t="s">
        <v>3497</v>
      </c>
      <c r="E1061" s="1" t="s">
        <v>209</v>
      </c>
      <c r="F1061" s="1" t="s">
        <v>1675</v>
      </c>
      <c r="G1061" s="1" t="s">
        <v>215</v>
      </c>
      <c r="H1061" s="1">
        <v>5</v>
      </c>
      <c r="I1061" s="1">
        <v>0.37562499999999999</v>
      </c>
      <c r="K1061" s="1" t="s">
        <v>181</v>
      </c>
    </row>
    <row r="1062" spans="1:11" x14ac:dyDescent="0.25">
      <c r="A1062" s="1" t="s">
        <v>3498</v>
      </c>
      <c r="B1062" s="1" t="s">
        <v>3499</v>
      </c>
      <c r="D1062" s="1" t="s">
        <v>3500</v>
      </c>
      <c r="E1062" s="1" t="s">
        <v>209</v>
      </c>
      <c r="F1062" s="1" t="s">
        <v>1675</v>
      </c>
      <c r="G1062" s="1" t="s">
        <v>211</v>
      </c>
      <c r="H1062" s="1">
        <v>5</v>
      </c>
      <c r="I1062" s="1">
        <v>0.37562499999999999</v>
      </c>
      <c r="K1062" s="1" t="s">
        <v>181</v>
      </c>
    </row>
    <row r="1063" spans="1:11" x14ac:dyDescent="0.25">
      <c r="A1063" s="1" t="s">
        <v>3501</v>
      </c>
      <c r="B1063" s="1" t="s">
        <v>3502</v>
      </c>
      <c r="D1063" s="1" t="s">
        <v>3503</v>
      </c>
      <c r="E1063" s="1" t="s">
        <v>209</v>
      </c>
      <c r="F1063" s="1" t="s">
        <v>1675</v>
      </c>
      <c r="G1063" s="1" t="s">
        <v>215</v>
      </c>
      <c r="H1063" s="1">
        <v>5</v>
      </c>
      <c r="I1063" s="1">
        <v>0.37562499999999999</v>
      </c>
      <c r="K1063" s="1" t="s">
        <v>181</v>
      </c>
    </row>
    <row r="1064" spans="1:11" x14ac:dyDescent="0.25">
      <c r="A1064" s="1" t="s">
        <v>3504</v>
      </c>
      <c r="B1064" s="1" t="s">
        <v>3505</v>
      </c>
      <c r="D1064" s="1" t="s">
        <v>3506</v>
      </c>
      <c r="E1064" s="1" t="s">
        <v>209</v>
      </c>
      <c r="F1064" s="1" t="s">
        <v>1675</v>
      </c>
      <c r="G1064" s="1" t="s">
        <v>215</v>
      </c>
      <c r="H1064" s="1">
        <v>5</v>
      </c>
      <c r="I1064" s="1">
        <v>0.37562499999999999</v>
      </c>
      <c r="K1064" s="1" t="s">
        <v>181</v>
      </c>
    </row>
    <row r="1065" spans="1:11" x14ac:dyDescent="0.25">
      <c r="A1065" s="1" t="s">
        <v>3507</v>
      </c>
      <c r="B1065" s="1" t="s">
        <v>3508</v>
      </c>
      <c r="D1065" s="1" t="s">
        <v>3509</v>
      </c>
      <c r="E1065" s="1" t="s">
        <v>209</v>
      </c>
      <c r="F1065" s="1" t="s">
        <v>1675</v>
      </c>
      <c r="G1065" s="1" t="s">
        <v>215</v>
      </c>
      <c r="H1065" s="1">
        <v>5</v>
      </c>
      <c r="I1065" s="1">
        <v>0.37562499999999999</v>
      </c>
      <c r="K1065" s="1" t="s">
        <v>181</v>
      </c>
    </row>
    <row r="1066" spans="1:11" x14ac:dyDescent="0.25">
      <c r="A1066" s="1" t="s">
        <v>3510</v>
      </c>
      <c r="B1066" s="1" t="s">
        <v>3511</v>
      </c>
      <c r="D1066" s="1" t="s">
        <v>3512</v>
      </c>
      <c r="E1066" s="1" t="s">
        <v>209</v>
      </c>
      <c r="F1066" s="1" t="s">
        <v>1675</v>
      </c>
      <c r="G1066" s="1" t="s">
        <v>215</v>
      </c>
      <c r="H1066" s="1">
        <v>5</v>
      </c>
      <c r="I1066" s="1">
        <v>0.37562499999999999</v>
      </c>
      <c r="K1066" s="1" t="s">
        <v>181</v>
      </c>
    </row>
    <row r="1067" spans="1:11" x14ac:dyDescent="0.25">
      <c r="A1067" s="1" t="s">
        <v>3513</v>
      </c>
      <c r="B1067" s="1" t="s">
        <v>3514</v>
      </c>
      <c r="D1067" s="1" t="s">
        <v>3515</v>
      </c>
      <c r="E1067" s="1" t="s">
        <v>209</v>
      </c>
      <c r="F1067" s="1" t="s">
        <v>1675</v>
      </c>
      <c r="G1067" s="1" t="s">
        <v>215</v>
      </c>
      <c r="H1067" s="1">
        <v>5</v>
      </c>
      <c r="I1067" s="1">
        <v>0.37562499999999999</v>
      </c>
      <c r="K1067" s="1" t="s">
        <v>181</v>
      </c>
    </row>
    <row r="1068" spans="1:11" x14ac:dyDescent="0.25">
      <c r="A1068" s="1" t="s">
        <v>3516</v>
      </c>
      <c r="B1068" s="1" t="s">
        <v>3517</v>
      </c>
      <c r="D1068" s="1" t="s">
        <v>3518</v>
      </c>
      <c r="E1068" s="1" t="s">
        <v>209</v>
      </c>
      <c r="F1068" s="1" t="s">
        <v>1675</v>
      </c>
      <c r="G1068" s="1" t="s">
        <v>215</v>
      </c>
      <c r="H1068" s="1">
        <v>5</v>
      </c>
      <c r="I1068" s="1">
        <v>0.37562499999999999</v>
      </c>
      <c r="K1068" s="1" t="s">
        <v>181</v>
      </c>
    </row>
    <row r="1069" spans="1:11" x14ac:dyDescent="0.25">
      <c r="A1069" s="1" t="s">
        <v>3519</v>
      </c>
      <c r="B1069" s="1" t="s">
        <v>3520</v>
      </c>
      <c r="D1069" s="1" t="s">
        <v>3521</v>
      </c>
      <c r="E1069" s="1" t="s">
        <v>209</v>
      </c>
      <c r="F1069" s="1" t="s">
        <v>1675</v>
      </c>
      <c r="G1069" s="1" t="s">
        <v>215</v>
      </c>
      <c r="H1069" s="1">
        <v>5</v>
      </c>
      <c r="I1069" s="1">
        <v>0.37562499999999999</v>
      </c>
      <c r="K1069" s="1" t="s">
        <v>181</v>
      </c>
    </row>
    <row r="1070" spans="1:11" x14ac:dyDescent="0.25">
      <c r="A1070" s="1" t="s">
        <v>3522</v>
      </c>
      <c r="B1070" s="1" t="s">
        <v>3523</v>
      </c>
      <c r="D1070" s="1" t="s">
        <v>3524</v>
      </c>
      <c r="E1070" s="1" t="s">
        <v>209</v>
      </c>
      <c r="F1070" s="1" t="s">
        <v>1675</v>
      </c>
      <c r="G1070" s="1" t="s">
        <v>215</v>
      </c>
      <c r="H1070" s="1">
        <v>5</v>
      </c>
      <c r="I1070" s="1">
        <v>0.37562499999999999</v>
      </c>
      <c r="K1070" s="1" t="s">
        <v>181</v>
      </c>
    </row>
    <row r="1071" spans="1:11" x14ac:dyDescent="0.25">
      <c r="A1071" s="1" t="s">
        <v>3525</v>
      </c>
      <c r="B1071" s="1" t="s">
        <v>3526</v>
      </c>
      <c r="D1071" s="1" t="s">
        <v>3527</v>
      </c>
      <c r="E1071" s="1" t="s">
        <v>209</v>
      </c>
      <c r="F1071" s="1" t="s">
        <v>1675</v>
      </c>
      <c r="G1071" s="1" t="s">
        <v>215</v>
      </c>
      <c r="H1071" s="1">
        <v>5</v>
      </c>
      <c r="I1071" s="1">
        <v>0.37562499999999999</v>
      </c>
      <c r="K1071" s="1" t="s">
        <v>181</v>
      </c>
    </row>
    <row r="1072" spans="1:11" x14ac:dyDescent="0.25">
      <c r="A1072" s="1" t="s">
        <v>3528</v>
      </c>
      <c r="B1072" s="1" t="s">
        <v>3526</v>
      </c>
      <c r="D1072" s="1" t="s">
        <v>3529</v>
      </c>
      <c r="E1072" s="1" t="s">
        <v>209</v>
      </c>
      <c r="F1072" s="1" t="s">
        <v>1675</v>
      </c>
      <c r="G1072" s="1" t="s">
        <v>215</v>
      </c>
      <c r="H1072" s="1">
        <v>5</v>
      </c>
      <c r="I1072" s="1">
        <v>0.37562499999999999</v>
      </c>
      <c r="K1072" s="1" t="s">
        <v>181</v>
      </c>
    </row>
    <row r="1073" spans="1:11" x14ac:dyDescent="0.25">
      <c r="A1073" s="1" t="s">
        <v>3530</v>
      </c>
      <c r="B1073" s="1" t="s">
        <v>3531</v>
      </c>
      <c r="D1073" s="1" t="s">
        <v>3532</v>
      </c>
      <c r="E1073" s="1" t="s">
        <v>209</v>
      </c>
      <c r="F1073" s="1" t="s">
        <v>1675</v>
      </c>
      <c r="G1073" s="1" t="s">
        <v>211</v>
      </c>
      <c r="H1073" s="1">
        <v>5</v>
      </c>
      <c r="I1073" s="1">
        <v>0.37562499999999999</v>
      </c>
      <c r="K1073" s="1" t="s">
        <v>181</v>
      </c>
    </row>
    <row r="1074" spans="1:11" x14ac:dyDescent="0.25">
      <c r="A1074" s="1" t="s">
        <v>3533</v>
      </c>
      <c r="B1074" s="1" t="s">
        <v>3534</v>
      </c>
      <c r="D1074" s="1" t="s">
        <v>3535</v>
      </c>
      <c r="E1074" s="1" t="s">
        <v>209</v>
      </c>
      <c r="F1074" s="1" t="s">
        <v>1675</v>
      </c>
      <c r="G1074" s="1" t="s">
        <v>211</v>
      </c>
      <c r="H1074" s="1">
        <v>5</v>
      </c>
      <c r="I1074" s="1">
        <v>0.37562499999999999</v>
      </c>
      <c r="K1074" s="1" t="s">
        <v>181</v>
      </c>
    </row>
    <row r="1075" spans="1:11" x14ac:dyDescent="0.25">
      <c r="A1075" s="1" t="s">
        <v>3536</v>
      </c>
      <c r="B1075" s="1" t="s">
        <v>3537</v>
      </c>
      <c r="D1075" s="1" t="s">
        <v>3538</v>
      </c>
      <c r="E1075" s="1" t="s">
        <v>209</v>
      </c>
      <c r="F1075" s="1" t="s">
        <v>1675</v>
      </c>
      <c r="G1075" s="1" t="s">
        <v>211</v>
      </c>
      <c r="H1075" s="1">
        <v>5</v>
      </c>
      <c r="I1075" s="1">
        <v>0.37562499999999999</v>
      </c>
      <c r="K1075" s="1" t="s">
        <v>181</v>
      </c>
    </row>
    <row r="1076" spans="1:11" x14ac:dyDescent="0.25">
      <c r="A1076" s="1" t="s">
        <v>3539</v>
      </c>
      <c r="B1076" s="1" t="s">
        <v>3540</v>
      </c>
      <c r="D1076" s="1" t="s">
        <v>3541</v>
      </c>
      <c r="E1076" s="1" t="s">
        <v>209</v>
      </c>
      <c r="F1076" s="1" t="s">
        <v>1675</v>
      </c>
      <c r="G1076" s="1" t="s">
        <v>215</v>
      </c>
      <c r="H1076" s="1">
        <v>5</v>
      </c>
      <c r="I1076" s="1">
        <v>0.37562499999999999</v>
      </c>
      <c r="K1076" s="1" t="s">
        <v>181</v>
      </c>
    </row>
    <row r="1077" spans="1:11" x14ac:dyDescent="0.25">
      <c r="A1077" s="1" t="s">
        <v>3542</v>
      </c>
      <c r="B1077" s="1" t="s">
        <v>3543</v>
      </c>
      <c r="D1077" s="1" t="s">
        <v>3544</v>
      </c>
      <c r="E1077" s="1" t="s">
        <v>209</v>
      </c>
      <c r="F1077" s="1" t="s">
        <v>1675</v>
      </c>
      <c r="G1077" s="1" t="s">
        <v>211</v>
      </c>
      <c r="H1077" s="1">
        <v>5</v>
      </c>
      <c r="I1077" s="1">
        <v>0.37562499999999999</v>
      </c>
      <c r="K1077" s="1" t="s">
        <v>181</v>
      </c>
    </row>
    <row r="1078" spans="1:11" x14ac:dyDescent="0.25">
      <c r="A1078" s="1" t="s">
        <v>3545</v>
      </c>
      <c r="B1078" s="1" t="s">
        <v>3546</v>
      </c>
      <c r="D1078" s="1" t="s">
        <v>3547</v>
      </c>
      <c r="E1078" s="1" t="s">
        <v>209</v>
      </c>
      <c r="F1078" s="1" t="s">
        <v>1675</v>
      </c>
      <c r="G1078" s="1" t="s">
        <v>215</v>
      </c>
      <c r="H1078" s="1">
        <v>5</v>
      </c>
      <c r="I1078" s="1">
        <v>0.37562499999999999</v>
      </c>
      <c r="K1078" s="1" t="s">
        <v>181</v>
      </c>
    </row>
    <row r="1079" spans="1:11" x14ac:dyDescent="0.25">
      <c r="A1079" s="1" t="s">
        <v>3548</v>
      </c>
      <c r="B1079" s="1" t="s">
        <v>3549</v>
      </c>
      <c r="D1079" s="1" t="s">
        <v>3550</v>
      </c>
      <c r="E1079" s="1" t="s">
        <v>209</v>
      </c>
      <c r="F1079" s="1" t="s">
        <v>1675</v>
      </c>
      <c r="G1079" s="1" t="s">
        <v>211</v>
      </c>
      <c r="H1079" s="1">
        <v>5</v>
      </c>
      <c r="I1079" s="1">
        <v>0.37562499999999999</v>
      </c>
      <c r="K1079" s="1" t="s">
        <v>181</v>
      </c>
    </row>
    <row r="1080" spans="1:11" x14ac:dyDescent="0.25">
      <c r="A1080" s="1" t="s">
        <v>3551</v>
      </c>
      <c r="B1080" s="1" t="s">
        <v>3552</v>
      </c>
      <c r="D1080" s="1" t="s">
        <v>3553</v>
      </c>
      <c r="E1080" s="1" t="s">
        <v>209</v>
      </c>
      <c r="F1080" s="1" t="s">
        <v>1675</v>
      </c>
      <c r="G1080" s="1" t="s">
        <v>215</v>
      </c>
      <c r="H1080" s="1">
        <v>5</v>
      </c>
      <c r="I1080" s="1">
        <v>0.37562499999999999</v>
      </c>
      <c r="K1080" s="1" t="s">
        <v>181</v>
      </c>
    </row>
    <row r="1081" spans="1:11" x14ac:dyDescent="0.25">
      <c r="A1081" s="1" t="s">
        <v>3554</v>
      </c>
      <c r="B1081" s="1" t="s">
        <v>3555</v>
      </c>
      <c r="D1081" s="1" t="s">
        <v>3556</v>
      </c>
      <c r="E1081" s="1" t="s">
        <v>209</v>
      </c>
      <c r="F1081" s="1" t="s">
        <v>1675</v>
      </c>
      <c r="G1081" s="1" t="s">
        <v>215</v>
      </c>
      <c r="H1081" s="1">
        <v>5</v>
      </c>
      <c r="I1081" s="1">
        <v>0.37562499999999999</v>
      </c>
      <c r="K1081" s="1" t="s">
        <v>181</v>
      </c>
    </row>
    <row r="1082" spans="1:11" x14ac:dyDescent="0.25">
      <c r="A1082" s="1" t="s">
        <v>3557</v>
      </c>
      <c r="B1082" s="1" t="s">
        <v>3558</v>
      </c>
      <c r="D1082" s="1" t="s">
        <v>3559</v>
      </c>
      <c r="E1082" s="1" t="s">
        <v>209</v>
      </c>
      <c r="F1082" s="1" t="s">
        <v>1675</v>
      </c>
      <c r="G1082" s="1" t="s">
        <v>215</v>
      </c>
      <c r="H1082" s="1">
        <v>5</v>
      </c>
      <c r="I1082" s="1">
        <v>0.37562499999999999</v>
      </c>
      <c r="K1082" s="1" t="s">
        <v>181</v>
      </c>
    </row>
    <row r="1083" spans="1:11" x14ac:dyDescent="0.25">
      <c r="A1083" s="1" t="s">
        <v>3560</v>
      </c>
      <c r="B1083" s="1" t="s">
        <v>3561</v>
      </c>
      <c r="D1083" s="1" t="s">
        <v>3562</v>
      </c>
      <c r="E1083" s="1" t="s">
        <v>209</v>
      </c>
      <c r="F1083" s="1" t="s">
        <v>1675</v>
      </c>
      <c r="G1083" s="1" t="s">
        <v>215</v>
      </c>
      <c r="H1083" s="1">
        <v>5</v>
      </c>
      <c r="I1083" s="1">
        <v>0.37562499999999999</v>
      </c>
      <c r="K1083" s="1" t="s">
        <v>181</v>
      </c>
    </row>
    <row r="1084" spans="1:11" x14ac:dyDescent="0.25">
      <c r="A1084" s="1" t="s">
        <v>3563</v>
      </c>
      <c r="B1084" s="1" t="s">
        <v>3564</v>
      </c>
      <c r="D1084" s="1" t="s">
        <v>3565</v>
      </c>
      <c r="E1084" s="1" t="s">
        <v>209</v>
      </c>
      <c r="F1084" s="1" t="s">
        <v>1675</v>
      </c>
      <c r="G1084" s="1" t="s">
        <v>215</v>
      </c>
      <c r="H1084" s="1">
        <v>5</v>
      </c>
      <c r="I1084" s="1">
        <v>0.37562499999999999</v>
      </c>
      <c r="K1084" s="1" t="s">
        <v>181</v>
      </c>
    </row>
    <row r="1085" spans="1:11" x14ac:dyDescent="0.25">
      <c r="A1085" s="1" t="s">
        <v>3566</v>
      </c>
      <c r="B1085" s="1" t="s">
        <v>3567</v>
      </c>
      <c r="D1085" s="1" t="s">
        <v>3568</v>
      </c>
      <c r="E1085" s="1" t="s">
        <v>209</v>
      </c>
      <c r="F1085" s="1" t="s">
        <v>1675</v>
      </c>
      <c r="G1085" s="1" t="s">
        <v>215</v>
      </c>
      <c r="H1085" s="1">
        <v>5</v>
      </c>
      <c r="I1085" s="1">
        <v>0.37562499999999999</v>
      </c>
      <c r="K1085" s="1" t="s">
        <v>181</v>
      </c>
    </row>
    <row r="1086" spans="1:11" x14ac:dyDescent="0.25">
      <c r="A1086" s="1" t="s">
        <v>3569</v>
      </c>
      <c r="B1086" s="1" t="s">
        <v>3570</v>
      </c>
      <c r="D1086" s="1" t="s">
        <v>3571</v>
      </c>
      <c r="E1086" s="1" t="s">
        <v>209</v>
      </c>
      <c r="F1086" s="1" t="s">
        <v>1675</v>
      </c>
      <c r="G1086" s="1" t="s">
        <v>215</v>
      </c>
      <c r="H1086" s="1">
        <v>5</v>
      </c>
      <c r="I1086" s="1">
        <v>0.37562499999999999</v>
      </c>
      <c r="K1086" s="1" t="s">
        <v>181</v>
      </c>
    </row>
    <row r="1087" spans="1:11" x14ac:dyDescent="0.25">
      <c r="A1087" s="1" t="s">
        <v>3572</v>
      </c>
      <c r="B1087" s="1" t="s">
        <v>3573</v>
      </c>
      <c r="D1087" s="1" t="s">
        <v>3574</v>
      </c>
      <c r="E1087" s="1" t="s">
        <v>209</v>
      </c>
      <c r="F1087" s="1" t="s">
        <v>1675</v>
      </c>
      <c r="G1087" s="1" t="s">
        <v>215</v>
      </c>
      <c r="H1087" s="1">
        <v>5</v>
      </c>
      <c r="I1087" s="1">
        <v>0.37562499999999999</v>
      </c>
      <c r="K1087" s="1" t="s">
        <v>181</v>
      </c>
    </row>
    <row r="1088" spans="1:11" x14ac:dyDescent="0.25">
      <c r="A1088" s="1" t="s">
        <v>3575</v>
      </c>
      <c r="B1088" s="1" t="s">
        <v>3576</v>
      </c>
      <c r="D1088" s="1" t="s">
        <v>3577</v>
      </c>
      <c r="E1088" s="1" t="s">
        <v>209</v>
      </c>
      <c r="F1088" s="1" t="s">
        <v>1675</v>
      </c>
      <c r="G1088" s="1" t="s">
        <v>215</v>
      </c>
      <c r="H1088" s="1">
        <v>5</v>
      </c>
      <c r="I1088" s="1">
        <v>0.37562499999999999</v>
      </c>
      <c r="K1088" s="1" t="s">
        <v>181</v>
      </c>
    </row>
    <row r="1089" spans="1:11" x14ac:dyDescent="0.25">
      <c r="A1089" s="1" t="s">
        <v>3578</v>
      </c>
      <c r="B1089" s="1" t="s">
        <v>2146</v>
      </c>
      <c r="D1089" s="1" t="s">
        <v>3579</v>
      </c>
      <c r="E1089" s="1" t="s">
        <v>209</v>
      </c>
      <c r="F1089" s="1" t="s">
        <v>1675</v>
      </c>
      <c r="G1089" s="1" t="s">
        <v>211</v>
      </c>
      <c r="H1089" s="1">
        <v>5</v>
      </c>
      <c r="I1089" s="1">
        <v>0.37562499999999999</v>
      </c>
      <c r="K1089" s="1" t="s">
        <v>181</v>
      </c>
    </row>
    <row r="1090" spans="1:11" x14ac:dyDescent="0.25">
      <c r="A1090" s="1" t="s">
        <v>3580</v>
      </c>
      <c r="B1090" s="1" t="s">
        <v>3581</v>
      </c>
      <c r="D1090" s="1" t="s">
        <v>3582</v>
      </c>
      <c r="E1090" s="1" t="s">
        <v>209</v>
      </c>
      <c r="F1090" s="1" t="s">
        <v>1675</v>
      </c>
      <c r="G1090" s="1" t="s">
        <v>215</v>
      </c>
      <c r="H1090" s="1">
        <v>5</v>
      </c>
      <c r="I1090" s="1">
        <v>0.37562499999999999</v>
      </c>
      <c r="K1090" s="1" t="s">
        <v>181</v>
      </c>
    </row>
    <row r="1091" spans="1:11" x14ac:dyDescent="0.25">
      <c r="A1091" s="1" t="s">
        <v>3583</v>
      </c>
      <c r="B1091" s="1" t="s">
        <v>2146</v>
      </c>
      <c r="C1091" s="1" t="s">
        <v>3584</v>
      </c>
      <c r="D1091" s="1" t="s">
        <v>3585</v>
      </c>
      <c r="E1091" s="1" t="s">
        <v>209</v>
      </c>
      <c r="F1091" s="1" t="s">
        <v>1675</v>
      </c>
      <c r="G1091" s="1" t="s">
        <v>215</v>
      </c>
      <c r="H1091" s="1">
        <v>5</v>
      </c>
      <c r="I1091" s="1">
        <v>0.37562499999999999</v>
      </c>
      <c r="K1091" s="1" t="s">
        <v>181</v>
      </c>
    </row>
    <row r="1092" spans="1:11" x14ac:dyDescent="0.25">
      <c r="A1092" s="1" t="s">
        <v>3586</v>
      </c>
      <c r="B1092" s="1" t="s">
        <v>1284</v>
      </c>
      <c r="D1092" s="1" t="s">
        <v>3587</v>
      </c>
      <c r="E1092" s="1" t="s">
        <v>209</v>
      </c>
      <c r="F1092" s="1" t="s">
        <v>1675</v>
      </c>
      <c r="G1092" s="1" t="s">
        <v>215</v>
      </c>
      <c r="H1092" s="1">
        <v>5</v>
      </c>
      <c r="I1092" s="1">
        <v>0.37562499999999999</v>
      </c>
      <c r="K1092" s="1" t="s">
        <v>181</v>
      </c>
    </row>
    <row r="1093" spans="1:11" x14ac:dyDescent="0.25">
      <c r="A1093" s="1" t="s">
        <v>3588</v>
      </c>
      <c r="B1093" s="1" t="s">
        <v>3589</v>
      </c>
      <c r="D1093" s="1" t="s">
        <v>3590</v>
      </c>
      <c r="E1093" s="1" t="s">
        <v>209</v>
      </c>
      <c r="F1093" s="1" t="s">
        <v>1675</v>
      </c>
      <c r="G1093" s="1" t="s">
        <v>574</v>
      </c>
      <c r="H1093" s="1">
        <v>5</v>
      </c>
      <c r="I1093" s="1">
        <v>0.37562499999999999</v>
      </c>
      <c r="K1093" s="1" t="s">
        <v>181</v>
      </c>
    </row>
    <row r="1094" spans="1:11" x14ac:dyDescent="0.25">
      <c r="A1094" s="1" t="s">
        <v>3591</v>
      </c>
      <c r="B1094" s="1" t="s">
        <v>3592</v>
      </c>
      <c r="D1094" s="1" t="s">
        <v>3593</v>
      </c>
      <c r="E1094" s="1" t="s">
        <v>209</v>
      </c>
      <c r="F1094" s="1" t="s">
        <v>1675</v>
      </c>
      <c r="G1094" s="1" t="s">
        <v>215</v>
      </c>
      <c r="H1094" s="1">
        <v>5</v>
      </c>
      <c r="I1094" s="1">
        <v>0.37562499999999999</v>
      </c>
      <c r="K1094" s="1" t="s">
        <v>181</v>
      </c>
    </row>
    <row r="1095" spans="1:11" x14ac:dyDescent="0.25">
      <c r="A1095" s="1" t="s">
        <v>3594</v>
      </c>
      <c r="B1095" s="1" t="s">
        <v>3595</v>
      </c>
      <c r="D1095" s="1" t="s">
        <v>3596</v>
      </c>
      <c r="E1095" s="1" t="s">
        <v>209</v>
      </c>
      <c r="F1095" s="1" t="s">
        <v>1675</v>
      </c>
      <c r="G1095" s="1" t="s">
        <v>215</v>
      </c>
      <c r="H1095" s="1">
        <v>5</v>
      </c>
      <c r="I1095" s="1">
        <v>0.37562499999999999</v>
      </c>
      <c r="K1095" s="1" t="s">
        <v>181</v>
      </c>
    </row>
    <row r="1096" spans="1:11" x14ac:dyDescent="0.25">
      <c r="A1096" s="1" t="s">
        <v>3597</v>
      </c>
      <c r="B1096" s="1" t="s">
        <v>3598</v>
      </c>
      <c r="D1096" s="1" t="s">
        <v>3599</v>
      </c>
      <c r="E1096" s="1" t="s">
        <v>209</v>
      </c>
      <c r="F1096" s="1" t="s">
        <v>1675</v>
      </c>
      <c r="G1096" s="1" t="s">
        <v>215</v>
      </c>
      <c r="H1096" s="1">
        <v>5</v>
      </c>
      <c r="I1096" s="1">
        <v>0.37562499999999999</v>
      </c>
      <c r="K1096" s="1" t="s">
        <v>181</v>
      </c>
    </row>
    <row r="1097" spans="1:11" x14ac:dyDescent="0.25">
      <c r="A1097" s="1" t="s">
        <v>3600</v>
      </c>
      <c r="B1097" s="1" t="s">
        <v>3601</v>
      </c>
      <c r="D1097" s="1" t="s">
        <v>3602</v>
      </c>
      <c r="E1097" s="1" t="s">
        <v>209</v>
      </c>
      <c r="F1097" s="1" t="s">
        <v>1675</v>
      </c>
      <c r="G1097" s="1" t="s">
        <v>215</v>
      </c>
      <c r="H1097" s="1">
        <v>5</v>
      </c>
      <c r="I1097" s="1">
        <v>0.37562499999999999</v>
      </c>
      <c r="K1097" s="1" t="s">
        <v>181</v>
      </c>
    </row>
    <row r="1098" spans="1:11" x14ac:dyDescent="0.25">
      <c r="A1098" s="1" t="s">
        <v>3603</v>
      </c>
      <c r="B1098" s="1" t="s">
        <v>3604</v>
      </c>
      <c r="D1098" s="1" t="s">
        <v>3605</v>
      </c>
      <c r="E1098" s="1" t="s">
        <v>209</v>
      </c>
      <c r="F1098" s="1" t="s">
        <v>1675</v>
      </c>
      <c r="G1098" s="1" t="s">
        <v>215</v>
      </c>
      <c r="H1098" s="1">
        <v>5</v>
      </c>
      <c r="I1098" s="1">
        <v>0.37562499999999999</v>
      </c>
      <c r="K1098" s="1" t="s">
        <v>181</v>
      </c>
    </row>
    <row r="1099" spans="1:11" x14ac:dyDescent="0.25">
      <c r="A1099" s="1" t="s">
        <v>3606</v>
      </c>
      <c r="B1099" s="1" t="s">
        <v>3607</v>
      </c>
      <c r="D1099" s="1" t="s">
        <v>3608</v>
      </c>
      <c r="E1099" s="1" t="s">
        <v>209</v>
      </c>
      <c r="F1099" s="1" t="s">
        <v>1675</v>
      </c>
      <c r="G1099" s="1" t="s">
        <v>215</v>
      </c>
      <c r="H1099" s="1">
        <v>5</v>
      </c>
      <c r="I1099" s="1">
        <v>0.37562499999999999</v>
      </c>
      <c r="K1099" s="1" t="s">
        <v>181</v>
      </c>
    </row>
    <row r="1100" spans="1:11" x14ac:dyDescent="0.25">
      <c r="A1100" s="1" t="s">
        <v>3609</v>
      </c>
      <c r="B1100" s="1" t="s">
        <v>3610</v>
      </c>
      <c r="D1100" s="1" t="s">
        <v>3611</v>
      </c>
      <c r="E1100" s="1" t="s">
        <v>209</v>
      </c>
      <c r="F1100" s="1" t="s">
        <v>1675</v>
      </c>
      <c r="G1100" s="1" t="s">
        <v>215</v>
      </c>
      <c r="H1100" s="1">
        <v>5</v>
      </c>
      <c r="I1100" s="1">
        <v>0.37562499999999999</v>
      </c>
      <c r="K1100" s="1" t="s">
        <v>181</v>
      </c>
    </row>
    <row r="1101" spans="1:11" x14ac:dyDescent="0.25">
      <c r="A1101" s="1" t="s">
        <v>3612</v>
      </c>
      <c r="B1101" s="1" t="s">
        <v>3613</v>
      </c>
      <c r="D1101" s="1" t="s">
        <v>3614</v>
      </c>
      <c r="E1101" s="1" t="s">
        <v>209</v>
      </c>
      <c r="F1101" s="1" t="s">
        <v>1675</v>
      </c>
      <c r="G1101" s="1" t="s">
        <v>215</v>
      </c>
      <c r="H1101" s="1">
        <v>5</v>
      </c>
      <c r="I1101" s="1">
        <v>0.37562499999999999</v>
      </c>
      <c r="K1101" s="1" t="s">
        <v>181</v>
      </c>
    </row>
    <row r="1102" spans="1:11" x14ac:dyDescent="0.25">
      <c r="A1102" s="1" t="s">
        <v>3615</v>
      </c>
      <c r="B1102" s="1" t="s">
        <v>3616</v>
      </c>
      <c r="D1102" s="1" t="s">
        <v>3617</v>
      </c>
      <c r="E1102" s="1" t="s">
        <v>209</v>
      </c>
      <c r="F1102" s="1" t="s">
        <v>1675</v>
      </c>
      <c r="G1102" s="1" t="s">
        <v>215</v>
      </c>
      <c r="H1102" s="1">
        <v>5</v>
      </c>
      <c r="I1102" s="1">
        <v>0.37562499999999999</v>
      </c>
      <c r="K1102" s="1" t="s">
        <v>181</v>
      </c>
    </row>
    <row r="1103" spans="1:11" x14ac:dyDescent="0.25">
      <c r="A1103" s="1" t="s">
        <v>3618</v>
      </c>
      <c r="B1103" s="1" t="s">
        <v>3619</v>
      </c>
      <c r="D1103" s="1" t="s">
        <v>3620</v>
      </c>
      <c r="E1103" s="1" t="s">
        <v>209</v>
      </c>
      <c r="F1103" s="1" t="s">
        <v>1675</v>
      </c>
      <c r="G1103" s="1" t="s">
        <v>215</v>
      </c>
      <c r="H1103" s="1">
        <v>5</v>
      </c>
      <c r="I1103" s="1">
        <v>0.37562499999999999</v>
      </c>
      <c r="K1103" s="1" t="s">
        <v>181</v>
      </c>
    </row>
    <row r="1104" spans="1:11" x14ac:dyDescent="0.25">
      <c r="A1104" s="1" t="s">
        <v>3621</v>
      </c>
      <c r="B1104" s="1" t="s">
        <v>3622</v>
      </c>
      <c r="D1104" s="1" t="s">
        <v>3623</v>
      </c>
      <c r="E1104" s="1" t="s">
        <v>209</v>
      </c>
      <c r="F1104" s="1" t="s">
        <v>1675</v>
      </c>
      <c r="G1104" s="1" t="s">
        <v>215</v>
      </c>
      <c r="H1104" s="1">
        <v>5</v>
      </c>
      <c r="I1104" s="1">
        <v>0.37562499999999999</v>
      </c>
      <c r="K1104" s="1" t="s">
        <v>181</v>
      </c>
    </row>
    <row r="1105" spans="1:11" x14ac:dyDescent="0.25">
      <c r="A1105" s="1" t="s">
        <v>3624</v>
      </c>
      <c r="B1105" s="1" t="s">
        <v>3625</v>
      </c>
      <c r="D1105" s="1" t="s">
        <v>3626</v>
      </c>
      <c r="E1105" s="1" t="s">
        <v>209</v>
      </c>
      <c r="F1105" s="1" t="s">
        <v>1675</v>
      </c>
      <c r="G1105" s="1" t="s">
        <v>215</v>
      </c>
      <c r="H1105" s="1">
        <v>5</v>
      </c>
      <c r="I1105" s="1">
        <v>0.37562499999999999</v>
      </c>
      <c r="K1105" s="1" t="s">
        <v>181</v>
      </c>
    </row>
    <row r="1106" spans="1:11" x14ac:dyDescent="0.25">
      <c r="A1106" s="1" t="s">
        <v>3627</v>
      </c>
      <c r="B1106" s="1" t="s">
        <v>3628</v>
      </c>
      <c r="D1106" s="1" t="s">
        <v>3629</v>
      </c>
      <c r="E1106" s="1" t="s">
        <v>209</v>
      </c>
      <c r="F1106" s="1" t="s">
        <v>1675</v>
      </c>
      <c r="G1106" s="1" t="s">
        <v>215</v>
      </c>
      <c r="H1106" s="1">
        <v>5</v>
      </c>
      <c r="I1106" s="1">
        <v>0.37562499999999999</v>
      </c>
      <c r="K1106" s="1" t="s">
        <v>181</v>
      </c>
    </row>
    <row r="1107" spans="1:11" x14ac:dyDescent="0.25">
      <c r="A1107" s="1" t="s">
        <v>3630</v>
      </c>
      <c r="B1107" s="1" t="s">
        <v>3631</v>
      </c>
      <c r="D1107" s="1" t="s">
        <v>3632</v>
      </c>
      <c r="E1107" s="1" t="s">
        <v>209</v>
      </c>
      <c r="F1107" s="1" t="s">
        <v>1675</v>
      </c>
      <c r="G1107" s="1" t="s">
        <v>574</v>
      </c>
      <c r="H1107" s="1">
        <v>5</v>
      </c>
      <c r="I1107" s="1">
        <v>0.37562499999999999</v>
      </c>
      <c r="K1107" s="1" t="s">
        <v>181</v>
      </c>
    </row>
    <row r="1108" spans="1:11" x14ac:dyDescent="0.25">
      <c r="A1108" s="1" t="s">
        <v>3633</v>
      </c>
      <c r="B1108" s="1" t="s">
        <v>3634</v>
      </c>
      <c r="D1108" s="1" t="s">
        <v>3635</v>
      </c>
      <c r="E1108" s="1" t="s">
        <v>209</v>
      </c>
      <c r="F1108" s="1" t="s">
        <v>1675</v>
      </c>
      <c r="G1108" s="1" t="s">
        <v>215</v>
      </c>
      <c r="H1108" s="1">
        <v>5</v>
      </c>
      <c r="I1108" s="1">
        <v>0.37562499999999999</v>
      </c>
      <c r="K1108" s="1" t="s">
        <v>181</v>
      </c>
    </row>
    <row r="1109" spans="1:11" x14ac:dyDescent="0.25">
      <c r="A1109" s="1" t="s">
        <v>3636</v>
      </c>
      <c r="B1109" s="1" t="s">
        <v>3637</v>
      </c>
      <c r="D1109" s="1" t="s">
        <v>3638</v>
      </c>
      <c r="E1109" s="1" t="s">
        <v>209</v>
      </c>
      <c r="F1109" s="1" t="s">
        <v>1675</v>
      </c>
      <c r="G1109" s="1" t="s">
        <v>211</v>
      </c>
      <c r="H1109" s="1">
        <v>5</v>
      </c>
      <c r="I1109" s="1">
        <v>0.37562499999999999</v>
      </c>
      <c r="K1109" s="1" t="s">
        <v>181</v>
      </c>
    </row>
    <row r="1110" spans="1:11" x14ac:dyDescent="0.25">
      <c r="A1110" s="1" t="s">
        <v>3639</v>
      </c>
      <c r="B1110" s="1" t="s">
        <v>3640</v>
      </c>
      <c r="D1110" s="1" t="s">
        <v>3641</v>
      </c>
      <c r="E1110" s="1" t="s">
        <v>209</v>
      </c>
      <c r="F1110" s="1" t="s">
        <v>1675</v>
      </c>
      <c r="G1110" s="1" t="s">
        <v>211</v>
      </c>
      <c r="H1110" s="1">
        <v>5</v>
      </c>
      <c r="I1110" s="1">
        <v>0.37562499999999999</v>
      </c>
      <c r="K1110" s="1" t="s">
        <v>181</v>
      </c>
    </row>
    <row r="1111" spans="1:11" x14ac:dyDescent="0.25">
      <c r="A1111" s="1" t="s">
        <v>3642</v>
      </c>
      <c r="B1111" s="1" t="s">
        <v>3643</v>
      </c>
      <c r="D1111" s="1" t="s">
        <v>3644</v>
      </c>
      <c r="E1111" s="1" t="s">
        <v>209</v>
      </c>
      <c r="F1111" s="1" t="s">
        <v>1675</v>
      </c>
      <c r="G1111" s="1" t="s">
        <v>215</v>
      </c>
      <c r="H1111" s="1">
        <v>5</v>
      </c>
      <c r="I1111" s="1">
        <v>0.37562499999999999</v>
      </c>
      <c r="K1111" s="1" t="s">
        <v>181</v>
      </c>
    </row>
    <row r="1112" spans="1:11" x14ac:dyDescent="0.25">
      <c r="A1112" s="1" t="s">
        <v>3645</v>
      </c>
      <c r="B1112" s="1" t="s">
        <v>3646</v>
      </c>
      <c r="D1112" s="1" t="s">
        <v>3647</v>
      </c>
      <c r="E1112" s="1" t="s">
        <v>209</v>
      </c>
      <c r="F1112" s="1" t="s">
        <v>1675</v>
      </c>
      <c r="G1112" s="1" t="s">
        <v>215</v>
      </c>
      <c r="H1112" s="1">
        <v>5</v>
      </c>
      <c r="I1112" s="1">
        <v>0.37562499999999999</v>
      </c>
      <c r="K1112" s="1" t="s">
        <v>181</v>
      </c>
    </row>
    <row r="1113" spans="1:11" x14ac:dyDescent="0.25">
      <c r="A1113" s="1" t="s">
        <v>3648</v>
      </c>
      <c r="B1113" s="1" t="s">
        <v>3649</v>
      </c>
      <c r="D1113" s="1" t="s">
        <v>3650</v>
      </c>
      <c r="E1113" s="1" t="s">
        <v>209</v>
      </c>
      <c r="F1113" s="1" t="s">
        <v>1675</v>
      </c>
      <c r="G1113" s="1" t="s">
        <v>215</v>
      </c>
      <c r="H1113" s="1">
        <v>5</v>
      </c>
      <c r="I1113" s="1">
        <v>0.37562499999999999</v>
      </c>
      <c r="K1113" s="1" t="s">
        <v>181</v>
      </c>
    </row>
    <row r="1114" spans="1:11" x14ac:dyDescent="0.25">
      <c r="A1114" s="1" t="s">
        <v>3651</v>
      </c>
      <c r="B1114" s="1" t="s">
        <v>3652</v>
      </c>
      <c r="D1114" s="1" t="s">
        <v>3653</v>
      </c>
      <c r="E1114" s="1" t="s">
        <v>209</v>
      </c>
      <c r="F1114" s="1" t="s">
        <v>1675</v>
      </c>
      <c r="G1114" s="1" t="s">
        <v>215</v>
      </c>
      <c r="H1114" s="1">
        <v>5</v>
      </c>
      <c r="I1114" s="1">
        <v>0.37562499999999999</v>
      </c>
      <c r="K1114" s="1" t="s">
        <v>181</v>
      </c>
    </row>
    <row r="1115" spans="1:11" x14ac:dyDescent="0.25">
      <c r="A1115" s="1" t="s">
        <v>3654</v>
      </c>
      <c r="B1115" s="1" t="s">
        <v>3655</v>
      </c>
      <c r="D1115" s="1" t="s">
        <v>3656</v>
      </c>
      <c r="E1115" s="1" t="s">
        <v>209</v>
      </c>
      <c r="F1115" s="1" t="s">
        <v>1675</v>
      </c>
      <c r="G1115" s="1" t="s">
        <v>215</v>
      </c>
      <c r="H1115" s="1">
        <v>5</v>
      </c>
      <c r="I1115" s="1">
        <v>0.37562499999999999</v>
      </c>
      <c r="K1115" s="1" t="s">
        <v>181</v>
      </c>
    </row>
    <row r="1116" spans="1:11" x14ac:dyDescent="0.25">
      <c r="A1116" s="1" t="s">
        <v>3657</v>
      </c>
      <c r="B1116" s="1" t="s">
        <v>3658</v>
      </c>
      <c r="D1116" s="1" t="s">
        <v>3659</v>
      </c>
      <c r="E1116" s="1" t="s">
        <v>209</v>
      </c>
      <c r="F1116" s="1" t="s">
        <v>1675</v>
      </c>
      <c r="G1116" s="1" t="s">
        <v>215</v>
      </c>
      <c r="H1116" s="1">
        <v>5</v>
      </c>
      <c r="I1116" s="1">
        <v>0.37562499999999999</v>
      </c>
      <c r="K1116" s="1" t="s">
        <v>181</v>
      </c>
    </row>
    <row r="1117" spans="1:11" x14ac:dyDescent="0.25">
      <c r="A1117" s="1" t="s">
        <v>3660</v>
      </c>
      <c r="B1117" s="1" t="s">
        <v>3661</v>
      </c>
      <c r="D1117" s="1" t="s">
        <v>3662</v>
      </c>
      <c r="E1117" s="1" t="s">
        <v>209</v>
      </c>
      <c r="F1117" s="1" t="s">
        <v>1675</v>
      </c>
      <c r="G1117" s="1" t="s">
        <v>215</v>
      </c>
      <c r="H1117" s="1">
        <v>5</v>
      </c>
      <c r="I1117" s="1">
        <v>0.37562499999999999</v>
      </c>
      <c r="K1117" s="1" t="s">
        <v>181</v>
      </c>
    </row>
    <row r="1118" spans="1:11" x14ac:dyDescent="0.25">
      <c r="A1118" s="1" t="s">
        <v>3663</v>
      </c>
      <c r="B1118" s="1" t="s">
        <v>3664</v>
      </c>
      <c r="D1118" s="1" t="s">
        <v>3665</v>
      </c>
      <c r="E1118" s="1" t="s">
        <v>209</v>
      </c>
      <c r="F1118" s="1" t="s">
        <v>1675</v>
      </c>
      <c r="G1118" s="1" t="s">
        <v>215</v>
      </c>
      <c r="H1118" s="1">
        <v>5</v>
      </c>
      <c r="I1118" s="1">
        <v>0.37562499999999999</v>
      </c>
      <c r="K1118" s="1" t="s">
        <v>181</v>
      </c>
    </row>
    <row r="1119" spans="1:11" x14ac:dyDescent="0.25">
      <c r="A1119" s="1" t="s">
        <v>3666</v>
      </c>
      <c r="B1119" s="1" t="s">
        <v>3667</v>
      </c>
      <c r="D1119" s="1" t="s">
        <v>3668</v>
      </c>
      <c r="E1119" s="1" t="s">
        <v>209</v>
      </c>
      <c r="F1119" s="1" t="s">
        <v>1675</v>
      </c>
      <c r="G1119" s="1" t="s">
        <v>215</v>
      </c>
      <c r="H1119" s="1">
        <v>5</v>
      </c>
      <c r="I1119" s="1">
        <v>0.37562499999999999</v>
      </c>
      <c r="K1119" s="1" t="s">
        <v>181</v>
      </c>
    </row>
    <row r="1120" spans="1:11" x14ac:dyDescent="0.25">
      <c r="A1120" s="1" t="s">
        <v>3669</v>
      </c>
      <c r="B1120" s="1" t="s">
        <v>3670</v>
      </c>
      <c r="D1120" s="1" t="s">
        <v>3671</v>
      </c>
      <c r="E1120" s="1" t="s">
        <v>209</v>
      </c>
      <c r="F1120" s="1" t="s">
        <v>1675</v>
      </c>
      <c r="G1120" s="1" t="s">
        <v>215</v>
      </c>
      <c r="H1120" s="1">
        <v>5</v>
      </c>
      <c r="I1120" s="1">
        <v>0.37562499999999999</v>
      </c>
      <c r="K1120" s="1" t="s">
        <v>181</v>
      </c>
    </row>
    <row r="1121" spans="1:11" x14ac:dyDescent="0.25">
      <c r="A1121" s="1" t="s">
        <v>3672</v>
      </c>
      <c r="B1121" s="1" t="s">
        <v>3673</v>
      </c>
      <c r="D1121" s="1" t="s">
        <v>3674</v>
      </c>
      <c r="E1121" s="1" t="s">
        <v>209</v>
      </c>
      <c r="F1121" s="1" t="s">
        <v>1675</v>
      </c>
      <c r="G1121" s="1" t="s">
        <v>215</v>
      </c>
      <c r="H1121" s="1">
        <v>5</v>
      </c>
      <c r="I1121" s="1">
        <v>0.37562499999999999</v>
      </c>
      <c r="K1121" s="1" t="s">
        <v>181</v>
      </c>
    </row>
    <row r="1122" spans="1:11" x14ac:dyDescent="0.25">
      <c r="A1122" s="1" t="s">
        <v>3675</v>
      </c>
      <c r="B1122" s="1" t="s">
        <v>3676</v>
      </c>
      <c r="D1122" s="1" t="s">
        <v>3677</v>
      </c>
      <c r="E1122" s="1" t="s">
        <v>209</v>
      </c>
      <c r="F1122" s="1" t="s">
        <v>1675</v>
      </c>
      <c r="G1122" s="1" t="s">
        <v>215</v>
      </c>
      <c r="H1122" s="1">
        <v>5</v>
      </c>
      <c r="I1122" s="1">
        <v>0.37562499999999999</v>
      </c>
      <c r="K1122" s="1" t="s">
        <v>181</v>
      </c>
    </row>
    <row r="1123" spans="1:11" x14ac:dyDescent="0.25">
      <c r="A1123" s="1" t="s">
        <v>3678</v>
      </c>
      <c r="B1123" s="1" t="s">
        <v>3679</v>
      </c>
      <c r="D1123" s="1" t="s">
        <v>3680</v>
      </c>
      <c r="E1123" s="1" t="s">
        <v>209</v>
      </c>
      <c r="F1123" s="1" t="s">
        <v>1675</v>
      </c>
      <c r="G1123" s="1" t="s">
        <v>215</v>
      </c>
      <c r="H1123" s="1">
        <v>5</v>
      </c>
      <c r="I1123" s="1">
        <v>0.37562499999999999</v>
      </c>
      <c r="K1123" s="1" t="s">
        <v>181</v>
      </c>
    </row>
    <row r="1124" spans="1:11" x14ac:dyDescent="0.25">
      <c r="A1124" s="1" t="s">
        <v>3681</v>
      </c>
      <c r="B1124" s="1" t="s">
        <v>3682</v>
      </c>
      <c r="D1124" s="1" t="s">
        <v>3683</v>
      </c>
      <c r="E1124" s="1" t="s">
        <v>209</v>
      </c>
      <c r="F1124" s="1" t="s">
        <v>1675</v>
      </c>
      <c r="G1124" s="1" t="s">
        <v>215</v>
      </c>
      <c r="H1124" s="1">
        <v>5</v>
      </c>
      <c r="I1124" s="1">
        <v>0.37562499999999999</v>
      </c>
      <c r="K1124" s="1" t="s">
        <v>181</v>
      </c>
    </row>
    <row r="1125" spans="1:11" x14ac:dyDescent="0.25">
      <c r="A1125" s="1" t="s">
        <v>3684</v>
      </c>
      <c r="B1125" s="1" t="s">
        <v>3685</v>
      </c>
      <c r="D1125" s="1" t="s">
        <v>3686</v>
      </c>
      <c r="E1125" s="1" t="s">
        <v>209</v>
      </c>
      <c r="F1125" s="1" t="s">
        <v>1675</v>
      </c>
      <c r="G1125" s="1" t="s">
        <v>215</v>
      </c>
      <c r="H1125" s="1">
        <v>5</v>
      </c>
      <c r="I1125" s="1">
        <v>0.37562499999999999</v>
      </c>
      <c r="K1125" s="1" t="s">
        <v>181</v>
      </c>
    </row>
    <row r="1126" spans="1:11" x14ac:dyDescent="0.25">
      <c r="A1126" s="1" t="s">
        <v>3687</v>
      </c>
      <c r="B1126" s="1" t="s">
        <v>3688</v>
      </c>
      <c r="D1126" s="1" t="s">
        <v>3689</v>
      </c>
      <c r="E1126" s="1" t="s">
        <v>209</v>
      </c>
      <c r="F1126" s="1" t="s">
        <v>1675</v>
      </c>
      <c r="G1126" s="1" t="s">
        <v>215</v>
      </c>
      <c r="H1126" s="1">
        <v>5</v>
      </c>
      <c r="I1126" s="1">
        <v>0.37562499999999999</v>
      </c>
      <c r="K1126" s="1" t="s">
        <v>181</v>
      </c>
    </row>
    <row r="1127" spans="1:11" x14ac:dyDescent="0.25">
      <c r="A1127" s="1" t="s">
        <v>3690</v>
      </c>
      <c r="B1127" s="1" t="s">
        <v>3691</v>
      </c>
      <c r="D1127" s="1" t="s">
        <v>3692</v>
      </c>
      <c r="E1127" s="1" t="s">
        <v>209</v>
      </c>
      <c r="F1127" s="1" t="s">
        <v>1675</v>
      </c>
      <c r="G1127" s="1" t="s">
        <v>215</v>
      </c>
      <c r="H1127" s="1">
        <v>5</v>
      </c>
      <c r="I1127" s="1">
        <v>0.37562499999999999</v>
      </c>
      <c r="K1127" s="1" t="s">
        <v>181</v>
      </c>
    </row>
    <row r="1128" spans="1:11" x14ac:dyDescent="0.25">
      <c r="A1128" s="1" t="s">
        <v>3693</v>
      </c>
      <c r="B1128" s="1" t="s">
        <v>3694</v>
      </c>
      <c r="D1128" s="1" t="s">
        <v>3695</v>
      </c>
      <c r="E1128" s="1" t="s">
        <v>209</v>
      </c>
      <c r="F1128" s="1" t="s">
        <v>1675</v>
      </c>
      <c r="G1128" s="1" t="s">
        <v>215</v>
      </c>
      <c r="H1128" s="1">
        <v>5</v>
      </c>
      <c r="I1128" s="1">
        <v>0.37562499999999999</v>
      </c>
      <c r="K1128" s="1" t="s">
        <v>181</v>
      </c>
    </row>
    <row r="1129" spans="1:11" x14ac:dyDescent="0.25">
      <c r="A1129" s="1" t="s">
        <v>3696</v>
      </c>
      <c r="B1129" s="1" t="s">
        <v>3697</v>
      </c>
      <c r="D1129" s="1" t="s">
        <v>3698</v>
      </c>
      <c r="E1129" s="1" t="s">
        <v>209</v>
      </c>
      <c r="F1129" s="1" t="s">
        <v>1675</v>
      </c>
      <c r="G1129" s="1" t="s">
        <v>215</v>
      </c>
      <c r="H1129" s="1">
        <v>5</v>
      </c>
      <c r="I1129" s="1">
        <v>0.37562499999999999</v>
      </c>
      <c r="K1129" s="1" t="s">
        <v>181</v>
      </c>
    </row>
    <row r="1130" spans="1:11" x14ac:dyDescent="0.25">
      <c r="A1130" s="1" t="s">
        <v>3699</v>
      </c>
      <c r="B1130" s="1" t="s">
        <v>3700</v>
      </c>
      <c r="D1130" s="1" t="s">
        <v>3701</v>
      </c>
      <c r="E1130" s="1" t="s">
        <v>209</v>
      </c>
      <c r="F1130" s="1" t="s">
        <v>1675</v>
      </c>
      <c r="G1130" s="1" t="s">
        <v>215</v>
      </c>
      <c r="H1130" s="1">
        <v>5</v>
      </c>
      <c r="I1130" s="1">
        <v>0.37562499999999999</v>
      </c>
      <c r="K1130" s="1" t="s">
        <v>181</v>
      </c>
    </row>
    <row r="1131" spans="1:11" x14ac:dyDescent="0.25">
      <c r="A1131" s="1" t="s">
        <v>3702</v>
      </c>
      <c r="B1131" s="1" t="s">
        <v>3703</v>
      </c>
      <c r="D1131" s="1" t="s">
        <v>3704</v>
      </c>
      <c r="E1131" s="1" t="s">
        <v>209</v>
      </c>
      <c r="F1131" s="1" t="s">
        <v>1675</v>
      </c>
      <c r="G1131" s="1" t="s">
        <v>215</v>
      </c>
      <c r="H1131" s="1">
        <v>5</v>
      </c>
      <c r="I1131" s="1">
        <v>0.37562499999999999</v>
      </c>
      <c r="K1131" s="1" t="s">
        <v>181</v>
      </c>
    </row>
    <row r="1132" spans="1:11" x14ac:dyDescent="0.25">
      <c r="A1132" s="1" t="s">
        <v>3705</v>
      </c>
      <c r="B1132" s="1" t="s">
        <v>3706</v>
      </c>
      <c r="D1132" s="1" t="s">
        <v>3707</v>
      </c>
      <c r="E1132" s="1" t="s">
        <v>209</v>
      </c>
      <c r="F1132" s="1" t="s">
        <v>1675</v>
      </c>
      <c r="G1132" s="1" t="s">
        <v>215</v>
      </c>
      <c r="H1132" s="1">
        <v>5</v>
      </c>
      <c r="I1132" s="1">
        <v>0.37562499999999999</v>
      </c>
      <c r="K1132" s="1" t="s">
        <v>181</v>
      </c>
    </row>
    <row r="1133" spans="1:11" x14ac:dyDescent="0.25">
      <c r="A1133" s="1" t="s">
        <v>3708</v>
      </c>
      <c r="B1133" s="1" t="s">
        <v>3709</v>
      </c>
      <c r="D1133" s="1" t="s">
        <v>3710</v>
      </c>
      <c r="E1133" s="1" t="s">
        <v>209</v>
      </c>
      <c r="F1133" s="1" t="s">
        <v>1675</v>
      </c>
      <c r="G1133" s="1" t="s">
        <v>215</v>
      </c>
      <c r="H1133" s="1">
        <v>5</v>
      </c>
      <c r="I1133" s="1">
        <v>0.37562499999999999</v>
      </c>
      <c r="K1133" s="1" t="s">
        <v>181</v>
      </c>
    </row>
    <row r="1134" spans="1:11" x14ac:dyDescent="0.25">
      <c r="A1134" s="1" t="s">
        <v>3711</v>
      </c>
      <c r="B1134" s="1" t="s">
        <v>3712</v>
      </c>
      <c r="D1134" s="1" t="s">
        <v>3713</v>
      </c>
      <c r="E1134" s="1" t="s">
        <v>209</v>
      </c>
      <c r="F1134" s="1" t="s">
        <v>1675</v>
      </c>
      <c r="G1134" s="1" t="s">
        <v>215</v>
      </c>
      <c r="H1134" s="1">
        <v>5</v>
      </c>
      <c r="I1134" s="1">
        <v>0.37562499999999999</v>
      </c>
      <c r="K1134" s="1" t="s">
        <v>181</v>
      </c>
    </row>
    <row r="1135" spans="1:11" x14ac:dyDescent="0.25">
      <c r="A1135" s="1" t="s">
        <v>3714</v>
      </c>
      <c r="B1135" s="1" t="s">
        <v>3715</v>
      </c>
      <c r="D1135" s="1" t="s">
        <v>3716</v>
      </c>
      <c r="E1135" s="1" t="s">
        <v>209</v>
      </c>
      <c r="F1135" s="1" t="s">
        <v>1675</v>
      </c>
      <c r="G1135" s="1" t="s">
        <v>215</v>
      </c>
      <c r="H1135" s="1">
        <v>5</v>
      </c>
      <c r="I1135" s="1">
        <v>0.37562499999999999</v>
      </c>
      <c r="K1135" s="1" t="s">
        <v>181</v>
      </c>
    </row>
    <row r="1136" spans="1:11" x14ac:dyDescent="0.25">
      <c r="A1136" s="1" t="s">
        <v>3717</v>
      </c>
      <c r="B1136" s="1" t="s">
        <v>3718</v>
      </c>
      <c r="D1136" s="1" t="s">
        <v>3719</v>
      </c>
      <c r="E1136" s="1" t="s">
        <v>209</v>
      </c>
      <c r="F1136" s="1" t="s">
        <v>1675</v>
      </c>
      <c r="G1136" s="1" t="s">
        <v>215</v>
      </c>
      <c r="H1136" s="1">
        <v>5</v>
      </c>
      <c r="I1136" s="1">
        <v>0.37562499999999999</v>
      </c>
      <c r="K1136" s="1" t="s">
        <v>181</v>
      </c>
    </row>
    <row r="1137" spans="1:11" x14ac:dyDescent="0.25">
      <c r="A1137" s="1" t="s">
        <v>3720</v>
      </c>
      <c r="B1137" s="1" t="s">
        <v>3721</v>
      </c>
      <c r="D1137" s="1" t="s">
        <v>3722</v>
      </c>
      <c r="E1137" s="1" t="s">
        <v>209</v>
      </c>
      <c r="F1137" s="1" t="s">
        <v>1675</v>
      </c>
      <c r="G1137" s="1" t="s">
        <v>215</v>
      </c>
      <c r="H1137" s="1">
        <v>5</v>
      </c>
      <c r="I1137" s="1">
        <v>0.37562499999999999</v>
      </c>
      <c r="K1137" s="1" t="s">
        <v>181</v>
      </c>
    </row>
    <row r="1138" spans="1:11" x14ac:dyDescent="0.25">
      <c r="A1138" s="1" t="s">
        <v>3723</v>
      </c>
      <c r="B1138" s="1" t="s">
        <v>3724</v>
      </c>
      <c r="D1138" s="1" t="s">
        <v>3725</v>
      </c>
      <c r="E1138" s="1" t="s">
        <v>209</v>
      </c>
      <c r="F1138" s="1" t="s">
        <v>1675</v>
      </c>
      <c r="G1138" s="1" t="s">
        <v>215</v>
      </c>
      <c r="H1138" s="1">
        <v>5</v>
      </c>
      <c r="I1138" s="1">
        <v>0.37562499999999999</v>
      </c>
      <c r="K1138" s="1" t="s">
        <v>181</v>
      </c>
    </row>
    <row r="1139" spans="1:11" x14ac:dyDescent="0.25">
      <c r="A1139" s="1" t="s">
        <v>3726</v>
      </c>
      <c r="B1139" s="1" t="s">
        <v>3727</v>
      </c>
      <c r="D1139" s="1" t="s">
        <v>3728</v>
      </c>
      <c r="E1139" s="1" t="s">
        <v>209</v>
      </c>
      <c r="F1139" s="1" t="s">
        <v>1675</v>
      </c>
      <c r="G1139" s="1" t="s">
        <v>215</v>
      </c>
      <c r="H1139" s="1">
        <v>5</v>
      </c>
      <c r="I1139" s="1">
        <v>0.37562499999999999</v>
      </c>
      <c r="K1139" s="1" t="s">
        <v>181</v>
      </c>
    </row>
    <row r="1140" spans="1:11" x14ac:dyDescent="0.25">
      <c r="A1140" s="1" t="s">
        <v>3729</v>
      </c>
      <c r="B1140" s="1" t="s">
        <v>3730</v>
      </c>
      <c r="D1140" s="1" t="s">
        <v>3731</v>
      </c>
      <c r="E1140" s="1" t="s">
        <v>209</v>
      </c>
      <c r="F1140" s="1" t="s">
        <v>1675</v>
      </c>
      <c r="G1140" s="1" t="s">
        <v>215</v>
      </c>
      <c r="H1140" s="1">
        <v>5</v>
      </c>
      <c r="I1140" s="1">
        <v>0.37562499999999999</v>
      </c>
      <c r="K1140" s="1" t="s">
        <v>181</v>
      </c>
    </row>
    <row r="1141" spans="1:11" x14ac:dyDescent="0.25">
      <c r="A1141" s="1" t="s">
        <v>3732</v>
      </c>
      <c r="B1141" s="1" t="s">
        <v>3733</v>
      </c>
      <c r="D1141" s="1" t="s">
        <v>3734</v>
      </c>
      <c r="E1141" s="1" t="s">
        <v>209</v>
      </c>
      <c r="F1141" s="1" t="s">
        <v>1675</v>
      </c>
      <c r="G1141" s="1" t="s">
        <v>215</v>
      </c>
      <c r="H1141" s="1">
        <v>5</v>
      </c>
      <c r="I1141" s="1">
        <v>0.37562499999999999</v>
      </c>
      <c r="K1141" s="1" t="s">
        <v>181</v>
      </c>
    </row>
    <row r="1142" spans="1:11" x14ac:dyDescent="0.25">
      <c r="A1142" s="1" t="s">
        <v>3735</v>
      </c>
      <c r="B1142" s="1" t="s">
        <v>3736</v>
      </c>
      <c r="D1142" s="1" t="s">
        <v>3737</v>
      </c>
      <c r="E1142" s="1" t="s">
        <v>209</v>
      </c>
      <c r="F1142" s="1" t="s">
        <v>1675</v>
      </c>
      <c r="G1142" s="1" t="s">
        <v>215</v>
      </c>
      <c r="H1142" s="1">
        <v>5</v>
      </c>
      <c r="I1142" s="1">
        <v>0.37562499999999999</v>
      </c>
      <c r="K1142" s="1" t="s">
        <v>181</v>
      </c>
    </row>
    <row r="1143" spans="1:11" x14ac:dyDescent="0.25">
      <c r="A1143" s="1" t="s">
        <v>3738</v>
      </c>
      <c r="B1143" s="1" t="s">
        <v>3739</v>
      </c>
      <c r="D1143" s="1" t="s">
        <v>3740</v>
      </c>
      <c r="E1143" s="1" t="s">
        <v>209</v>
      </c>
      <c r="F1143" s="1" t="s">
        <v>1675</v>
      </c>
      <c r="G1143" s="1" t="s">
        <v>215</v>
      </c>
      <c r="H1143" s="1">
        <v>5</v>
      </c>
      <c r="I1143" s="1">
        <v>0.37562499999999999</v>
      </c>
      <c r="K1143" s="1" t="s">
        <v>181</v>
      </c>
    </row>
    <row r="1144" spans="1:11" x14ac:dyDescent="0.25">
      <c r="A1144" s="1" t="s">
        <v>3741</v>
      </c>
      <c r="B1144" s="1" t="s">
        <v>3742</v>
      </c>
      <c r="D1144" s="1" t="s">
        <v>3743</v>
      </c>
      <c r="E1144" s="1" t="s">
        <v>209</v>
      </c>
      <c r="F1144" s="1" t="s">
        <v>1675</v>
      </c>
      <c r="G1144" s="1" t="s">
        <v>215</v>
      </c>
      <c r="H1144" s="1">
        <v>5</v>
      </c>
      <c r="I1144" s="1">
        <v>0.37562499999999999</v>
      </c>
      <c r="K1144" s="1" t="s">
        <v>181</v>
      </c>
    </row>
    <row r="1145" spans="1:11" x14ac:dyDescent="0.25">
      <c r="A1145" s="1" t="s">
        <v>3744</v>
      </c>
      <c r="B1145" s="1" t="s">
        <v>3745</v>
      </c>
      <c r="D1145" s="1" t="s">
        <v>3746</v>
      </c>
      <c r="E1145" s="1" t="s">
        <v>209</v>
      </c>
      <c r="F1145" s="1" t="s">
        <v>1675</v>
      </c>
      <c r="G1145" s="1" t="s">
        <v>215</v>
      </c>
      <c r="H1145" s="1">
        <v>5</v>
      </c>
      <c r="I1145" s="1">
        <v>0.37562499999999999</v>
      </c>
      <c r="K1145" s="1" t="s">
        <v>181</v>
      </c>
    </row>
    <row r="1146" spans="1:11" x14ac:dyDescent="0.25">
      <c r="A1146" s="1" t="s">
        <v>3747</v>
      </c>
      <c r="B1146" s="1" t="s">
        <v>3748</v>
      </c>
      <c r="D1146" s="1" t="s">
        <v>3749</v>
      </c>
      <c r="E1146" s="1" t="s">
        <v>209</v>
      </c>
      <c r="F1146" s="1" t="s">
        <v>1675</v>
      </c>
      <c r="G1146" s="1" t="s">
        <v>215</v>
      </c>
      <c r="H1146" s="1">
        <v>5</v>
      </c>
      <c r="I1146" s="1">
        <v>0.37562499999999999</v>
      </c>
      <c r="K1146" s="1" t="s">
        <v>181</v>
      </c>
    </row>
    <row r="1147" spans="1:11" x14ac:dyDescent="0.25">
      <c r="A1147" s="1" t="s">
        <v>3750</v>
      </c>
      <c r="B1147" s="1" t="s">
        <v>3751</v>
      </c>
      <c r="D1147" s="1" t="s">
        <v>3752</v>
      </c>
      <c r="E1147" s="1" t="s">
        <v>209</v>
      </c>
      <c r="F1147" s="1" t="s">
        <v>1675</v>
      </c>
      <c r="G1147" s="1" t="s">
        <v>215</v>
      </c>
      <c r="H1147" s="1">
        <v>5</v>
      </c>
      <c r="I1147" s="1">
        <v>0.37562499999999999</v>
      </c>
      <c r="K1147" s="1" t="s">
        <v>181</v>
      </c>
    </row>
    <row r="1148" spans="1:11" x14ac:dyDescent="0.25">
      <c r="A1148" s="1" t="s">
        <v>3753</v>
      </c>
      <c r="B1148" s="1" t="s">
        <v>3754</v>
      </c>
      <c r="D1148" s="1" t="s">
        <v>3755</v>
      </c>
      <c r="E1148" s="1" t="s">
        <v>209</v>
      </c>
      <c r="F1148" s="1" t="s">
        <v>1675</v>
      </c>
      <c r="G1148" s="1" t="s">
        <v>215</v>
      </c>
      <c r="H1148" s="1">
        <v>5</v>
      </c>
      <c r="I1148" s="1">
        <v>0.37562499999999999</v>
      </c>
      <c r="K1148" s="1" t="s">
        <v>181</v>
      </c>
    </row>
    <row r="1149" spans="1:11" x14ac:dyDescent="0.25">
      <c r="A1149" s="1" t="s">
        <v>3756</v>
      </c>
      <c r="B1149" s="1" t="s">
        <v>3757</v>
      </c>
      <c r="D1149" s="1" t="s">
        <v>3758</v>
      </c>
      <c r="E1149" s="1" t="s">
        <v>209</v>
      </c>
      <c r="F1149" s="1" t="s">
        <v>1675</v>
      </c>
      <c r="G1149" s="1" t="s">
        <v>215</v>
      </c>
      <c r="H1149" s="1">
        <v>5</v>
      </c>
      <c r="I1149" s="1">
        <v>0.37562499999999999</v>
      </c>
      <c r="K1149" s="1" t="s">
        <v>181</v>
      </c>
    </row>
    <row r="1150" spans="1:11" x14ac:dyDescent="0.25">
      <c r="A1150" s="1" t="s">
        <v>3759</v>
      </c>
      <c r="B1150" s="1" t="s">
        <v>3760</v>
      </c>
      <c r="D1150" s="1" t="s">
        <v>3761</v>
      </c>
      <c r="E1150" s="1" t="s">
        <v>209</v>
      </c>
      <c r="F1150" s="1" t="s">
        <v>1675</v>
      </c>
      <c r="G1150" s="1" t="s">
        <v>215</v>
      </c>
      <c r="H1150" s="1">
        <v>5</v>
      </c>
      <c r="I1150" s="1">
        <v>0.37562499999999999</v>
      </c>
      <c r="K1150" s="1" t="s">
        <v>181</v>
      </c>
    </row>
    <row r="1151" spans="1:11" x14ac:dyDescent="0.25">
      <c r="A1151" s="1" t="s">
        <v>3762</v>
      </c>
      <c r="B1151" s="1" t="s">
        <v>3763</v>
      </c>
      <c r="D1151" s="1" t="s">
        <v>3764</v>
      </c>
      <c r="E1151" s="1" t="s">
        <v>209</v>
      </c>
      <c r="F1151" s="1" t="s">
        <v>1675</v>
      </c>
      <c r="G1151" s="1" t="s">
        <v>215</v>
      </c>
      <c r="H1151" s="1">
        <v>5</v>
      </c>
      <c r="I1151" s="1">
        <v>0.37562499999999999</v>
      </c>
      <c r="K1151" s="1" t="s">
        <v>181</v>
      </c>
    </row>
    <row r="1152" spans="1:11" x14ac:dyDescent="0.25">
      <c r="A1152" s="1" t="s">
        <v>3765</v>
      </c>
      <c r="B1152" s="1" t="s">
        <v>3766</v>
      </c>
      <c r="D1152" s="1" t="s">
        <v>3767</v>
      </c>
      <c r="E1152" s="1" t="s">
        <v>209</v>
      </c>
      <c r="F1152" s="1" t="s">
        <v>1675</v>
      </c>
      <c r="G1152" s="1" t="s">
        <v>215</v>
      </c>
      <c r="H1152" s="1">
        <v>5</v>
      </c>
      <c r="I1152" s="1">
        <v>0.37562499999999999</v>
      </c>
      <c r="K1152" s="1" t="s">
        <v>181</v>
      </c>
    </row>
    <row r="1153" spans="1:11" x14ac:dyDescent="0.25">
      <c r="A1153" s="1" t="s">
        <v>3768</v>
      </c>
      <c r="B1153" s="1" t="s">
        <v>3769</v>
      </c>
      <c r="D1153" s="1" t="s">
        <v>3770</v>
      </c>
      <c r="E1153" s="1" t="s">
        <v>209</v>
      </c>
      <c r="F1153" s="1" t="s">
        <v>1675</v>
      </c>
      <c r="G1153" s="1" t="s">
        <v>215</v>
      </c>
      <c r="H1153" s="1">
        <v>5</v>
      </c>
      <c r="I1153" s="1">
        <v>0.37562499999999999</v>
      </c>
      <c r="K1153" s="1" t="s">
        <v>181</v>
      </c>
    </row>
    <row r="1154" spans="1:11" x14ac:dyDescent="0.25">
      <c r="A1154" s="1" t="s">
        <v>3771</v>
      </c>
      <c r="B1154" s="1" t="s">
        <v>3772</v>
      </c>
      <c r="D1154" s="1" t="s">
        <v>3773</v>
      </c>
      <c r="E1154" s="1" t="s">
        <v>209</v>
      </c>
      <c r="F1154" s="1" t="s">
        <v>1675</v>
      </c>
      <c r="G1154" s="1" t="s">
        <v>215</v>
      </c>
      <c r="H1154" s="1">
        <v>5</v>
      </c>
      <c r="I1154" s="1">
        <v>0.37562499999999999</v>
      </c>
      <c r="K1154" s="1" t="s">
        <v>181</v>
      </c>
    </row>
    <row r="1155" spans="1:11" x14ac:dyDescent="0.25">
      <c r="A1155" s="1" t="s">
        <v>3774</v>
      </c>
      <c r="B1155" s="1" t="s">
        <v>3775</v>
      </c>
      <c r="D1155" s="1" t="s">
        <v>3776</v>
      </c>
      <c r="E1155" s="1" t="s">
        <v>209</v>
      </c>
      <c r="F1155" s="1" t="s">
        <v>1675</v>
      </c>
      <c r="G1155" s="1" t="s">
        <v>215</v>
      </c>
      <c r="H1155" s="1">
        <v>5</v>
      </c>
      <c r="I1155" s="1">
        <v>0.37562499999999999</v>
      </c>
      <c r="K1155" s="1" t="s">
        <v>181</v>
      </c>
    </row>
    <row r="1156" spans="1:11" x14ac:dyDescent="0.25">
      <c r="A1156" s="1" t="s">
        <v>3777</v>
      </c>
      <c r="B1156" s="1" t="s">
        <v>3778</v>
      </c>
      <c r="D1156" s="1" t="s">
        <v>3779</v>
      </c>
      <c r="E1156" s="1" t="s">
        <v>209</v>
      </c>
      <c r="F1156" s="1" t="s">
        <v>1675</v>
      </c>
      <c r="G1156" s="1" t="s">
        <v>215</v>
      </c>
      <c r="H1156" s="1">
        <v>5</v>
      </c>
      <c r="I1156" s="1">
        <v>0.37562499999999999</v>
      </c>
      <c r="K1156" s="1" t="s">
        <v>181</v>
      </c>
    </row>
    <row r="1157" spans="1:11" x14ac:dyDescent="0.25">
      <c r="A1157" s="1" t="s">
        <v>3780</v>
      </c>
      <c r="B1157" s="1" t="s">
        <v>3781</v>
      </c>
      <c r="D1157" s="1" t="s">
        <v>3782</v>
      </c>
      <c r="E1157" s="1" t="s">
        <v>209</v>
      </c>
      <c r="F1157" s="1" t="s">
        <v>1675</v>
      </c>
      <c r="G1157" s="1" t="s">
        <v>215</v>
      </c>
      <c r="H1157" s="1">
        <v>5</v>
      </c>
      <c r="I1157" s="1">
        <v>0.37562499999999999</v>
      </c>
      <c r="K1157" s="1" t="s">
        <v>181</v>
      </c>
    </row>
    <row r="1158" spans="1:11" x14ac:dyDescent="0.25">
      <c r="A1158" s="1" t="s">
        <v>3783</v>
      </c>
      <c r="B1158" s="1" t="s">
        <v>3784</v>
      </c>
      <c r="D1158" s="1" t="s">
        <v>3785</v>
      </c>
      <c r="E1158" s="1" t="s">
        <v>209</v>
      </c>
      <c r="F1158" s="1" t="s">
        <v>1675</v>
      </c>
      <c r="G1158" s="1" t="s">
        <v>211</v>
      </c>
      <c r="H1158" s="1">
        <v>5</v>
      </c>
      <c r="I1158" s="1">
        <v>0.37562499999999999</v>
      </c>
      <c r="K1158" s="1" t="s">
        <v>181</v>
      </c>
    </row>
    <row r="1159" spans="1:11" x14ac:dyDescent="0.25">
      <c r="A1159" s="1" t="s">
        <v>3786</v>
      </c>
      <c r="B1159" s="1" t="s">
        <v>3787</v>
      </c>
      <c r="D1159" s="1" t="s">
        <v>3788</v>
      </c>
      <c r="E1159" s="1" t="s">
        <v>209</v>
      </c>
      <c r="F1159" s="1" t="s">
        <v>1675</v>
      </c>
      <c r="G1159" s="1" t="s">
        <v>211</v>
      </c>
      <c r="H1159" s="1">
        <v>5</v>
      </c>
      <c r="I1159" s="1">
        <v>0.37562499999999999</v>
      </c>
      <c r="K1159" s="1" t="s">
        <v>181</v>
      </c>
    </row>
    <row r="1160" spans="1:11" x14ac:dyDescent="0.25">
      <c r="A1160" s="1" t="s">
        <v>3789</v>
      </c>
      <c r="B1160" s="1" t="s">
        <v>3790</v>
      </c>
      <c r="D1160" s="1" t="s">
        <v>3791</v>
      </c>
      <c r="E1160" s="1" t="s">
        <v>209</v>
      </c>
      <c r="F1160" s="1" t="s">
        <v>1675</v>
      </c>
      <c r="G1160" s="1" t="s">
        <v>215</v>
      </c>
      <c r="H1160" s="1">
        <v>5</v>
      </c>
      <c r="I1160" s="1">
        <v>0.37562499999999999</v>
      </c>
      <c r="K1160" s="1" t="s">
        <v>181</v>
      </c>
    </row>
    <row r="1161" spans="1:11" x14ac:dyDescent="0.25">
      <c r="A1161" s="1" t="s">
        <v>3792</v>
      </c>
      <c r="B1161" s="1" t="s">
        <v>3793</v>
      </c>
      <c r="D1161" s="1" t="s">
        <v>3794</v>
      </c>
      <c r="E1161" s="1" t="s">
        <v>209</v>
      </c>
      <c r="F1161" s="1" t="s">
        <v>1675</v>
      </c>
      <c r="G1161" s="1" t="s">
        <v>215</v>
      </c>
      <c r="H1161" s="1">
        <v>5</v>
      </c>
      <c r="I1161" s="1">
        <v>0.37562499999999999</v>
      </c>
      <c r="K1161" s="1" t="s">
        <v>181</v>
      </c>
    </row>
    <row r="1162" spans="1:11" x14ac:dyDescent="0.25">
      <c r="A1162" s="1" t="s">
        <v>3795</v>
      </c>
      <c r="B1162" s="1" t="s">
        <v>3796</v>
      </c>
      <c r="D1162" s="1" t="s">
        <v>3797</v>
      </c>
      <c r="E1162" s="1" t="s">
        <v>209</v>
      </c>
      <c r="F1162" s="1" t="s">
        <v>1675</v>
      </c>
      <c r="G1162" s="1" t="s">
        <v>215</v>
      </c>
      <c r="H1162" s="1">
        <v>5</v>
      </c>
      <c r="I1162" s="1">
        <v>0.37562499999999999</v>
      </c>
      <c r="K1162" s="1" t="s">
        <v>181</v>
      </c>
    </row>
    <row r="1163" spans="1:11" x14ac:dyDescent="0.25">
      <c r="A1163" s="1" t="s">
        <v>3798</v>
      </c>
      <c r="B1163" s="1" t="s">
        <v>3799</v>
      </c>
      <c r="D1163" s="1" t="s">
        <v>3800</v>
      </c>
      <c r="E1163" s="1" t="s">
        <v>209</v>
      </c>
      <c r="F1163" s="1" t="s">
        <v>1675</v>
      </c>
      <c r="G1163" s="1" t="s">
        <v>215</v>
      </c>
      <c r="H1163" s="1">
        <v>5</v>
      </c>
      <c r="I1163" s="1">
        <v>0.37562499999999999</v>
      </c>
      <c r="K1163" s="1" t="s">
        <v>181</v>
      </c>
    </row>
    <row r="1164" spans="1:11" x14ac:dyDescent="0.25">
      <c r="A1164" s="1" t="s">
        <v>3801</v>
      </c>
      <c r="B1164" s="1" t="s">
        <v>3802</v>
      </c>
      <c r="D1164" s="1" t="s">
        <v>3803</v>
      </c>
      <c r="E1164" s="1" t="s">
        <v>209</v>
      </c>
      <c r="F1164" s="1" t="s">
        <v>1675</v>
      </c>
      <c r="G1164" s="1" t="s">
        <v>215</v>
      </c>
      <c r="H1164" s="1">
        <v>5</v>
      </c>
      <c r="I1164" s="1">
        <v>0.37562499999999999</v>
      </c>
      <c r="K1164" s="1" t="s">
        <v>181</v>
      </c>
    </row>
    <row r="1165" spans="1:11" x14ac:dyDescent="0.25">
      <c r="A1165" s="1" t="s">
        <v>3804</v>
      </c>
      <c r="B1165" s="1" t="s">
        <v>3805</v>
      </c>
      <c r="D1165" s="1" t="s">
        <v>3806</v>
      </c>
      <c r="E1165" s="1" t="s">
        <v>209</v>
      </c>
      <c r="F1165" s="1" t="s">
        <v>1675</v>
      </c>
      <c r="G1165" s="1" t="s">
        <v>215</v>
      </c>
      <c r="H1165" s="1">
        <v>5</v>
      </c>
      <c r="I1165" s="1">
        <v>0.37562499999999999</v>
      </c>
      <c r="K1165" s="1" t="s">
        <v>181</v>
      </c>
    </row>
    <row r="1166" spans="1:11" x14ac:dyDescent="0.25">
      <c r="A1166" s="1" t="s">
        <v>3807</v>
      </c>
      <c r="B1166" s="1" t="s">
        <v>3808</v>
      </c>
      <c r="D1166" s="1" t="s">
        <v>3809</v>
      </c>
      <c r="E1166" s="1" t="s">
        <v>209</v>
      </c>
      <c r="F1166" s="1" t="s">
        <v>1675</v>
      </c>
      <c r="G1166" s="1" t="s">
        <v>215</v>
      </c>
      <c r="H1166" s="1">
        <v>5</v>
      </c>
      <c r="I1166" s="1">
        <v>0.37562499999999999</v>
      </c>
      <c r="K1166" s="1" t="s">
        <v>181</v>
      </c>
    </row>
    <row r="1167" spans="1:11" x14ac:dyDescent="0.25">
      <c r="A1167" s="1" t="s">
        <v>3810</v>
      </c>
      <c r="B1167" s="1" t="s">
        <v>3811</v>
      </c>
      <c r="D1167" s="1" t="s">
        <v>3812</v>
      </c>
      <c r="E1167" s="1" t="s">
        <v>209</v>
      </c>
      <c r="F1167" s="1" t="s">
        <v>1675</v>
      </c>
      <c r="G1167" s="1" t="s">
        <v>215</v>
      </c>
      <c r="H1167" s="1">
        <v>5</v>
      </c>
      <c r="I1167" s="1">
        <v>0.37562499999999999</v>
      </c>
      <c r="K1167" s="1" t="s">
        <v>181</v>
      </c>
    </row>
    <row r="1168" spans="1:11" x14ac:dyDescent="0.25">
      <c r="A1168" s="1" t="s">
        <v>3813</v>
      </c>
      <c r="B1168" s="1" t="s">
        <v>3814</v>
      </c>
      <c r="D1168" s="1" t="s">
        <v>3815</v>
      </c>
      <c r="E1168" s="1" t="s">
        <v>209</v>
      </c>
      <c r="F1168" s="1" t="s">
        <v>1675</v>
      </c>
      <c r="G1168" s="1" t="s">
        <v>215</v>
      </c>
      <c r="H1168" s="1">
        <v>5</v>
      </c>
      <c r="I1168" s="1">
        <v>0.37562499999999999</v>
      </c>
      <c r="K1168" s="1" t="s">
        <v>181</v>
      </c>
    </row>
    <row r="1169" spans="1:11" x14ac:dyDescent="0.25">
      <c r="A1169" s="1" t="s">
        <v>3816</v>
      </c>
      <c r="B1169" s="1" t="s">
        <v>3817</v>
      </c>
      <c r="D1169" s="1" t="s">
        <v>3818</v>
      </c>
      <c r="E1169" s="1" t="s">
        <v>209</v>
      </c>
      <c r="F1169" s="1" t="s">
        <v>1675</v>
      </c>
      <c r="G1169" s="1" t="s">
        <v>215</v>
      </c>
      <c r="H1169" s="1">
        <v>5</v>
      </c>
      <c r="I1169" s="1">
        <v>0.37562499999999999</v>
      </c>
      <c r="K1169" s="1" t="s">
        <v>181</v>
      </c>
    </row>
    <row r="1170" spans="1:11" x14ac:dyDescent="0.25">
      <c r="A1170" s="1" t="s">
        <v>3819</v>
      </c>
      <c r="B1170" s="1" t="s">
        <v>3820</v>
      </c>
      <c r="D1170" s="1" t="s">
        <v>3821</v>
      </c>
      <c r="E1170" s="1" t="s">
        <v>209</v>
      </c>
      <c r="F1170" s="1" t="s">
        <v>1675</v>
      </c>
      <c r="G1170" s="1" t="s">
        <v>215</v>
      </c>
      <c r="H1170" s="1">
        <v>5</v>
      </c>
      <c r="I1170" s="1">
        <v>0.37562499999999999</v>
      </c>
      <c r="K1170" s="1" t="s">
        <v>181</v>
      </c>
    </row>
    <row r="1171" spans="1:11" x14ac:dyDescent="0.25">
      <c r="A1171" s="1" t="s">
        <v>3822</v>
      </c>
      <c r="B1171" s="1" t="s">
        <v>3823</v>
      </c>
      <c r="D1171" s="1" t="s">
        <v>3824</v>
      </c>
      <c r="E1171" s="1" t="s">
        <v>209</v>
      </c>
      <c r="F1171" s="1" t="s">
        <v>1675</v>
      </c>
      <c r="G1171" s="1" t="s">
        <v>215</v>
      </c>
      <c r="H1171" s="1">
        <v>5</v>
      </c>
      <c r="I1171" s="1">
        <v>0.37562499999999999</v>
      </c>
      <c r="K1171" s="1" t="s">
        <v>181</v>
      </c>
    </row>
    <row r="1172" spans="1:11" x14ac:dyDescent="0.25">
      <c r="A1172" s="1" t="s">
        <v>3825</v>
      </c>
      <c r="B1172" s="1" t="s">
        <v>3826</v>
      </c>
      <c r="D1172" s="1" t="s">
        <v>3827</v>
      </c>
      <c r="E1172" s="1" t="s">
        <v>209</v>
      </c>
      <c r="F1172" s="1" t="s">
        <v>1675</v>
      </c>
      <c r="G1172" s="1" t="s">
        <v>211</v>
      </c>
      <c r="H1172" s="1">
        <v>5</v>
      </c>
      <c r="I1172" s="1">
        <v>0.37562499999999999</v>
      </c>
      <c r="K1172" s="1" t="s">
        <v>181</v>
      </c>
    </row>
    <row r="1173" spans="1:11" x14ac:dyDescent="0.25">
      <c r="A1173" s="1" t="s">
        <v>3828</v>
      </c>
      <c r="B1173" s="1" t="s">
        <v>3829</v>
      </c>
      <c r="D1173" s="1" t="s">
        <v>3830</v>
      </c>
      <c r="E1173" s="1" t="s">
        <v>209</v>
      </c>
      <c r="F1173" s="1" t="s">
        <v>1675</v>
      </c>
      <c r="G1173" s="1" t="s">
        <v>211</v>
      </c>
      <c r="H1173" s="1">
        <v>5</v>
      </c>
      <c r="I1173" s="1">
        <v>0.37562499999999999</v>
      </c>
      <c r="K1173" s="1" t="s">
        <v>181</v>
      </c>
    </row>
    <row r="1174" spans="1:11" x14ac:dyDescent="0.25">
      <c r="A1174" s="1" t="s">
        <v>3831</v>
      </c>
      <c r="B1174" s="1" t="s">
        <v>3832</v>
      </c>
      <c r="D1174" s="1" t="s">
        <v>3833</v>
      </c>
      <c r="E1174" s="1" t="s">
        <v>209</v>
      </c>
      <c r="F1174" s="1" t="s">
        <v>1675</v>
      </c>
      <c r="G1174" s="1" t="s">
        <v>215</v>
      </c>
      <c r="H1174" s="1">
        <v>5</v>
      </c>
      <c r="I1174" s="1">
        <v>0.37562499999999999</v>
      </c>
      <c r="K1174" s="1" t="s">
        <v>181</v>
      </c>
    </row>
    <row r="1175" spans="1:11" x14ac:dyDescent="0.25">
      <c r="A1175" s="1" t="s">
        <v>3834</v>
      </c>
      <c r="B1175" s="1" t="s">
        <v>3835</v>
      </c>
      <c r="D1175" s="1" t="s">
        <v>3836</v>
      </c>
      <c r="E1175" s="1" t="s">
        <v>209</v>
      </c>
      <c r="F1175" s="1" t="s">
        <v>1675</v>
      </c>
      <c r="G1175" s="1" t="s">
        <v>215</v>
      </c>
      <c r="H1175" s="1">
        <v>5</v>
      </c>
      <c r="I1175" s="1">
        <v>0.37562499999999999</v>
      </c>
      <c r="K1175" s="1" t="s">
        <v>181</v>
      </c>
    </row>
    <row r="1176" spans="1:11" x14ac:dyDescent="0.25">
      <c r="A1176" s="1" t="s">
        <v>3837</v>
      </c>
      <c r="B1176" s="1" t="s">
        <v>3838</v>
      </c>
      <c r="D1176" s="1" t="s">
        <v>3839</v>
      </c>
      <c r="E1176" s="1" t="s">
        <v>209</v>
      </c>
      <c r="F1176" s="1" t="s">
        <v>1675</v>
      </c>
      <c r="G1176" s="1" t="s">
        <v>215</v>
      </c>
      <c r="H1176" s="1">
        <v>5</v>
      </c>
      <c r="I1176" s="1">
        <v>0.37562499999999999</v>
      </c>
      <c r="K1176" s="1" t="s">
        <v>181</v>
      </c>
    </row>
    <row r="1177" spans="1:11" x14ac:dyDescent="0.25">
      <c r="A1177" s="1" t="s">
        <v>3840</v>
      </c>
      <c r="B1177" s="1" t="s">
        <v>3841</v>
      </c>
      <c r="D1177" s="1" t="s">
        <v>3842</v>
      </c>
      <c r="E1177" s="1" t="s">
        <v>209</v>
      </c>
      <c r="F1177" s="1" t="s">
        <v>1675</v>
      </c>
      <c r="G1177" s="1" t="s">
        <v>215</v>
      </c>
      <c r="H1177" s="1">
        <v>5</v>
      </c>
      <c r="I1177" s="1">
        <v>0.37562499999999999</v>
      </c>
      <c r="K1177" s="1" t="s">
        <v>181</v>
      </c>
    </row>
    <row r="1178" spans="1:11" x14ac:dyDescent="0.25">
      <c r="A1178" s="1" t="s">
        <v>3843</v>
      </c>
      <c r="B1178" s="1" t="s">
        <v>3844</v>
      </c>
      <c r="D1178" s="1" t="s">
        <v>3845</v>
      </c>
      <c r="E1178" s="1" t="s">
        <v>209</v>
      </c>
      <c r="F1178" s="1" t="s">
        <v>1675</v>
      </c>
      <c r="G1178" s="1" t="s">
        <v>215</v>
      </c>
      <c r="H1178" s="1">
        <v>5</v>
      </c>
      <c r="I1178" s="1">
        <v>0.37562499999999999</v>
      </c>
      <c r="K1178" s="1" t="s">
        <v>181</v>
      </c>
    </row>
    <row r="1179" spans="1:11" x14ac:dyDescent="0.25">
      <c r="A1179" s="1" t="s">
        <v>3846</v>
      </c>
      <c r="B1179" s="1" t="s">
        <v>3847</v>
      </c>
      <c r="D1179" s="1" t="s">
        <v>3848</v>
      </c>
      <c r="E1179" s="1" t="s">
        <v>209</v>
      </c>
      <c r="F1179" s="1" t="s">
        <v>1675</v>
      </c>
      <c r="G1179" s="1" t="s">
        <v>215</v>
      </c>
      <c r="H1179" s="1">
        <v>5</v>
      </c>
      <c r="I1179" s="1">
        <v>0.37562499999999999</v>
      </c>
      <c r="K1179" s="1" t="s">
        <v>181</v>
      </c>
    </row>
    <row r="1180" spans="1:11" x14ac:dyDescent="0.25">
      <c r="A1180" s="1" t="s">
        <v>3849</v>
      </c>
      <c r="B1180" s="1" t="s">
        <v>3850</v>
      </c>
      <c r="D1180" s="1" t="s">
        <v>3851</v>
      </c>
      <c r="E1180" s="1" t="s">
        <v>209</v>
      </c>
      <c r="F1180" s="1" t="s">
        <v>1675</v>
      </c>
      <c r="G1180" s="1" t="s">
        <v>215</v>
      </c>
      <c r="H1180" s="1">
        <v>5</v>
      </c>
      <c r="I1180" s="1">
        <v>0.37562499999999999</v>
      </c>
      <c r="K1180" s="1" t="s">
        <v>181</v>
      </c>
    </row>
    <row r="1181" spans="1:11" x14ac:dyDescent="0.25">
      <c r="A1181" s="1" t="s">
        <v>3852</v>
      </c>
      <c r="B1181" s="1" t="s">
        <v>3853</v>
      </c>
      <c r="D1181" s="1" t="s">
        <v>3854</v>
      </c>
      <c r="E1181" s="1" t="s">
        <v>209</v>
      </c>
      <c r="F1181" s="1" t="s">
        <v>1675</v>
      </c>
      <c r="G1181" s="1" t="s">
        <v>215</v>
      </c>
      <c r="H1181" s="1">
        <v>5</v>
      </c>
      <c r="I1181" s="1">
        <v>0.37562499999999999</v>
      </c>
      <c r="K1181" s="1" t="s">
        <v>181</v>
      </c>
    </row>
    <row r="1182" spans="1:11" x14ac:dyDescent="0.25">
      <c r="A1182" s="1" t="s">
        <v>3855</v>
      </c>
      <c r="B1182" s="1" t="s">
        <v>3856</v>
      </c>
      <c r="D1182" s="1" t="s">
        <v>3857</v>
      </c>
      <c r="E1182" s="1" t="s">
        <v>209</v>
      </c>
      <c r="F1182" s="1" t="s">
        <v>1675</v>
      </c>
      <c r="G1182" s="1" t="s">
        <v>215</v>
      </c>
      <c r="H1182" s="1">
        <v>5</v>
      </c>
      <c r="I1182" s="1">
        <v>0.37562499999999999</v>
      </c>
      <c r="K1182" s="1" t="s">
        <v>181</v>
      </c>
    </row>
    <row r="1183" spans="1:11" x14ac:dyDescent="0.25">
      <c r="A1183" s="1" t="s">
        <v>3858</v>
      </c>
      <c r="B1183" s="1" t="s">
        <v>3859</v>
      </c>
      <c r="D1183" s="1" t="s">
        <v>3860</v>
      </c>
      <c r="E1183" s="1" t="s">
        <v>209</v>
      </c>
      <c r="F1183" s="1" t="s">
        <v>1675</v>
      </c>
      <c r="G1183" s="1" t="s">
        <v>215</v>
      </c>
      <c r="H1183" s="1">
        <v>5</v>
      </c>
      <c r="I1183" s="1">
        <v>0.37562499999999999</v>
      </c>
      <c r="K1183" s="1" t="s">
        <v>181</v>
      </c>
    </row>
    <row r="1184" spans="1:11" x14ac:dyDescent="0.25">
      <c r="A1184" s="1" t="s">
        <v>3861</v>
      </c>
      <c r="B1184" s="1" t="s">
        <v>3862</v>
      </c>
      <c r="D1184" s="1" t="s">
        <v>3863</v>
      </c>
      <c r="E1184" s="1" t="s">
        <v>209</v>
      </c>
      <c r="F1184" s="1" t="s">
        <v>1675</v>
      </c>
      <c r="G1184" s="1" t="s">
        <v>215</v>
      </c>
      <c r="H1184" s="1">
        <v>5</v>
      </c>
      <c r="I1184" s="1">
        <v>0.37562499999999999</v>
      </c>
      <c r="K1184" s="1" t="s">
        <v>181</v>
      </c>
    </row>
    <row r="1185" spans="1:11" x14ac:dyDescent="0.25">
      <c r="A1185" s="1" t="s">
        <v>3864</v>
      </c>
      <c r="B1185" s="1" t="s">
        <v>3865</v>
      </c>
      <c r="D1185" s="1" t="s">
        <v>3866</v>
      </c>
      <c r="E1185" s="1" t="s">
        <v>209</v>
      </c>
      <c r="F1185" s="1" t="s">
        <v>1675</v>
      </c>
      <c r="G1185" s="1" t="s">
        <v>215</v>
      </c>
      <c r="H1185" s="1">
        <v>5</v>
      </c>
      <c r="I1185" s="1">
        <v>0.37562499999999999</v>
      </c>
      <c r="K1185" s="1" t="s">
        <v>181</v>
      </c>
    </row>
    <row r="1186" spans="1:11" x14ac:dyDescent="0.25">
      <c r="A1186" s="1" t="s">
        <v>3867</v>
      </c>
      <c r="B1186" s="1" t="s">
        <v>3868</v>
      </c>
      <c r="D1186" s="1" t="s">
        <v>3869</v>
      </c>
      <c r="E1186" s="1" t="s">
        <v>209</v>
      </c>
      <c r="F1186" s="1" t="s">
        <v>1675</v>
      </c>
      <c r="G1186" s="1" t="s">
        <v>215</v>
      </c>
      <c r="H1186" s="1">
        <v>5</v>
      </c>
      <c r="I1186" s="1">
        <v>0.37562499999999999</v>
      </c>
      <c r="K1186" s="1" t="s">
        <v>181</v>
      </c>
    </row>
    <row r="1187" spans="1:11" x14ac:dyDescent="0.25">
      <c r="A1187" s="1" t="s">
        <v>3870</v>
      </c>
      <c r="B1187" s="1" t="s">
        <v>3871</v>
      </c>
      <c r="D1187" s="1" t="s">
        <v>3872</v>
      </c>
      <c r="E1187" s="1" t="s">
        <v>209</v>
      </c>
      <c r="F1187" s="1" t="s">
        <v>1675</v>
      </c>
      <c r="G1187" s="1" t="s">
        <v>211</v>
      </c>
      <c r="H1187" s="1">
        <v>5</v>
      </c>
      <c r="I1187" s="1">
        <v>0.37562499999999999</v>
      </c>
      <c r="K1187" s="1" t="s">
        <v>181</v>
      </c>
    </row>
    <row r="1188" spans="1:11" x14ac:dyDescent="0.25">
      <c r="A1188" s="1" t="s">
        <v>3873</v>
      </c>
      <c r="B1188" s="1" t="s">
        <v>3874</v>
      </c>
      <c r="D1188" s="1" t="s">
        <v>3875</v>
      </c>
      <c r="E1188" s="1" t="s">
        <v>209</v>
      </c>
      <c r="F1188" s="1" t="s">
        <v>1675</v>
      </c>
      <c r="G1188" s="1" t="s">
        <v>574</v>
      </c>
      <c r="H1188" s="1">
        <v>5</v>
      </c>
      <c r="I1188" s="1">
        <v>0.37562499999999999</v>
      </c>
      <c r="K1188" s="1" t="s">
        <v>181</v>
      </c>
    </row>
    <row r="1189" spans="1:11" x14ac:dyDescent="0.25">
      <c r="A1189" s="1" t="s">
        <v>3876</v>
      </c>
      <c r="B1189" s="1" t="s">
        <v>3877</v>
      </c>
      <c r="D1189" s="1" t="s">
        <v>3878</v>
      </c>
      <c r="E1189" s="1" t="s">
        <v>209</v>
      </c>
      <c r="F1189" s="1" t="s">
        <v>1675</v>
      </c>
      <c r="G1189" s="1" t="s">
        <v>215</v>
      </c>
      <c r="H1189" s="1">
        <v>5</v>
      </c>
      <c r="I1189" s="1">
        <v>0.37562499999999999</v>
      </c>
      <c r="K1189" s="1" t="s">
        <v>181</v>
      </c>
    </row>
    <row r="1190" spans="1:11" x14ac:dyDescent="0.25">
      <c r="A1190" s="1" t="s">
        <v>3879</v>
      </c>
      <c r="B1190" s="1" t="s">
        <v>3880</v>
      </c>
      <c r="D1190" s="1" t="s">
        <v>3881</v>
      </c>
      <c r="E1190" s="1" t="s">
        <v>209</v>
      </c>
      <c r="F1190" s="1" t="s">
        <v>1675</v>
      </c>
      <c r="G1190" s="1" t="s">
        <v>215</v>
      </c>
      <c r="H1190" s="1">
        <v>5</v>
      </c>
      <c r="I1190" s="1">
        <v>0.37562499999999999</v>
      </c>
      <c r="K1190" s="1" t="s">
        <v>181</v>
      </c>
    </row>
    <row r="1191" spans="1:11" x14ac:dyDescent="0.25">
      <c r="A1191" s="1" t="s">
        <v>3882</v>
      </c>
      <c r="B1191" s="1" t="s">
        <v>3883</v>
      </c>
      <c r="D1191" s="1" t="s">
        <v>3884</v>
      </c>
      <c r="E1191" s="1" t="s">
        <v>209</v>
      </c>
      <c r="F1191" s="1" t="s">
        <v>1675</v>
      </c>
      <c r="G1191" s="1" t="s">
        <v>215</v>
      </c>
      <c r="H1191" s="1">
        <v>5</v>
      </c>
      <c r="I1191" s="1">
        <v>0.37562499999999999</v>
      </c>
      <c r="K1191" s="1" t="s">
        <v>181</v>
      </c>
    </row>
    <row r="1192" spans="1:11" x14ac:dyDescent="0.25">
      <c r="A1192" s="1" t="s">
        <v>3885</v>
      </c>
      <c r="B1192" s="1" t="s">
        <v>3886</v>
      </c>
      <c r="D1192" s="1" t="s">
        <v>3887</v>
      </c>
      <c r="E1192" s="1" t="s">
        <v>209</v>
      </c>
      <c r="F1192" s="1" t="s">
        <v>1675</v>
      </c>
      <c r="G1192" s="1" t="s">
        <v>215</v>
      </c>
      <c r="H1192" s="1">
        <v>5</v>
      </c>
      <c r="I1192" s="1">
        <v>0.37562499999999999</v>
      </c>
      <c r="K1192" s="1" t="s">
        <v>181</v>
      </c>
    </row>
    <row r="1193" spans="1:11" x14ac:dyDescent="0.25">
      <c r="A1193" s="1" t="s">
        <v>3888</v>
      </c>
      <c r="B1193" s="1" t="s">
        <v>3889</v>
      </c>
      <c r="D1193" s="1" t="s">
        <v>3890</v>
      </c>
      <c r="E1193" s="1" t="s">
        <v>209</v>
      </c>
      <c r="F1193" s="1" t="s">
        <v>1675</v>
      </c>
      <c r="G1193" s="1" t="s">
        <v>215</v>
      </c>
      <c r="H1193" s="1">
        <v>5</v>
      </c>
      <c r="I1193" s="1">
        <v>0.37562499999999999</v>
      </c>
      <c r="K1193" s="1" t="s">
        <v>181</v>
      </c>
    </row>
    <row r="1194" spans="1:11" x14ac:dyDescent="0.25">
      <c r="A1194" s="1" t="s">
        <v>3891</v>
      </c>
      <c r="B1194" s="1" t="s">
        <v>3892</v>
      </c>
      <c r="D1194" s="1" t="s">
        <v>3893</v>
      </c>
      <c r="E1194" s="1" t="s">
        <v>209</v>
      </c>
      <c r="F1194" s="1" t="s">
        <v>1675</v>
      </c>
      <c r="G1194" s="1" t="s">
        <v>215</v>
      </c>
      <c r="H1194" s="1">
        <v>5</v>
      </c>
      <c r="I1194" s="1">
        <v>0.37562499999999999</v>
      </c>
      <c r="K1194" s="1" t="s">
        <v>181</v>
      </c>
    </row>
    <row r="1195" spans="1:11" x14ac:dyDescent="0.25">
      <c r="A1195" s="1" t="s">
        <v>3894</v>
      </c>
      <c r="B1195" s="1" t="s">
        <v>3895</v>
      </c>
      <c r="D1195" s="1" t="s">
        <v>3896</v>
      </c>
      <c r="E1195" s="1" t="s">
        <v>209</v>
      </c>
      <c r="F1195" s="1" t="s">
        <v>1675</v>
      </c>
      <c r="G1195" s="1" t="s">
        <v>215</v>
      </c>
      <c r="H1195" s="1">
        <v>5</v>
      </c>
      <c r="I1195" s="1">
        <v>0.37562499999999999</v>
      </c>
      <c r="K1195" s="1" t="s">
        <v>181</v>
      </c>
    </row>
    <row r="1196" spans="1:11" x14ac:dyDescent="0.25">
      <c r="A1196" s="1" t="s">
        <v>3897</v>
      </c>
      <c r="B1196" s="1" t="s">
        <v>3898</v>
      </c>
      <c r="D1196" s="1" t="s">
        <v>3899</v>
      </c>
      <c r="E1196" s="1" t="s">
        <v>209</v>
      </c>
      <c r="F1196" s="1" t="s">
        <v>1675</v>
      </c>
      <c r="G1196" s="1" t="s">
        <v>215</v>
      </c>
      <c r="H1196" s="1">
        <v>5</v>
      </c>
      <c r="I1196" s="1">
        <v>0.37562499999999999</v>
      </c>
      <c r="K1196" s="1" t="s">
        <v>181</v>
      </c>
    </row>
    <row r="1197" spans="1:11" x14ac:dyDescent="0.25">
      <c r="A1197" s="1" t="s">
        <v>3900</v>
      </c>
      <c r="B1197" s="1" t="s">
        <v>3901</v>
      </c>
      <c r="D1197" s="1" t="s">
        <v>3902</v>
      </c>
      <c r="E1197" s="1" t="s">
        <v>209</v>
      </c>
      <c r="F1197" s="1" t="s">
        <v>1675</v>
      </c>
      <c r="G1197" s="1" t="s">
        <v>215</v>
      </c>
      <c r="H1197" s="1">
        <v>5</v>
      </c>
      <c r="I1197" s="1">
        <v>0.37562499999999999</v>
      </c>
      <c r="K1197" s="1" t="s">
        <v>181</v>
      </c>
    </row>
    <row r="1198" spans="1:11" x14ac:dyDescent="0.25">
      <c r="A1198" s="1" t="s">
        <v>3903</v>
      </c>
      <c r="B1198" s="1" t="s">
        <v>3904</v>
      </c>
      <c r="D1198" s="1" t="s">
        <v>3905</v>
      </c>
      <c r="E1198" s="1" t="s">
        <v>209</v>
      </c>
      <c r="F1198" s="1" t="s">
        <v>1675</v>
      </c>
      <c r="G1198" s="1" t="s">
        <v>215</v>
      </c>
      <c r="H1198" s="1">
        <v>5</v>
      </c>
      <c r="I1198" s="1">
        <v>0.37562499999999999</v>
      </c>
      <c r="K1198" s="1" t="s">
        <v>181</v>
      </c>
    </row>
    <row r="1199" spans="1:11" x14ac:dyDescent="0.25">
      <c r="A1199" s="1" t="s">
        <v>3906</v>
      </c>
      <c r="B1199" s="1" t="s">
        <v>3907</v>
      </c>
      <c r="D1199" s="1" t="s">
        <v>3908</v>
      </c>
      <c r="E1199" s="1" t="s">
        <v>209</v>
      </c>
      <c r="F1199" s="1" t="s">
        <v>1675</v>
      </c>
      <c r="G1199" s="1" t="s">
        <v>215</v>
      </c>
      <c r="H1199" s="1">
        <v>5</v>
      </c>
      <c r="I1199" s="1">
        <v>0.37562499999999999</v>
      </c>
      <c r="K1199" s="1" t="s">
        <v>181</v>
      </c>
    </row>
    <row r="1200" spans="1:11" x14ac:dyDescent="0.25">
      <c r="A1200" s="1" t="s">
        <v>3909</v>
      </c>
      <c r="B1200" s="1" t="s">
        <v>3910</v>
      </c>
      <c r="D1200" s="1" t="s">
        <v>3911</v>
      </c>
      <c r="E1200" s="1" t="s">
        <v>209</v>
      </c>
      <c r="F1200" s="1" t="s">
        <v>1675</v>
      </c>
      <c r="G1200" s="1" t="s">
        <v>215</v>
      </c>
      <c r="H1200" s="1">
        <v>5</v>
      </c>
      <c r="I1200" s="1">
        <v>0.37562499999999999</v>
      </c>
      <c r="K1200" s="1" t="s">
        <v>181</v>
      </c>
    </row>
    <row r="1201" spans="1:11" x14ac:dyDescent="0.25">
      <c r="A1201" s="1" t="s">
        <v>3912</v>
      </c>
      <c r="B1201" s="1" t="s">
        <v>3913</v>
      </c>
      <c r="D1201" s="1" t="s">
        <v>3914</v>
      </c>
      <c r="E1201" s="1" t="s">
        <v>209</v>
      </c>
      <c r="F1201" s="1" t="s">
        <v>1675</v>
      </c>
      <c r="G1201" s="1" t="s">
        <v>215</v>
      </c>
      <c r="H1201" s="1">
        <v>5</v>
      </c>
      <c r="I1201" s="1">
        <v>0.37562499999999999</v>
      </c>
      <c r="K1201" s="1" t="s">
        <v>181</v>
      </c>
    </row>
    <row r="1202" spans="1:11" x14ac:dyDescent="0.25">
      <c r="A1202" s="1" t="s">
        <v>3915</v>
      </c>
      <c r="B1202" s="1" t="s">
        <v>3916</v>
      </c>
      <c r="D1202" s="1" t="s">
        <v>3917</v>
      </c>
      <c r="E1202" s="1" t="s">
        <v>209</v>
      </c>
      <c r="F1202" s="1" t="s">
        <v>1675</v>
      </c>
      <c r="G1202" s="1" t="s">
        <v>215</v>
      </c>
      <c r="H1202" s="1">
        <v>5</v>
      </c>
      <c r="I1202" s="1">
        <v>0.37562499999999999</v>
      </c>
      <c r="K1202" s="1" t="s">
        <v>181</v>
      </c>
    </row>
    <row r="1203" spans="1:11" x14ac:dyDescent="0.25">
      <c r="A1203" s="1" t="s">
        <v>3918</v>
      </c>
      <c r="B1203" s="1" t="s">
        <v>3919</v>
      </c>
      <c r="D1203" s="1" t="s">
        <v>3920</v>
      </c>
      <c r="E1203" s="1" t="s">
        <v>209</v>
      </c>
      <c r="F1203" s="1" t="s">
        <v>1675</v>
      </c>
      <c r="G1203" s="1" t="s">
        <v>215</v>
      </c>
      <c r="H1203" s="1">
        <v>5</v>
      </c>
      <c r="I1203" s="1">
        <v>0.37562499999999999</v>
      </c>
      <c r="K1203" s="1" t="s">
        <v>181</v>
      </c>
    </row>
    <row r="1204" spans="1:11" x14ac:dyDescent="0.25">
      <c r="A1204" s="1" t="s">
        <v>3921</v>
      </c>
      <c r="B1204" s="1" t="s">
        <v>3922</v>
      </c>
      <c r="D1204" s="1" t="s">
        <v>3923</v>
      </c>
      <c r="E1204" s="1" t="s">
        <v>209</v>
      </c>
      <c r="F1204" s="1" t="s">
        <v>1675</v>
      </c>
      <c r="G1204" s="1" t="s">
        <v>215</v>
      </c>
      <c r="H1204" s="1">
        <v>5</v>
      </c>
      <c r="I1204" s="1">
        <v>0.37562499999999999</v>
      </c>
      <c r="K1204" s="1" t="s">
        <v>181</v>
      </c>
    </row>
    <row r="1205" spans="1:11" x14ac:dyDescent="0.25">
      <c r="A1205" s="1" t="s">
        <v>3924</v>
      </c>
      <c r="B1205" s="1" t="s">
        <v>3925</v>
      </c>
      <c r="D1205" s="1" t="s">
        <v>3926</v>
      </c>
      <c r="E1205" s="1" t="s">
        <v>209</v>
      </c>
      <c r="F1205" s="1" t="s">
        <v>1675</v>
      </c>
      <c r="G1205" s="1" t="s">
        <v>215</v>
      </c>
      <c r="H1205" s="1">
        <v>5</v>
      </c>
      <c r="I1205" s="1">
        <v>0.37562499999999999</v>
      </c>
      <c r="K1205" s="1" t="s">
        <v>181</v>
      </c>
    </row>
    <row r="1206" spans="1:11" x14ac:dyDescent="0.25">
      <c r="A1206" s="1" t="s">
        <v>3927</v>
      </c>
      <c r="B1206" s="1" t="s">
        <v>3928</v>
      </c>
      <c r="D1206" s="1" t="s">
        <v>3929</v>
      </c>
      <c r="E1206" s="1" t="s">
        <v>209</v>
      </c>
      <c r="F1206" s="1" t="s">
        <v>1675</v>
      </c>
      <c r="G1206" s="1" t="s">
        <v>215</v>
      </c>
      <c r="H1206" s="1">
        <v>5</v>
      </c>
      <c r="I1206" s="1">
        <v>0.37562499999999999</v>
      </c>
      <c r="K1206" s="1" t="s">
        <v>181</v>
      </c>
    </row>
    <row r="1207" spans="1:11" x14ac:dyDescent="0.25">
      <c r="A1207" s="1" t="s">
        <v>3930</v>
      </c>
      <c r="B1207" s="1" t="s">
        <v>3931</v>
      </c>
      <c r="D1207" s="1" t="s">
        <v>3932</v>
      </c>
      <c r="E1207" s="1" t="s">
        <v>209</v>
      </c>
      <c r="F1207" s="1" t="s">
        <v>1675</v>
      </c>
      <c r="G1207" s="1" t="s">
        <v>215</v>
      </c>
      <c r="H1207" s="1">
        <v>5</v>
      </c>
      <c r="I1207" s="1">
        <v>0.37562499999999999</v>
      </c>
      <c r="K1207" s="1" t="s">
        <v>181</v>
      </c>
    </row>
    <row r="1208" spans="1:11" x14ac:dyDescent="0.25">
      <c r="A1208" s="1" t="s">
        <v>3933</v>
      </c>
      <c r="B1208" s="1" t="s">
        <v>3934</v>
      </c>
      <c r="D1208" s="1" t="s">
        <v>3935</v>
      </c>
      <c r="E1208" s="1" t="s">
        <v>209</v>
      </c>
      <c r="F1208" s="1" t="s">
        <v>1675</v>
      </c>
      <c r="G1208" s="1" t="s">
        <v>215</v>
      </c>
      <c r="H1208" s="1">
        <v>5</v>
      </c>
      <c r="I1208" s="1">
        <v>0.37562499999999999</v>
      </c>
      <c r="K1208" s="1" t="s">
        <v>181</v>
      </c>
    </row>
    <row r="1209" spans="1:11" x14ac:dyDescent="0.25">
      <c r="A1209" s="1" t="s">
        <v>3936</v>
      </c>
      <c r="B1209" s="1" t="s">
        <v>3937</v>
      </c>
      <c r="D1209" s="1" t="s">
        <v>3938</v>
      </c>
      <c r="E1209" s="1" t="s">
        <v>209</v>
      </c>
      <c r="F1209" s="1" t="s">
        <v>1675</v>
      </c>
      <c r="G1209" s="1" t="s">
        <v>215</v>
      </c>
      <c r="H1209" s="1">
        <v>5</v>
      </c>
      <c r="I1209" s="1">
        <v>0.37562499999999999</v>
      </c>
      <c r="K1209" s="1" t="s">
        <v>181</v>
      </c>
    </row>
    <row r="1210" spans="1:11" x14ac:dyDescent="0.25">
      <c r="A1210" s="1" t="s">
        <v>3939</v>
      </c>
      <c r="B1210" s="1" t="s">
        <v>3940</v>
      </c>
      <c r="D1210" s="1" t="s">
        <v>3941</v>
      </c>
      <c r="E1210" s="1" t="s">
        <v>209</v>
      </c>
      <c r="F1210" s="1" t="s">
        <v>1675</v>
      </c>
      <c r="G1210" s="1" t="s">
        <v>215</v>
      </c>
      <c r="H1210" s="1">
        <v>5</v>
      </c>
      <c r="I1210" s="1">
        <v>0.37562499999999999</v>
      </c>
      <c r="K1210" s="1" t="s">
        <v>181</v>
      </c>
    </row>
    <row r="1211" spans="1:11" x14ac:dyDescent="0.25">
      <c r="A1211" s="1" t="s">
        <v>3942</v>
      </c>
      <c r="B1211" s="1" t="s">
        <v>3943</v>
      </c>
      <c r="D1211" s="1" t="s">
        <v>3944</v>
      </c>
      <c r="E1211" s="1" t="s">
        <v>209</v>
      </c>
      <c r="F1211" s="1" t="s">
        <v>1675</v>
      </c>
      <c r="G1211" s="1" t="s">
        <v>215</v>
      </c>
      <c r="H1211" s="1">
        <v>5</v>
      </c>
      <c r="I1211" s="1">
        <v>0.37562499999999999</v>
      </c>
      <c r="K1211" s="1" t="s">
        <v>181</v>
      </c>
    </row>
    <row r="1212" spans="1:11" x14ac:dyDescent="0.25">
      <c r="A1212" s="1" t="s">
        <v>3945</v>
      </c>
      <c r="B1212" s="1" t="s">
        <v>3946</v>
      </c>
      <c r="D1212" s="1" t="s">
        <v>3947</v>
      </c>
      <c r="E1212" s="1" t="s">
        <v>209</v>
      </c>
      <c r="F1212" s="1" t="s">
        <v>1675</v>
      </c>
      <c r="G1212" s="1" t="s">
        <v>215</v>
      </c>
      <c r="H1212" s="1">
        <v>5</v>
      </c>
      <c r="I1212" s="1">
        <v>0.37562499999999999</v>
      </c>
      <c r="K1212" s="1" t="s">
        <v>181</v>
      </c>
    </row>
    <row r="1213" spans="1:11" x14ac:dyDescent="0.25">
      <c r="A1213" s="1" t="s">
        <v>3948</v>
      </c>
      <c r="B1213" s="1" t="s">
        <v>3949</v>
      </c>
      <c r="D1213" s="1" t="s">
        <v>3950</v>
      </c>
      <c r="E1213" s="1" t="s">
        <v>209</v>
      </c>
      <c r="F1213" s="1" t="s">
        <v>1675</v>
      </c>
      <c r="G1213" s="1" t="s">
        <v>215</v>
      </c>
      <c r="H1213" s="1">
        <v>5</v>
      </c>
      <c r="I1213" s="1">
        <v>0.37562499999999999</v>
      </c>
      <c r="K1213" s="1" t="s">
        <v>181</v>
      </c>
    </row>
    <row r="1214" spans="1:11" x14ac:dyDescent="0.25">
      <c r="A1214" s="1" t="s">
        <v>3951</v>
      </c>
      <c r="B1214" s="1" t="s">
        <v>3952</v>
      </c>
      <c r="D1214" s="1" t="s">
        <v>3953</v>
      </c>
      <c r="E1214" s="1" t="s">
        <v>209</v>
      </c>
      <c r="F1214" s="1" t="s">
        <v>1675</v>
      </c>
      <c r="G1214" s="1" t="s">
        <v>215</v>
      </c>
      <c r="H1214" s="1">
        <v>5</v>
      </c>
      <c r="I1214" s="1">
        <v>0.37562499999999999</v>
      </c>
      <c r="K1214" s="1" t="s">
        <v>181</v>
      </c>
    </row>
    <row r="1215" spans="1:11" x14ac:dyDescent="0.25">
      <c r="A1215" s="1" t="s">
        <v>3954</v>
      </c>
      <c r="B1215" s="1" t="s">
        <v>3955</v>
      </c>
      <c r="D1215" s="1" t="s">
        <v>3956</v>
      </c>
      <c r="E1215" s="1" t="s">
        <v>209</v>
      </c>
      <c r="F1215" s="1" t="s">
        <v>1675</v>
      </c>
      <c r="G1215" s="1" t="s">
        <v>215</v>
      </c>
      <c r="H1215" s="1">
        <v>5</v>
      </c>
      <c r="I1215" s="1">
        <v>0.37562499999999999</v>
      </c>
      <c r="K1215" s="1" t="s">
        <v>181</v>
      </c>
    </row>
    <row r="1216" spans="1:11" x14ac:dyDescent="0.25">
      <c r="A1216" s="1" t="s">
        <v>3957</v>
      </c>
      <c r="B1216" s="1" t="s">
        <v>3958</v>
      </c>
      <c r="D1216" s="1" t="s">
        <v>3959</v>
      </c>
      <c r="E1216" s="1" t="s">
        <v>209</v>
      </c>
      <c r="F1216" s="1" t="s">
        <v>1675</v>
      </c>
      <c r="G1216" s="1" t="s">
        <v>215</v>
      </c>
      <c r="H1216" s="1">
        <v>5</v>
      </c>
      <c r="I1216" s="1">
        <v>0.37562499999999999</v>
      </c>
      <c r="K1216" s="1" t="s">
        <v>181</v>
      </c>
    </row>
    <row r="1217" spans="1:11" x14ac:dyDescent="0.25">
      <c r="A1217" s="1" t="s">
        <v>3960</v>
      </c>
      <c r="B1217" s="1" t="s">
        <v>3961</v>
      </c>
      <c r="D1217" s="1" t="s">
        <v>3962</v>
      </c>
      <c r="E1217" s="1" t="s">
        <v>209</v>
      </c>
      <c r="F1217" s="1" t="s">
        <v>1675</v>
      </c>
      <c r="G1217" s="1" t="s">
        <v>215</v>
      </c>
      <c r="H1217" s="1">
        <v>5</v>
      </c>
      <c r="I1217" s="1">
        <v>0.37562499999999999</v>
      </c>
      <c r="K1217" s="1" t="s">
        <v>181</v>
      </c>
    </row>
    <row r="1218" spans="1:11" x14ac:dyDescent="0.25">
      <c r="A1218" s="1" t="s">
        <v>3963</v>
      </c>
      <c r="B1218" s="1" t="s">
        <v>3964</v>
      </c>
      <c r="D1218" s="1" t="s">
        <v>3965</v>
      </c>
      <c r="E1218" s="1" t="s">
        <v>209</v>
      </c>
      <c r="F1218" s="1" t="s">
        <v>1675</v>
      </c>
      <c r="G1218" s="1" t="s">
        <v>215</v>
      </c>
      <c r="H1218" s="1">
        <v>5</v>
      </c>
      <c r="I1218" s="1">
        <v>0.37562499999999999</v>
      </c>
      <c r="K1218" s="1" t="s">
        <v>181</v>
      </c>
    </row>
    <row r="1219" spans="1:11" x14ac:dyDescent="0.25">
      <c r="A1219" s="1" t="s">
        <v>3966</v>
      </c>
      <c r="B1219" s="1" t="s">
        <v>3967</v>
      </c>
      <c r="D1219" s="1" t="s">
        <v>3968</v>
      </c>
      <c r="E1219" s="1" t="s">
        <v>209</v>
      </c>
      <c r="F1219" s="1" t="s">
        <v>1675</v>
      </c>
      <c r="G1219" s="1" t="s">
        <v>215</v>
      </c>
      <c r="H1219" s="1">
        <v>5</v>
      </c>
      <c r="I1219" s="1">
        <v>0.37562499999999999</v>
      </c>
      <c r="K1219" s="1" t="s">
        <v>181</v>
      </c>
    </row>
    <row r="1220" spans="1:11" x14ac:dyDescent="0.25">
      <c r="A1220" s="1" t="s">
        <v>3969</v>
      </c>
      <c r="B1220" s="1" t="s">
        <v>3970</v>
      </c>
      <c r="D1220" s="1" t="s">
        <v>3971</v>
      </c>
      <c r="E1220" s="1" t="s">
        <v>209</v>
      </c>
      <c r="F1220" s="1" t="s">
        <v>1675</v>
      </c>
      <c r="G1220" s="1" t="s">
        <v>215</v>
      </c>
      <c r="H1220" s="1">
        <v>5</v>
      </c>
      <c r="I1220" s="1">
        <v>0.37562499999999999</v>
      </c>
      <c r="K1220" s="1" t="s">
        <v>181</v>
      </c>
    </row>
    <row r="1221" spans="1:11" x14ac:dyDescent="0.25">
      <c r="A1221" s="1" t="s">
        <v>3972</v>
      </c>
      <c r="B1221" s="1" t="s">
        <v>3973</v>
      </c>
      <c r="D1221" s="1" t="s">
        <v>3974</v>
      </c>
      <c r="E1221" s="1" t="s">
        <v>209</v>
      </c>
      <c r="F1221" s="1" t="s">
        <v>1675</v>
      </c>
      <c r="G1221" s="1" t="s">
        <v>215</v>
      </c>
      <c r="H1221" s="1">
        <v>5</v>
      </c>
      <c r="I1221" s="1">
        <v>0.37562499999999999</v>
      </c>
      <c r="K1221" s="1" t="s">
        <v>181</v>
      </c>
    </row>
    <row r="1222" spans="1:11" x14ac:dyDescent="0.25">
      <c r="A1222" s="1" t="s">
        <v>3975</v>
      </c>
      <c r="B1222" s="1" t="s">
        <v>557</v>
      </c>
      <c r="D1222" s="1" t="s">
        <v>3976</v>
      </c>
      <c r="E1222" s="1" t="s">
        <v>209</v>
      </c>
      <c r="F1222" s="1" t="s">
        <v>1675</v>
      </c>
      <c r="G1222" s="1" t="s">
        <v>215</v>
      </c>
      <c r="H1222" s="1">
        <v>5</v>
      </c>
      <c r="I1222" s="1">
        <v>0.37562499999999999</v>
      </c>
      <c r="K1222" s="1" t="s">
        <v>181</v>
      </c>
    </row>
    <row r="1223" spans="1:11" x14ac:dyDescent="0.25">
      <c r="A1223" s="1" t="s">
        <v>3977</v>
      </c>
      <c r="B1223" s="1" t="s">
        <v>3978</v>
      </c>
      <c r="D1223" s="1" t="s">
        <v>3979</v>
      </c>
      <c r="E1223" s="1" t="s">
        <v>209</v>
      </c>
      <c r="F1223" s="1" t="s">
        <v>1675</v>
      </c>
      <c r="G1223" s="1" t="s">
        <v>211</v>
      </c>
      <c r="H1223" s="1">
        <v>5</v>
      </c>
      <c r="I1223" s="1">
        <v>0.37562499999999999</v>
      </c>
      <c r="K1223" s="1" t="s">
        <v>181</v>
      </c>
    </row>
    <row r="1224" spans="1:11" x14ac:dyDescent="0.25">
      <c r="A1224" s="1" t="s">
        <v>3980</v>
      </c>
      <c r="B1224" s="1" t="s">
        <v>3981</v>
      </c>
      <c r="D1224" s="1" t="s">
        <v>3982</v>
      </c>
      <c r="E1224" s="1" t="s">
        <v>209</v>
      </c>
      <c r="F1224" s="1" t="s">
        <v>1675</v>
      </c>
      <c r="G1224" s="1" t="s">
        <v>211</v>
      </c>
      <c r="H1224" s="1">
        <v>5</v>
      </c>
      <c r="I1224" s="1">
        <v>0.37562499999999999</v>
      </c>
      <c r="K1224" s="1" t="s">
        <v>181</v>
      </c>
    </row>
    <row r="1225" spans="1:11" x14ac:dyDescent="0.25">
      <c r="A1225" s="1" t="s">
        <v>3983</v>
      </c>
      <c r="B1225" s="1" t="s">
        <v>3984</v>
      </c>
      <c r="D1225" s="1" t="s">
        <v>3985</v>
      </c>
      <c r="E1225" s="1" t="s">
        <v>209</v>
      </c>
      <c r="F1225" s="1" t="s">
        <v>1675</v>
      </c>
      <c r="G1225" s="1" t="s">
        <v>211</v>
      </c>
      <c r="H1225" s="1">
        <v>5</v>
      </c>
      <c r="I1225" s="1">
        <v>0.37562499999999999</v>
      </c>
      <c r="K1225" s="1" t="s">
        <v>181</v>
      </c>
    </row>
    <row r="1226" spans="1:11" x14ac:dyDescent="0.25">
      <c r="A1226" s="1" t="s">
        <v>3986</v>
      </c>
      <c r="B1226" s="1" t="s">
        <v>3987</v>
      </c>
      <c r="D1226" s="1" t="s">
        <v>3988</v>
      </c>
      <c r="E1226" s="1" t="s">
        <v>209</v>
      </c>
      <c r="F1226" s="1" t="s">
        <v>1675</v>
      </c>
      <c r="G1226" s="1" t="s">
        <v>215</v>
      </c>
      <c r="H1226" s="1">
        <v>5</v>
      </c>
      <c r="I1226" s="1">
        <v>0.37562499999999999</v>
      </c>
      <c r="K1226" s="1" t="s">
        <v>181</v>
      </c>
    </row>
    <row r="1227" spans="1:11" x14ac:dyDescent="0.25">
      <c r="A1227" s="1" t="s">
        <v>3989</v>
      </c>
      <c r="B1227" s="1" t="s">
        <v>3990</v>
      </c>
      <c r="D1227" s="1" t="s">
        <v>3991</v>
      </c>
      <c r="E1227" s="1" t="s">
        <v>209</v>
      </c>
      <c r="F1227" s="1" t="s">
        <v>1675</v>
      </c>
      <c r="G1227" s="1" t="s">
        <v>215</v>
      </c>
      <c r="H1227" s="1">
        <v>5</v>
      </c>
      <c r="I1227" s="1">
        <v>0.37562499999999999</v>
      </c>
      <c r="K1227" s="1" t="s">
        <v>181</v>
      </c>
    </row>
    <row r="1228" spans="1:11" x14ac:dyDescent="0.25">
      <c r="A1228" s="1" t="s">
        <v>3992</v>
      </c>
      <c r="B1228" s="1" t="s">
        <v>3993</v>
      </c>
      <c r="D1228" s="1" t="s">
        <v>3994</v>
      </c>
      <c r="E1228" s="1" t="s">
        <v>209</v>
      </c>
      <c r="F1228" s="1" t="s">
        <v>1675</v>
      </c>
      <c r="G1228" s="1" t="s">
        <v>215</v>
      </c>
      <c r="H1228" s="1">
        <v>5</v>
      </c>
      <c r="I1228" s="1">
        <v>0.37562499999999999</v>
      </c>
      <c r="K1228" s="1" t="s">
        <v>181</v>
      </c>
    </row>
    <row r="1229" spans="1:11" x14ac:dyDescent="0.25">
      <c r="A1229" s="1" t="s">
        <v>3995</v>
      </c>
      <c r="B1229" s="1" t="s">
        <v>3996</v>
      </c>
      <c r="D1229" s="1" t="s">
        <v>3997</v>
      </c>
      <c r="E1229" s="1" t="s">
        <v>209</v>
      </c>
      <c r="F1229" s="1" t="s">
        <v>1675</v>
      </c>
      <c r="G1229" s="1" t="s">
        <v>215</v>
      </c>
      <c r="H1229" s="1">
        <v>5</v>
      </c>
      <c r="I1229" s="1">
        <v>0.37562499999999999</v>
      </c>
      <c r="K1229" s="1" t="s">
        <v>181</v>
      </c>
    </row>
    <row r="1230" spans="1:11" x14ac:dyDescent="0.25">
      <c r="A1230" s="1" t="s">
        <v>3998</v>
      </c>
      <c r="B1230" s="1" t="s">
        <v>3999</v>
      </c>
      <c r="D1230" s="1" t="s">
        <v>4000</v>
      </c>
      <c r="E1230" s="1" t="s">
        <v>209</v>
      </c>
      <c r="F1230" s="1" t="s">
        <v>1675</v>
      </c>
      <c r="G1230" s="1" t="s">
        <v>215</v>
      </c>
      <c r="H1230" s="1">
        <v>5</v>
      </c>
      <c r="I1230" s="1">
        <v>0.37562499999999999</v>
      </c>
      <c r="K1230" s="1" t="s">
        <v>181</v>
      </c>
    </row>
    <row r="1231" spans="1:11" x14ac:dyDescent="0.25">
      <c r="A1231" s="1" t="s">
        <v>4001</v>
      </c>
      <c r="B1231" s="1" t="s">
        <v>4002</v>
      </c>
      <c r="D1231" s="1" t="s">
        <v>4003</v>
      </c>
      <c r="E1231" s="1" t="s">
        <v>209</v>
      </c>
      <c r="F1231" s="1" t="s">
        <v>1675</v>
      </c>
      <c r="G1231" s="1" t="s">
        <v>215</v>
      </c>
      <c r="H1231" s="1">
        <v>5</v>
      </c>
      <c r="I1231" s="1">
        <v>0.37562499999999999</v>
      </c>
      <c r="K1231" s="1" t="s">
        <v>181</v>
      </c>
    </row>
    <row r="1232" spans="1:11" x14ac:dyDescent="0.25">
      <c r="A1232" s="1" t="s">
        <v>4004</v>
      </c>
      <c r="B1232" s="1" t="s">
        <v>4005</v>
      </c>
      <c r="D1232" s="1" t="s">
        <v>4006</v>
      </c>
      <c r="E1232" s="1" t="s">
        <v>209</v>
      </c>
      <c r="F1232" s="1" t="s">
        <v>1675</v>
      </c>
      <c r="G1232" s="1" t="s">
        <v>215</v>
      </c>
      <c r="H1232" s="1">
        <v>5</v>
      </c>
      <c r="I1232" s="1">
        <v>0.37562499999999999</v>
      </c>
      <c r="K1232" s="1" t="s">
        <v>181</v>
      </c>
    </row>
    <row r="1233" spans="1:11" x14ac:dyDescent="0.25">
      <c r="A1233" s="1" t="s">
        <v>4007</v>
      </c>
      <c r="B1233" s="1" t="s">
        <v>4008</v>
      </c>
      <c r="D1233" s="1" t="s">
        <v>4009</v>
      </c>
      <c r="E1233" s="1" t="s">
        <v>209</v>
      </c>
      <c r="F1233" s="1" t="s">
        <v>1675</v>
      </c>
      <c r="G1233" s="1" t="s">
        <v>215</v>
      </c>
      <c r="H1233" s="1">
        <v>5</v>
      </c>
      <c r="I1233" s="1">
        <v>0.37562499999999999</v>
      </c>
      <c r="K1233" s="1" t="s">
        <v>181</v>
      </c>
    </row>
    <row r="1234" spans="1:11" x14ac:dyDescent="0.25">
      <c r="A1234" s="1" t="s">
        <v>4010</v>
      </c>
      <c r="B1234" s="1" t="s">
        <v>4011</v>
      </c>
      <c r="D1234" s="1" t="s">
        <v>4012</v>
      </c>
      <c r="E1234" s="1" t="s">
        <v>209</v>
      </c>
      <c r="F1234" s="1" t="s">
        <v>1675</v>
      </c>
      <c r="G1234" s="1" t="s">
        <v>215</v>
      </c>
      <c r="H1234" s="1">
        <v>5</v>
      </c>
      <c r="I1234" s="1">
        <v>0.37562499999999999</v>
      </c>
      <c r="K1234" s="1" t="s">
        <v>181</v>
      </c>
    </row>
    <row r="1235" spans="1:11" x14ac:dyDescent="0.25">
      <c r="A1235" s="1" t="s">
        <v>4013</v>
      </c>
      <c r="B1235" s="1" t="s">
        <v>4014</v>
      </c>
      <c r="D1235" s="1" t="s">
        <v>4015</v>
      </c>
      <c r="E1235" s="1" t="s">
        <v>209</v>
      </c>
      <c r="F1235" s="1" t="s">
        <v>1675</v>
      </c>
      <c r="G1235" s="1" t="s">
        <v>215</v>
      </c>
      <c r="H1235" s="1">
        <v>5</v>
      </c>
      <c r="I1235" s="1">
        <v>0.37562499999999999</v>
      </c>
      <c r="K1235" s="1" t="s">
        <v>181</v>
      </c>
    </row>
    <row r="1236" spans="1:11" x14ac:dyDescent="0.25">
      <c r="A1236" s="1" t="s">
        <v>4016</v>
      </c>
      <c r="B1236" s="1" t="s">
        <v>4017</v>
      </c>
      <c r="D1236" s="1" t="s">
        <v>4018</v>
      </c>
      <c r="E1236" s="1" t="s">
        <v>209</v>
      </c>
      <c r="F1236" s="1" t="s">
        <v>1675</v>
      </c>
      <c r="G1236" s="1" t="s">
        <v>211</v>
      </c>
      <c r="H1236" s="1">
        <v>5</v>
      </c>
      <c r="I1236" s="1">
        <v>0.37562499999999999</v>
      </c>
      <c r="K1236" s="1" t="s">
        <v>181</v>
      </c>
    </row>
    <row r="1237" spans="1:11" x14ac:dyDescent="0.25">
      <c r="A1237" s="1" t="s">
        <v>4019</v>
      </c>
      <c r="B1237" s="1" t="s">
        <v>4020</v>
      </c>
      <c r="D1237" s="1" t="s">
        <v>4021</v>
      </c>
      <c r="E1237" s="1" t="s">
        <v>209</v>
      </c>
      <c r="F1237" s="1" t="s">
        <v>1675</v>
      </c>
      <c r="G1237" s="1" t="s">
        <v>215</v>
      </c>
      <c r="H1237" s="1">
        <v>5</v>
      </c>
      <c r="I1237" s="1">
        <v>0.37562499999999999</v>
      </c>
      <c r="K1237" s="1" t="s">
        <v>181</v>
      </c>
    </row>
    <row r="1238" spans="1:11" x14ac:dyDescent="0.25">
      <c r="A1238" s="1" t="s">
        <v>4022</v>
      </c>
      <c r="B1238" s="1" t="s">
        <v>4023</v>
      </c>
      <c r="D1238" s="1" t="s">
        <v>4024</v>
      </c>
      <c r="E1238" s="1" t="s">
        <v>209</v>
      </c>
      <c r="F1238" s="1" t="s">
        <v>1675</v>
      </c>
      <c r="G1238" s="1" t="s">
        <v>215</v>
      </c>
      <c r="H1238" s="1">
        <v>5</v>
      </c>
      <c r="I1238" s="1">
        <v>0.37562499999999999</v>
      </c>
      <c r="K1238" s="1" t="s">
        <v>181</v>
      </c>
    </row>
    <row r="1239" spans="1:11" x14ac:dyDescent="0.25">
      <c r="A1239" s="1" t="s">
        <v>4025</v>
      </c>
      <c r="B1239" s="1" t="s">
        <v>4026</v>
      </c>
      <c r="D1239" s="1" t="s">
        <v>4027</v>
      </c>
      <c r="E1239" s="1" t="s">
        <v>209</v>
      </c>
      <c r="F1239" s="1" t="s">
        <v>1675</v>
      </c>
      <c r="G1239" s="1" t="s">
        <v>215</v>
      </c>
      <c r="H1239" s="1">
        <v>5</v>
      </c>
      <c r="I1239" s="1">
        <v>0.37562499999999999</v>
      </c>
      <c r="K1239" s="1" t="s">
        <v>181</v>
      </c>
    </row>
    <row r="1240" spans="1:11" x14ac:dyDescent="0.25">
      <c r="A1240" s="1" t="s">
        <v>4028</v>
      </c>
      <c r="B1240" s="1" t="s">
        <v>4029</v>
      </c>
      <c r="D1240" s="1" t="s">
        <v>4030</v>
      </c>
      <c r="E1240" s="1" t="s">
        <v>209</v>
      </c>
      <c r="F1240" s="1" t="s">
        <v>1675</v>
      </c>
      <c r="G1240" s="1" t="s">
        <v>211</v>
      </c>
      <c r="H1240" s="1">
        <v>5</v>
      </c>
      <c r="I1240" s="1">
        <v>0.37562499999999999</v>
      </c>
      <c r="K1240" s="1" t="s">
        <v>181</v>
      </c>
    </row>
    <row r="1241" spans="1:11" x14ac:dyDescent="0.25">
      <c r="A1241" s="1" t="s">
        <v>4031</v>
      </c>
      <c r="B1241" s="1" t="s">
        <v>4032</v>
      </c>
      <c r="D1241" s="1" t="s">
        <v>4033</v>
      </c>
      <c r="E1241" s="1" t="s">
        <v>209</v>
      </c>
      <c r="F1241" s="1" t="s">
        <v>1675</v>
      </c>
      <c r="G1241" s="1" t="s">
        <v>215</v>
      </c>
      <c r="H1241" s="1">
        <v>5</v>
      </c>
      <c r="I1241" s="1">
        <v>0.37562499999999999</v>
      </c>
      <c r="K1241" s="1" t="s">
        <v>181</v>
      </c>
    </row>
    <row r="1242" spans="1:11" x14ac:dyDescent="0.25">
      <c r="A1242" s="1" t="s">
        <v>4034</v>
      </c>
      <c r="B1242" s="1" t="s">
        <v>4035</v>
      </c>
      <c r="D1242" s="1" t="s">
        <v>4036</v>
      </c>
      <c r="E1242" s="1" t="s">
        <v>209</v>
      </c>
      <c r="F1242" s="1" t="s">
        <v>1675</v>
      </c>
      <c r="G1242" s="1" t="s">
        <v>215</v>
      </c>
      <c r="H1242" s="1">
        <v>5</v>
      </c>
      <c r="I1242" s="1">
        <v>0.37562499999999999</v>
      </c>
      <c r="K1242" s="1" t="s">
        <v>181</v>
      </c>
    </row>
    <row r="1243" spans="1:11" x14ac:dyDescent="0.25">
      <c r="A1243" s="1" t="s">
        <v>4037</v>
      </c>
      <c r="B1243" s="1" t="s">
        <v>4038</v>
      </c>
      <c r="D1243" s="1" t="s">
        <v>4039</v>
      </c>
      <c r="E1243" s="1" t="s">
        <v>209</v>
      </c>
      <c r="F1243" s="1" t="s">
        <v>1675</v>
      </c>
      <c r="G1243" s="1" t="s">
        <v>215</v>
      </c>
      <c r="H1243" s="1">
        <v>5</v>
      </c>
      <c r="I1243" s="1">
        <v>0.37562499999999999</v>
      </c>
      <c r="K1243" s="1" t="s">
        <v>181</v>
      </c>
    </row>
    <row r="1244" spans="1:11" x14ac:dyDescent="0.25">
      <c r="A1244" s="1" t="s">
        <v>4040</v>
      </c>
      <c r="B1244" s="1" t="s">
        <v>4041</v>
      </c>
      <c r="D1244" s="1" t="s">
        <v>4042</v>
      </c>
      <c r="E1244" s="1" t="s">
        <v>209</v>
      </c>
      <c r="F1244" s="1" t="s">
        <v>1675</v>
      </c>
      <c r="G1244" s="1" t="s">
        <v>215</v>
      </c>
      <c r="H1244" s="1">
        <v>5</v>
      </c>
      <c r="I1244" s="1">
        <v>0.37562499999999999</v>
      </c>
      <c r="K1244" s="1" t="s">
        <v>181</v>
      </c>
    </row>
    <row r="1245" spans="1:11" x14ac:dyDescent="0.25">
      <c r="A1245" s="1" t="s">
        <v>4043</v>
      </c>
      <c r="B1245" s="1" t="s">
        <v>4044</v>
      </c>
      <c r="D1245" s="1" t="s">
        <v>4045</v>
      </c>
      <c r="E1245" s="1" t="s">
        <v>209</v>
      </c>
      <c r="F1245" s="1" t="s">
        <v>1675</v>
      </c>
      <c r="G1245" s="1" t="s">
        <v>215</v>
      </c>
      <c r="H1245" s="1">
        <v>5</v>
      </c>
      <c r="I1245" s="1">
        <v>0.37562499999999999</v>
      </c>
      <c r="K1245" s="1" t="s">
        <v>181</v>
      </c>
    </row>
    <row r="1246" spans="1:11" x14ac:dyDescent="0.25">
      <c r="A1246" s="1" t="s">
        <v>4046</v>
      </c>
      <c r="B1246" s="1" t="s">
        <v>4047</v>
      </c>
      <c r="D1246" s="1" t="s">
        <v>4048</v>
      </c>
      <c r="E1246" s="1" t="s">
        <v>209</v>
      </c>
      <c r="F1246" s="1" t="s">
        <v>1675</v>
      </c>
      <c r="G1246" s="1" t="s">
        <v>215</v>
      </c>
      <c r="H1246" s="1">
        <v>5</v>
      </c>
      <c r="I1246" s="1">
        <v>0.37562499999999999</v>
      </c>
      <c r="K1246" s="1" t="s">
        <v>181</v>
      </c>
    </row>
    <row r="1247" spans="1:11" x14ac:dyDescent="0.25">
      <c r="A1247" s="1" t="s">
        <v>4049</v>
      </c>
      <c r="B1247" s="1" t="s">
        <v>4050</v>
      </c>
      <c r="D1247" s="1" t="s">
        <v>4051</v>
      </c>
      <c r="E1247" s="1" t="s">
        <v>209</v>
      </c>
      <c r="F1247" s="1" t="s">
        <v>1675</v>
      </c>
      <c r="G1247" s="1" t="s">
        <v>215</v>
      </c>
      <c r="H1247" s="1">
        <v>5</v>
      </c>
      <c r="I1247" s="1">
        <v>0.37562499999999999</v>
      </c>
      <c r="K1247" s="1" t="s">
        <v>181</v>
      </c>
    </row>
    <row r="1248" spans="1:11" x14ac:dyDescent="0.25">
      <c r="A1248" s="1" t="s">
        <v>4052</v>
      </c>
      <c r="B1248" s="1" t="s">
        <v>4053</v>
      </c>
      <c r="D1248" s="1" t="s">
        <v>4054</v>
      </c>
      <c r="E1248" s="1" t="s">
        <v>209</v>
      </c>
      <c r="F1248" s="1" t="s">
        <v>1675</v>
      </c>
      <c r="G1248" s="1" t="s">
        <v>215</v>
      </c>
      <c r="H1248" s="1">
        <v>5</v>
      </c>
      <c r="I1248" s="1">
        <v>0.37562499999999999</v>
      </c>
      <c r="K1248" s="1" t="s">
        <v>181</v>
      </c>
    </row>
    <row r="1249" spans="1:11" x14ac:dyDescent="0.25">
      <c r="A1249" s="1" t="s">
        <v>4055</v>
      </c>
      <c r="B1249" s="1" t="s">
        <v>4056</v>
      </c>
      <c r="D1249" s="1" t="s">
        <v>4057</v>
      </c>
      <c r="E1249" s="1" t="s">
        <v>209</v>
      </c>
      <c r="F1249" s="1" t="s">
        <v>1675</v>
      </c>
      <c r="G1249" s="1" t="s">
        <v>215</v>
      </c>
      <c r="H1249" s="1">
        <v>5</v>
      </c>
      <c r="I1249" s="1">
        <v>0.37562499999999999</v>
      </c>
      <c r="K1249" s="1" t="s">
        <v>181</v>
      </c>
    </row>
    <row r="1250" spans="1:11" x14ac:dyDescent="0.25">
      <c r="A1250" s="1" t="s">
        <v>4058</v>
      </c>
      <c r="B1250" s="1" t="s">
        <v>4059</v>
      </c>
      <c r="D1250" s="1" t="s">
        <v>4060</v>
      </c>
      <c r="E1250" s="1" t="s">
        <v>209</v>
      </c>
      <c r="F1250" s="1" t="s">
        <v>1675</v>
      </c>
      <c r="G1250" s="1" t="s">
        <v>215</v>
      </c>
      <c r="H1250" s="1">
        <v>5</v>
      </c>
      <c r="I1250" s="1">
        <v>0.37562499999999999</v>
      </c>
      <c r="K1250" s="1" t="s">
        <v>181</v>
      </c>
    </row>
    <row r="1251" spans="1:11" x14ac:dyDescent="0.25">
      <c r="A1251" s="1" t="s">
        <v>4061</v>
      </c>
      <c r="B1251" s="1" t="s">
        <v>4062</v>
      </c>
      <c r="D1251" s="1" t="s">
        <v>4063</v>
      </c>
      <c r="E1251" s="1" t="s">
        <v>209</v>
      </c>
      <c r="F1251" s="1" t="s">
        <v>1675</v>
      </c>
      <c r="G1251" s="1" t="s">
        <v>215</v>
      </c>
      <c r="H1251" s="1">
        <v>5</v>
      </c>
      <c r="I1251" s="1">
        <v>0.37562499999999999</v>
      </c>
      <c r="K1251" s="1" t="s">
        <v>181</v>
      </c>
    </row>
    <row r="1252" spans="1:11" x14ac:dyDescent="0.25">
      <c r="A1252" s="1" t="s">
        <v>4064</v>
      </c>
      <c r="B1252" s="1" t="s">
        <v>4065</v>
      </c>
      <c r="D1252" s="1" t="s">
        <v>4066</v>
      </c>
      <c r="E1252" s="1" t="s">
        <v>209</v>
      </c>
      <c r="F1252" s="1" t="s">
        <v>1675</v>
      </c>
      <c r="G1252" s="1" t="s">
        <v>215</v>
      </c>
      <c r="H1252" s="1">
        <v>5</v>
      </c>
      <c r="I1252" s="1">
        <v>0.37562499999999999</v>
      </c>
      <c r="K1252" s="1" t="s">
        <v>181</v>
      </c>
    </row>
    <row r="1253" spans="1:11" x14ac:dyDescent="0.25">
      <c r="A1253" s="1" t="s">
        <v>4067</v>
      </c>
      <c r="B1253" s="1" t="s">
        <v>4068</v>
      </c>
      <c r="D1253" s="1" t="s">
        <v>4069</v>
      </c>
      <c r="E1253" s="1" t="s">
        <v>209</v>
      </c>
      <c r="F1253" s="1" t="s">
        <v>1675</v>
      </c>
      <c r="G1253" s="1" t="s">
        <v>215</v>
      </c>
      <c r="H1253" s="1">
        <v>5</v>
      </c>
      <c r="I1253" s="1">
        <v>0.37562499999999999</v>
      </c>
      <c r="K1253" s="1" t="s">
        <v>181</v>
      </c>
    </row>
    <row r="1254" spans="1:11" x14ac:dyDescent="0.25">
      <c r="A1254" s="1" t="s">
        <v>4070</v>
      </c>
      <c r="B1254" s="1" t="s">
        <v>4071</v>
      </c>
      <c r="D1254" s="1" t="s">
        <v>4072</v>
      </c>
      <c r="E1254" s="1" t="s">
        <v>209</v>
      </c>
      <c r="F1254" s="1" t="s">
        <v>1675</v>
      </c>
      <c r="G1254" s="1" t="s">
        <v>215</v>
      </c>
      <c r="H1254" s="1">
        <v>5</v>
      </c>
      <c r="I1254" s="1">
        <v>0.37562499999999999</v>
      </c>
      <c r="K1254" s="1" t="s">
        <v>181</v>
      </c>
    </row>
    <row r="1255" spans="1:11" x14ac:dyDescent="0.25">
      <c r="A1255" s="1" t="s">
        <v>4073</v>
      </c>
      <c r="B1255" s="1" t="s">
        <v>4074</v>
      </c>
      <c r="D1255" s="1" t="s">
        <v>4075</v>
      </c>
      <c r="E1255" s="1" t="s">
        <v>209</v>
      </c>
      <c r="F1255" s="1" t="s">
        <v>1675</v>
      </c>
      <c r="G1255" s="1" t="s">
        <v>215</v>
      </c>
      <c r="H1255" s="1">
        <v>5</v>
      </c>
      <c r="I1255" s="1">
        <v>0.37562499999999999</v>
      </c>
      <c r="K1255" s="1" t="s">
        <v>181</v>
      </c>
    </row>
    <row r="1256" spans="1:11" x14ac:dyDescent="0.25">
      <c r="A1256" s="1" t="s">
        <v>4076</v>
      </c>
      <c r="B1256" s="1" t="s">
        <v>4077</v>
      </c>
      <c r="D1256" s="1" t="s">
        <v>4078</v>
      </c>
      <c r="E1256" s="1" t="s">
        <v>209</v>
      </c>
      <c r="F1256" s="1" t="s">
        <v>1675</v>
      </c>
      <c r="G1256" s="1" t="s">
        <v>215</v>
      </c>
      <c r="H1256" s="1">
        <v>5</v>
      </c>
      <c r="I1256" s="1">
        <v>0.37562499999999999</v>
      </c>
      <c r="K1256" s="1" t="s">
        <v>181</v>
      </c>
    </row>
    <row r="1257" spans="1:11" x14ac:dyDescent="0.25">
      <c r="A1257" s="1" t="s">
        <v>4079</v>
      </c>
      <c r="B1257" s="1" t="s">
        <v>4080</v>
      </c>
      <c r="D1257" s="1" t="s">
        <v>4081</v>
      </c>
      <c r="E1257" s="1" t="s">
        <v>209</v>
      </c>
      <c r="F1257" s="1" t="s">
        <v>1675</v>
      </c>
      <c r="G1257" s="1" t="s">
        <v>215</v>
      </c>
      <c r="H1257" s="1">
        <v>5</v>
      </c>
      <c r="I1257" s="1">
        <v>0.37562499999999999</v>
      </c>
      <c r="K1257" s="1" t="s">
        <v>181</v>
      </c>
    </row>
    <row r="1258" spans="1:11" x14ac:dyDescent="0.25">
      <c r="A1258" s="1" t="s">
        <v>4082</v>
      </c>
      <c r="B1258" s="1" t="s">
        <v>4083</v>
      </c>
      <c r="D1258" s="1" t="s">
        <v>4084</v>
      </c>
      <c r="E1258" s="1" t="s">
        <v>209</v>
      </c>
      <c r="F1258" s="1" t="s">
        <v>1675</v>
      </c>
      <c r="G1258" s="1" t="s">
        <v>215</v>
      </c>
      <c r="H1258" s="1">
        <v>5</v>
      </c>
      <c r="I1258" s="1">
        <v>0.37562499999999999</v>
      </c>
      <c r="K1258" s="1" t="s">
        <v>181</v>
      </c>
    </row>
    <row r="1259" spans="1:11" x14ac:dyDescent="0.25">
      <c r="A1259" s="1" t="s">
        <v>4085</v>
      </c>
      <c r="B1259" s="1" t="s">
        <v>4086</v>
      </c>
      <c r="D1259" s="1" t="s">
        <v>4087</v>
      </c>
      <c r="E1259" s="1" t="s">
        <v>209</v>
      </c>
      <c r="F1259" s="1" t="s">
        <v>1675</v>
      </c>
      <c r="G1259" s="1" t="s">
        <v>215</v>
      </c>
      <c r="H1259" s="1">
        <v>5</v>
      </c>
      <c r="I1259" s="1">
        <v>0.37562499999999999</v>
      </c>
      <c r="K1259" s="1" t="s">
        <v>181</v>
      </c>
    </row>
    <row r="1260" spans="1:11" x14ac:dyDescent="0.25">
      <c r="A1260" s="1" t="s">
        <v>4088</v>
      </c>
      <c r="B1260" s="1" t="s">
        <v>4089</v>
      </c>
      <c r="D1260" s="1" t="s">
        <v>4090</v>
      </c>
      <c r="E1260" s="1" t="s">
        <v>209</v>
      </c>
      <c r="F1260" s="1" t="s">
        <v>1675</v>
      </c>
      <c r="G1260" s="1" t="s">
        <v>215</v>
      </c>
      <c r="H1260" s="1">
        <v>5</v>
      </c>
      <c r="I1260" s="1">
        <v>0.37562499999999999</v>
      </c>
      <c r="K1260" s="1" t="s">
        <v>181</v>
      </c>
    </row>
    <row r="1261" spans="1:11" x14ac:dyDescent="0.25">
      <c r="A1261" s="1" t="s">
        <v>4091</v>
      </c>
      <c r="B1261" s="1" t="s">
        <v>4092</v>
      </c>
      <c r="D1261" s="1" t="s">
        <v>4093</v>
      </c>
      <c r="E1261" s="1" t="s">
        <v>209</v>
      </c>
      <c r="F1261" s="1" t="s">
        <v>1675</v>
      </c>
      <c r="G1261" s="1" t="s">
        <v>215</v>
      </c>
      <c r="H1261" s="1">
        <v>5</v>
      </c>
      <c r="I1261" s="1">
        <v>0.37562499999999999</v>
      </c>
      <c r="K1261" s="1" t="s">
        <v>181</v>
      </c>
    </row>
    <row r="1262" spans="1:11" x14ac:dyDescent="0.25">
      <c r="A1262" s="1" t="s">
        <v>4094</v>
      </c>
      <c r="B1262" s="1" t="s">
        <v>4095</v>
      </c>
      <c r="D1262" s="1" t="s">
        <v>4096</v>
      </c>
      <c r="E1262" s="1" t="s">
        <v>209</v>
      </c>
      <c r="F1262" s="1" t="s">
        <v>1675</v>
      </c>
      <c r="G1262" s="1" t="s">
        <v>215</v>
      </c>
      <c r="H1262" s="1">
        <v>5</v>
      </c>
      <c r="I1262" s="1">
        <v>0.37562499999999999</v>
      </c>
      <c r="K1262" s="1" t="s">
        <v>181</v>
      </c>
    </row>
    <row r="1263" spans="1:11" x14ac:dyDescent="0.25">
      <c r="A1263" s="1" t="s">
        <v>4097</v>
      </c>
      <c r="B1263" s="1" t="s">
        <v>4098</v>
      </c>
      <c r="D1263" s="1" t="s">
        <v>4099</v>
      </c>
      <c r="E1263" s="1" t="s">
        <v>209</v>
      </c>
      <c r="F1263" s="1" t="s">
        <v>1675</v>
      </c>
      <c r="G1263" s="1" t="s">
        <v>215</v>
      </c>
      <c r="H1263" s="1">
        <v>5</v>
      </c>
      <c r="I1263" s="1">
        <v>0.37562499999999999</v>
      </c>
      <c r="K1263" s="1" t="s">
        <v>181</v>
      </c>
    </row>
    <row r="1264" spans="1:11" x14ac:dyDescent="0.25">
      <c r="A1264" s="1" t="s">
        <v>4100</v>
      </c>
      <c r="B1264" s="1" t="s">
        <v>4101</v>
      </c>
      <c r="D1264" s="1" t="s">
        <v>4102</v>
      </c>
      <c r="E1264" s="1" t="s">
        <v>209</v>
      </c>
      <c r="F1264" s="1" t="s">
        <v>1675</v>
      </c>
      <c r="G1264" s="1" t="s">
        <v>215</v>
      </c>
      <c r="H1264" s="1">
        <v>5</v>
      </c>
      <c r="I1264" s="1">
        <v>0.37562499999999999</v>
      </c>
      <c r="K1264" s="1" t="s">
        <v>181</v>
      </c>
    </row>
    <row r="1265" spans="1:11" x14ac:dyDescent="0.25">
      <c r="A1265" s="1" t="s">
        <v>4103</v>
      </c>
      <c r="B1265" s="1" t="s">
        <v>4104</v>
      </c>
      <c r="D1265" s="1" t="s">
        <v>4105</v>
      </c>
      <c r="E1265" s="1" t="s">
        <v>209</v>
      </c>
      <c r="F1265" s="1" t="s">
        <v>1675</v>
      </c>
      <c r="G1265" s="1" t="s">
        <v>215</v>
      </c>
      <c r="H1265" s="1">
        <v>5</v>
      </c>
      <c r="I1265" s="1">
        <v>0.37562499999999999</v>
      </c>
      <c r="K1265" s="1" t="s">
        <v>181</v>
      </c>
    </row>
    <row r="1266" spans="1:11" x14ac:dyDescent="0.25">
      <c r="A1266" s="1" t="s">
        <v>4106</v>
      </c>
      <c r="B1266" s="1" t="s">
        <v>4107</v>
      </c>
      <c r="D1266" s="1" t="s">
        <v>4108</v>
      </c>
      <c r="E1266" s="1" t="s">
        <v>209</v>
      </c>
      <c r="F1266" s="1" t="s">
        <v>1675</v>
      </c>
      <c r="G1266" s="1" t="s">
        <v>215</v>
      </c>
      <c r="H1266" s="1">
        <v>5</v>
      </c>
      <c r="I1266" s="1">
        <v>0.37562499999999999</v>
      </c>
      <c r="K1266" s="1" t="s">
        <v>181</v>
      </c>
    </row>
    <row r="1267" spans="1:11" x14ac:dyDescent="0.25">
      <c r="A1267" s="1" t="s">
        <v>4109</v>
      </c>
      <c r="B1267" s="1" t="s">
        <v>4110</v>
      </c>
      <c r="D1267" s="1" t="s">
        <v>4111</v>
      </c>
      <c r="E1267" s="1" t="s">
        <v>209</v>
      </c>
      <c r="F1267" s="1" t="s">
        <v>1675</v>
      </c>
      <c r="G1267" s="1" t="s">
        <v>215</v>
      </c>
      <c r="H1267" s="1">
        <v>5</v>
      </c>
      <c r="I1267" s="1">
        <v>0.37562499999999999</v>
      </c>
      <c r="K1267" s="1" t="s">
        <v>181</v>
      </c>
    </row>
    <row r="1268" spans="1:11" x14ac:dyDescent="0.25">
      <c r="A1268" s="1" t="s">
        <v>4112</v>
      </c>
      <c r="B1268" s="1" t="s">
        <v>4113</v>
      </c>
      <c r="D1268" s="1" t="s">
        <v>4114</v>
      </c>
      <c r="E1268" s="1" t="s">
        <v>209</v>
      </c>
      <c r="F1268" s="1" t="s">
        <v>1675</v>
      </c>
      <c r="G1268" s="1" t="s">
        <v>211</v>
      </c>
      <c r="H1268" s="1">
        <v>5</v>
      </c>
      <c r="I1268" s="1">
        <v>0.37562499999999999</v>
      </c>
      <c r="K1268" s="1" t="s">
        <v>181</v>
      </c>
    </row>
    <row r="1269" spans="1:11" x14ac:dyDescent="0.25">
      <c r="A1269" s="1" t="s">
        <v>4115</v>
      </c>
      <c r="B1269" s="1" t="s">
        <v>4116</v>
      </c>
      <c r="D1269" s="1" t="s">
        <v>4117</v>
      </c>
      <c r="E1269" s="1" t="s">
        <v>209</v>
      </c>
      <c r="F1269" s="1" t="s">
        <v>1675</v>
      </c>
      <c r="G1269" s="1" t="s">
        <v>215</v>
      </c>
      <c r="H1269" s="1">
        <v>5</v>
      </c>
      <c r="I1269" s="1">
        <v>0.37562499999999999</v>
      </c>
      <c r="K1269" s="1" t="s">
        <v>181</v>
      </c>
    </row>
    <row r="1270" spans="1:11" x14ac:dyDescent="0.25">
      <c r="A1270" s="1" t="s">
        <v>4118</v>
      </c>
      <c r="B1270" s="1" t="s">
        <v>4119</v>
      </c>
      <c r="D1270" s="1" t="s">
        <v>4120</v>
      </c>
      <c r="E1270" s="1" t="s">
        <v>209</v>
      </c>
      <c r="F1270" s="1" t="s">
        <v>1675</v>
      </c>
      <c r="G1270" s="1" t="s">
        <v>215</v>
      </c>
      <c r="H1270" s="1">
        <v>5</v>
      </c>
      <c r="I1270" s="1">
        <v>0.37562499999999999</v>
      </c>
      <c r="K1270" s="1" t="s">
        <v>181</v>
      </c>
    </row>
    <row r="1271" spans="1:11" x14ac:dyDescent="0.25">
      <c r="A1271" s="1" t="s">
        <v>4121</v>
      </c>
      <c r="B1271" s="1" t="s">
        <v>4122</v>
      </c>
      <c r="D1271" s="1" t="s">
        <v>4123</v>
      </c>
      <c r="E1271" s="1" t="s">
        <v>209</v>
      </c>
      <c r="F1271" s="1" t="s">
        <v>1675</v>
      </c>
      <c r="G1271" s="1" t="s">
        <v>215</v>
      </c>
      <c r="H1271" s="1">
        <v>5</v>
      </c>
      <c r="I1271" s="1">
        <v>0.37562499999999999</v>
      </c>
      <c r="K1271" s="1" t="s">
        <v>181</v>
      </c>
    </row>
    <row r="1272" spans="1:11" x14ac:dyDescent="0.25">
      <c r="A1272" s="1" t="s">
        <v>4124</v>
      </c>
      <c r="B1272" s="1" t="s">
        <v>4125</v>
      </c>
      <c r="D1272" s="1" t="s">
        <v>4126</v>
      </c>
      <c r="E1272" s="1" t="s">
        <v>209</v>
      </c>
      <c r="F1272" s="1" t="s">
        <v>1675</v>
      </c>
      <c r="G1272" s="1" t="s">
        <v>215</v>
      </c>
      <c r="H1272" s="1">
        <v>5</v>
      </c>
      <c r="I1272" s="1">
        <v>0.37562499999999999</v>
      </c>
      <c r="K1272" s="1" t="s">
        <v>181</v>
      </c>
    </row>
    <row r="1273" spans="1:11" x14ac:dyDescent="0.25">
      <c r="A1273" s="1" t="s">
        <v>4127</v>
      </c>
      <c r="B1273" s="1" t="s">
        <v>4128</v>
      </c>
      <c r="D1273" s="1" t="s">
        <v>4129</v>
      </c>
      <c r="E1273" s="1" t="s">
        <v>209</v>
      </c>
      <c r="F1273" s="1" t="s">
        <v>1675</v>
      </c>
      <c r="G1273" s="1" t="s">
        <v>215</v>
      </c>
      <c r="H1273" s="1">
        <v>5</v>
      </c>
      <c r="I1273" s="1">
        <v>0.37562499999999999</v>
      </c>
      <c r="K1273" s="1" t="s">
        <v>181</v>
      </c>
    </row>
    <row r="1274" spans="1:11" x14ac:dyDescent="0.25">
      <c r="A1274" s="1" t="s">
        <v>4130</v>
      </c>
      <c r="B1274" s="1" t="s">
        <v>4131</v>
      </c>
      <c r="D1274" s="1" t="s">
        <v>4132</v>
      </c>
      <c r="E1274" s="1" t="s">
        <v>209</v>
      </c>
      <c r="F1274" s="1" t="s">
        <v>1675</v>
      </c>
      <c r="G1274" s="1" t="s">
        <v>211</v>
      </c>
      <c r="H1274" s="1">
        <v>5</v>
      </c>
      <c r="I1274" s="1">
        <v>0.37562499999999999</v>
      </c>
      <c r="K1274" s="1" t="s">
        <v>181</v>
      </c>
    </row>
    <row r="1275" spans="1:11" x14ac:dyDescent="0.25">
      <c r="A1275" s="1" t="s">
        <v>4133</v>
      </c>
      <c r="B1275" s="1" t="s">
        <v>4134</v>
      </c>
      <c r="D1275" s="1" t="s">
        <v>4135</v>
      </c>
      <c r="E1275" s="1" t="s">
        <v>209</v>
      </c>
      <c r="F1275" s="1" t="s">
        <v>1675</v>
      </c>
      <c r="G1275" s="1" t="s">
        <v>215</v>
      </c>
      <c r="H1275" s="1">
        <v>5</v>
      </c>
      <c r="I1275" s="1">
        <v>0.37562499999999999</v>
      </c>
      <c r="K1275" s="1" t="s">
        <v>181</v>
      </c>
    </row>
    <row r="1276" spans="1:11" x14ac:dyDescent="0.25">
      <c r="A1276" s="1" t="s">
        <v>4136</v>
      </c>
      <c r="B1276" s="1" t="s">
        <v>4137</v>
      </c>
      <c r="D1276" s="1" t="s">
        <v>4138</v>
      </c>
      <c r="E1276" s="1" t="s">
        <v>209</v>
      </c>
      <c r="F1276" s="1" t="s">
        <v>1675</v>
      </c>
      <c r="G1276" s="1" t="s">
        <v>215</v>
      </c>
      <c r="H1276" s="1">
        <v>5</v>
      </c>
      <c r="I1276" s="1">
        <v>0.37562499999999999</v>
      </c>
      <c r="K1276" s="1" t="s">
        <v>181</v>
      </c>
    </row>
    <row r="1277" spans="1:11" x14ac:dyDescent="0.25">
      <c r="A1277" s="1" t="s">
        <v>4139</v>
      </c>
      <c r="B1277" s="1" t="s">
        <v>4140</v>
      </c>
      <c r="D1277" s="1" t="s">
        <v>4141</v>
      </c>
      <c r="E1277" s="1" t="s">
        <v>209</v>
      </c>
      <c r="F1277" s="1" t="s">
        <v>1675</v>
      </c>
      <c r="G1277" s="1" t="s">
        <v>215</v>
      </c>
      <c r="H1277" s="1">
        <v>5</v>
      </c>
      <c r="I1277" s="1">
        <v>0.37562499999999999</v>
      </c>
      <c r="K1277" s="1" t="s">
        <v>181</v>
      </c>
    </row>
    <row r="1278" spans="1:11" x14ac:dyDescent="0.25">
      <c r="A1278" s="1" t="s">
        <v>4142</v>
      </c>
      <c r="B1278" s="1" t="s">
        <v>4140</v>
      </c>
      <c r="D1278" s="1" t="s">
        <v>4143</v>
      </c>
      <c r="E1278" s="1" t="s">
        <v>209</v>
      </c>
      <c r="F1278" s="1" t="s">
        <v>1675</v>
      </c>
      <c r="G1278" s="1" t="s">
        <v>211</v>
      </c>
      <c r="H1278" s="1">
        <v>5</v>
      </c>
      <c r="I1278" s="1">
        <v>0.37562499999999999</v>
      </c>
      <c r="K1278" s="1" t="s">
        <v>181</v>
      </c>
    </row>
    <row r="1279" spans="1:11" x14ac:dyDescent="0.25">
      <c r="A1279" s="1" t="s">
        <v>4144</v>
      </c>
      <c r="B1279" s="1" t="s">
        <v>4145</v>
      </c>
      <c r="D1279" s="1" t="s">
        <v>4146</v>
      </c>
      <c r="E1279" s="1" t="s">
        <v>209</v>
      </c>
      <c r="F1279" s="1" t="s">
        <v>1675</v>
      </c>
      <c r="G1279" s="1" t="s">
        <v>215</v>
      </c>
      <c r="H1279" s="1">
        <v>5</v>
      </c>
      <c r="I1279" s="1">
        <v>0.37562499999999999</v>
      </c>
      <c r="K1279" s="1" t="s">
        <v>181</v>
      </c>
    </row>
    <row r="1280" spans="1:11" x14ac:dyDescent="0.25">
      <c r="A1280" s="1" t="s">
        <v>4147</v>
      </c>
      <c r="B1280" s="1" t="s">
        <v>4148</v>
      </c>
      <c r="D1280" s="1" t="s">
        <v>4149</v>
      </c>
      <c r="E1280" s="1" t="s">
        <v>209</v>
      </c>
      <c r="F1280" s="1" t="s">
        <v>1675</v>
      </c>
      <c r="G1280" s="1" t="s">
        <v>215</v>
      </c>
      <c r="H1280" s="1">
        <v>5</v>
      </c>
      <c r="I1280" s="1">
        <v>0.37562499999999999</v>
      </c>
      <c r="K1280" s="1" t="s">
        <v>181</v>
      </c>
    </row>
    <row r="1281" spans="1:11" x14ac:dyDescent="0.25">
      <c r="A1281" s="1" t="s">
        <v>4150</v>
      </c>
      <c r="B1281" s="1" t="s">
        <v>4151</v>
      </c>
      <c r="D1281" s="1" t="s">
        <v>4152</v>
      </c>
      <c r="E1281" s="1" t="s">
        <v>209</v>
      </c>
      <c r="F1281" s="1" t="s">
        <v>1675</v>
      </c>
      <c r="G1281" s="1" t="s">
        <v>215</v>
      </c>
      <c r="H1281" s="1">
        <v>5</v>
      </c>
      <c r="I1281" s="1">
        <v>0.37562499999999999</v>
      </c>
      <c r="K1281" s="1" t="s">
        <v>181</v>
      </c>
    </row>
    <row r="1282" spans="1:11" x14ac:dyDescent="0.25">
      <c r="A1282" s="1" t="s">
        <v>4153</v>
      </c>
      <c r="B1282" s="1" t="s">
        <v>4154</v>
      </c>
      <c r="D1282" s="1" t="s">
        <v>4155</v>
      </c>
      <c r="E1282" s="1" t="s">
        <v>209</v>
      </c>
      <c r="F1282" s="1" t="s">
        <v>1675</v>
      </c>
      <c r="G1282" s="1" t="s">
        <v>215</v>
      </c>
      <c r="H1282" s="1">
        <v>5</v>
      </c>
      <c r="I1282" s="1">
        <v>0.37562499999999999</v>
      </c>
      <c r="K1282" s="1" t="s">
        <v>181</v>
      </c>
    </row>
    <row r="1283" spans="1:11" x14ac:dyDescent="0.25">
      <c r="A1283" s="1" t="s">
        <v>4156</v>
      </c>
      <c r="B1283" s="1" t="s">
        <v>4157</v>
      </c>
      <c r="D1283" s="1" t="s">
        <v>4158</v>
      </c>
      <c r="E1283" s="1" t="s">
        <v>209</v>
      </c>
      <c r="F1283" s="1" t="s">
        <v>1675</v>
      </c>
      <c r="G1283" s="1" t="s">
        <v>215</v>
      </c>
      <c r="H1283" s="1">
        <v>5</v>
      </c>
      <c r="I1283" s="1">
        <v>0.37562499999999999</v>
      </c>
      <c r="K1283" s="1" t="s">
        <v>181</v>
      </c>
    </row>
    <row r="1284" spans="1:11" x14ac:dyDescent="0.25">
      <c r="A1284" s="1" t="s">
        <v>4159</v>
      </c>
      <c r="B1284" s="1" t="s">
        <v>4160</v>
      </c>
      <c r="D1284" s="1" t="s">
        <v>4161</v>
      </c>
      <c r="E1284" s="1" t="s">
        <v>209</v>
      </c>
      <c r="F1284" s="1" t="s">
        <v>1675</v>
      </c>
      <c r="G1284" s="1" t="s">
        <v>215</v>
      </c>
      <c r="H1284" s="1">
        <v>5</v>
      </c>
      <c r="I1284" s="1">
        <v>0.37562499999999999</v>
      </c>
      <c r="K1284" s="1" t="s">
        <v>181</v>
      </c>
    </row>
    <row r="1285" spans="1:11" x14ac:dyDescent="0.25">
      <c r="A1285" s="1" t="s">
        <v>4162</v>
      </c>
      <c r="B1285" s="1" t="s">
        <v>4163</v>
      </c>
      <c r="D1285" s="1" t="s">
        <v>4164</v>
      </c>
      <c r="E1285" s="1" t="s">
        <v>209</v>
      </c>
      <c r="F1285" s="1" t="s">
        <v>1675</v>
      </c>
      <c r="G1285" s="1" t="s">
        <v>215</v>
      </c>
      <c r="H1285" s="1">
        <v>5</v>
      </c>
      <c r="I1285" s="1">
        <v>0.37562499999999999</v>
      </c>
      <c r="K1285" s="1" t="s">
        <v>181</v>
      </c>
    </row>
    <row r="1286" spans="1:11" x14ac:dyDescent="0.25">
      <c r="A1286" s="1" t="s">
        <v>4165</v>
      </c>
      <c r="B1286" s="1" t="s">
        <v>4166</v>
      </c>
      <c r="D1286" s="1" t="s">
        <v>4167</v>
      </c>
      <c r="E1286" s="1" t="s">
        <v>209</v>
      </c>
      <c r="F1286" s="1" t="s">
        <v>1675</v>
      </c>
      <c r="G1286" s="1" t="s">
        <v>215</v>
      </c>
      <c r="H1286" s="1">
        <v>5</v>
      </c>
      <c r="I1286" s="1">
        <v>0.37562499999999999</v>
      </c>
      <c r="K1286" s="1" t="s">
        <v>181</v>
      </c>
    </row>
    <row r="1287" spans="1:11" x14ac:dyDescent="0.25">
      <c r="A1287" s="1" t="s">
        <v>4168</v>
      </c>
      <c r="B1287" s="1" t="s">
        <v>4169</v>
      </c>
      <c r="D1287" s="1" t="s">
        <v>4170</v>
      </c>
      <c r="E1287" s="1" t="s">
        <v>209</v>
      </c>
      <c r="F1287" s="1" t="s">
        <v>1675</v>
      </c>
      <c r="G1287" s="1" t="s">
        <v>215</v>
      </c>
      <c r="H1287" s="1">
        <v>5</v>
      </c>
      <c r="I1287" s="1">
        <v>0.37562499999999999</v>
      </c>
      <c r="K1287" s="1" t="s">
        <v>181</v>
      </c>
    </row>
    <row r="1288" spans="1:11" x14ac:dyDescent="0.25">
      <c r="A1288" s="1" t="s">
        <v>4171</v>
      </c>
      <c r="B1288" s="1" t="s">
        <v>4172</v>
      </c>
      <c r="D1288" s="1" t="s">
        <v>4173</v>
      </c>
      <c r="E1288" s="1" t="s">
        <v>209</v>
      </c>
      <c r="F1288" s="1" t="s">
        <v>1675</v>
      </c>
      <c r="G1288" s="1" t="s">
        <v>215</v>
      </c>
      <c r="H1288" s="1">
        <v>5</v>
      </c>
      <c r="I1288" s="1">
        <v>0.37562499999999999</v>
      </c>
      <c r="K1288" s="1" t="s">
        <v>181</v>
      </c>
    </row>
    <row r="1289" spans="1:11" x14ac:dyDescent="0.25">
      <c r="A1289" s="1" t="s">
        <v>4174</v>
      </c>
      <c r="B1289" s="1" t="s">
        <v>4175</v>
      </c>
      <c r="D1289" s="1" t="s">
        <v>4176</v>
      </c>
      <c r="E1289" s="1" t="s">
        <v>209</v>
      </c>
      <c r="F1289" s="1" t="s">
        <v>1675</v>
      </c>
      <c r="G1289" s="1" t="s">
        <v>215</v>
      </c>
      <c r="H1289" s="1">
        <v>5</v>
      </c>
      <c r="I1289" s="1">
        <v>0.37562499999999999</v>
      </c>
      <c r="K1289" s="1" t="s">
        <v>181</v>
      </c>
    </row>
    <row r="1290" spans="1:11" x14ac:dyDescent="0.25">
      <c r="A1290" s="1" t="s">
        <v>4177</v>
      </c>
      <c r="B1290" s="1" t="s">
        <v>4178</v>
      </c>
      <c r="D1290" s="1" t="s">
        <v>4179</v>
      </c>
      <c r="E1290" s="1" t="s">
        <v>209</v>
      </c>
      <c r="F1290" s="1" t="s">
        <v>1675</v>
      </c>
      <c r="G1290" s="1" t="s">
        <v>215</v>
      </c>
      <c r="H1290" s="1">
        <v>5</v>
      </c>
      <c r="I1290" s="1">
        <v>0.37562499999999999</v>
      </c>
      <c r="K1290" s="1" t="s">
        <v>181</v>
      </c>
    </row>
    <row r="1291" spans="1:11" x14ac:dyDescent="0.25">
      <c r="A1291" s="1" t="s">
        <v>4180</v>
      </c>
      <c r="B1291" s="1" t="s">
        <v>4181</v>
      </c>
      <c r="D1291" s="1" t="s">
        <v>4182</v>
      </c>
      <c r="E1291" s="1" t="s">
        <v>209</v>
      </c>
      <c r="F1291" s="1" t="s">
        <v>1675</v>
      </c>
      <c r="G1291" s="1" t="s">
        <v>215</v>
      </c>
      <c r="H1291" s="1">
        <v>5</v>
      </c>
      <c r="I1291" s="1">
        <v>0.37562499999999999</v>
      </c>
      <c r="K1291" s="1" t="s">
        <v>181</v>
      </c>
    </row>
    <row r="1292" spans="1:11" x14ac:dyDescent="0.25">
      <c r="A1292" s="1" t="s">
        <v>4183</v>
      </c>
      <c r="B1292" s="1" t="s">
        <v>4184</v>
      </c>
      <c r="D1292" s="1" t="s">
        <v>4185</v>
      </c>
      <c r="E1292" s="1" t="s">
        <v>209</v>
      </c>
      <c r="F1292" s="1" t="s">
        <v>1675</v>
      </c>
      <c r="G1292" s="1" t="s">
        <v>215</v>
      </c>
      <c r="H1292" s="1">
        <v>5</v>
      </c>
      <c r="I1292" s="1">
        <v>0.37562499999999999</v>
      </c>
      <c r="K1292" s="1" t="s">
        <v>181</v>
      </c>
    </row>
    <row r="1293" spans="1:11" x14ac:dyDescent="0.25">
      <c r="A1293" s="1" t="s">
        <v>4186</v>
      </c>
      <c r="B1293" s="1" t="s">
        <v>4187</v>
      </c>
      <c r="D1293" s="1" t="s">
        <v>4188</v>
      </c>
      <c r="E1293" s="1" t="s">
        <v>209</v>
      </c>
      <c r="F1293" s="1" t="s">
        <v>1675</v>
      </c>
      <c r="G1293" s="1" t="s">
        <v>215</v>
      </c>
      <c r="H1293" s="1">
        <v>5</v>
      </c>
      <c r="I1293" s="1">
        <v>0.37562499999999999</v>
      </c>
      <c r="K1293" s="1" t="s">
        <v>181</v>
      </c>
    </row>
    <row r="1294" spans="1:11" x14ac:dyDescent="0.25">
      <c r="A1294" s="1" t="s">
        <v>4189</v>
      </c>
      <c r="B1294" s="1" t="s">
        <v>4190</v>
      </c>
      <c r="D1294" s="1" t="s">
        <v>4191</v>
      </c>
      <c r="E1294" s="1" t="s">
        <v>209</v>
      </c>
      <c r="F1294" s="1" t="s">
        <v>1675</v>
      </c>
      <c r="G1294" s="1" t="s">
        <v>215</v>
      </c>
      <c r="H1294" s="1">
        <v>5</v>
      </c>
      <c r="I1294" s="1">
        <v>0.37562499999999999</v>
      </c>
      <c r="K1294" s="1" t="s">
        <v>181</v>
      </c>
    </row>
    <row r="1295" spans="1:11" x14ac:dyDescent="0.25">
      <c r="A1295" s="1" t="s">
        <v>4192</v>
      </c>
      <c r="B1295" s="1" t="s">
        <v>4193</v>
      </c>
      <c r="D1295" s="1" t="s">
        <v>4194</v>
      </c>
      <c r="E1295" s="1" t="s">
        <v>209</v>
      </c>
      <c r="F1295" s="1" t="s">
        <v>1675</v>
      </c>
      <c r="G1295" s="1" t="s">
        <v>215</v>
      </c>
      <c r="H1295" s="1">
        <v>5</v>
      </c>
      <c r="I1295" s="1">
        <v>0.37562499999999999</v>
      </c>
      <c r="K1295" s="1" t="s">
        <v>181</v>
      </c>
    </row>
    <row r="1296" spans="1:11" x14ac:dyDescent="0.25">
      <c r="A1296" s="1" t="s">
        <v>4195</v>
      </c>
      <c r="B1296" s="1" t="s">
        <v>4196</v>
      </c>
      <c r="D1296" s="1" t="s">
        <v>4197</v>
      </c>
      <c r="E1296" s="1" t="s">
        <v>209</v>
      </c>
      <c r="F1296" s="1" t="s">
        <v>1675</v>
      </c>
      <c r="G1296" s="1" t="s">
        <v>215</v>
      </c>
      <c r="H1296" s="1">
        <v>5</v>
      </c>
      <c r="I1296" s="1">
        <v>0.37562499999999999</v>
      </c>
      <c r="K1296" s="1" t="s">
        <v>181</v>
      </c>
    </row>
    <row r="1297" spans="1:11" x14ac:dyDescent="0.25">
      <c r="A1297" s="1" t="s">
        <v>4198</v>
      </c>
      <c r="B1297" s="1" t="s">
        <v>4199</v>
      </c>
      <c r="C1297" s="1" t="s">
        <v>4200</v>
      </c>
      <c r="D1297" s="1" t="s">
        <v>4201</v>
      </c>
      <c r="E1297" s="1" t="s">
        <v>209</v>
      </c>
      <c r="F1297" s="1" t="s">
        <v>1675</v>
      </c>
      <c r="G1297" s="1" t="s">
        <v>215</v>
      </c>
      <c r="H1297" s="1">
        <v>5</v>
      </c>
      <c r="I1297" s="1">
        <v>0.37562499999999999</v>
      </c>
      <c r="K1297" s="1" t="s">
        <v>181</v>
      </c>
    </row>
    <row r="1298" spans="1:11" x14ac:dyDescent="0.25">
      <c r="A1298" s="1" t="s">
        <v>4202</v>
      </c>
      <c r="B1298" s="1" t="s">
        <v>4203</v>
      </c>
      <c r="D1298" s="1" t="s">
        <v>4204</v>
      </c>
      <c r="E1298" s="1" t="s">
        <v>209</v>
      </c>
      <c r="F1298" s="1" t="s">
        <v>1675</v>
      </c>
      <c r="G1298" s="1" t="s">
        <v>215</v>
      </c>
      <c r="H1298" s="1">
        <v>5</v>
      </c>
      <c r="I1298" s="1">
        <v>0.37562499999999999</v>
      </c>
      <c r="K1298" s="1" t="s">
        <v>181</v>
      </c>
    </row>
    <row r="1299" spans="1:11" x14ac:dyDescent="0.25">
      <c r="A1299" s="1" t="s">
        <v>4205</v>
      </c>
      <c r="B1299" s="1" t="s">
        <v>4206</v>
      </c>
      <c r="D1299" s="1" t="s">
        <v>4207</v>
      </c>
      <c r="E1299" s="1" t="s">
        <v>209</v>
      </c>
      <c r="F1299" s="1" t="s">
        <v>1675</v>
      </c>
      <c r="G1299" s="1" t="s">
        <v>215</v>
      </c>
      <c r="H1299" s="1">
        <v>5</v>
      </c>
      <c r="I1299" s="1">
        <v>0.37562499999999999</v>
      </c>
      <c r="K1299" s="1" t="s">
        <v>181</v>
      </c>
    </row>
    <row r="1300" spans="1:11" x14ac:dyDescent="0.25">
      <c r="A1300" s="1" t="s">
        <v>4208</v>
      </c>
      <c r="B1300" s="1" t="s">
        <v>4209</v>
      </c>
      <c r="D1300" s="1" t="s">
        <v>4210</v>
      </c>
      <c r="E1300" s="1" t="s">
        <v>209</v>
      </c>
      <c r="F1300" s="1" t="s">
        <v>1675</v>
      </c>
      <c r="G1300" s="1" t="s">
        <v>215</v>
      </c>
      <c r="H1300" s="1">
        <v>5</v>
      </c>
      <c r="I1300" s="1">
        <v>0.37562499999999999</v>
      </c>
      <c r="K1300" s="1" t="s">
        <v>181</v>
      </c>
    </row>
    <row r="1301" spans="1:11" x14ac:dyDescent="0.25">
      <c r="A1301" s="1" t="s">
        <v>4211</v>
      </c>
      <c r="B1301" s="1" t="s">
        <v>4212</v>
      </c>
      <c r="D1301" s="1" t="s">
        <v>4213</v>
      </c>
      <c r="E1301" s="1" t="s">
        <v>209</v>
      </c>
      <c r="F1301" s="1" t="s">
        <v>1675</v>
      </c>
      <c r="G1301" s="1" t="s">
        <v>215</v>
      </c>
      <c r="H1301" s="1">
        <v>5</v>
      </c>
      <c r="I1301" s="1">
        <v>0.37562499999999999</v>
      </c>
      <c r="K1301" s="1" t="s">
        <v>181</v>
      </c>
    </row>
    <row r="1302" spans="1:11" x14ac:dyDescent="0.25">
      <c r="A1302" s="1" t="s">
        <v>4214</v>
      </c>
      <c r="B1302" s="1" t="s">
        <v>4215</v>
      </c>
      <c r="D1302" s="1" t="s">
        <v>4216</v>
      </c>
      <c r="E1302" s="1" t="s">
        <v>209</v>
      </c>
      <c r="F1302" s="1" t="s">
        <v>1675</v>
      </c>
      <c r="G1302" s="1" t="s">
        <v>215</v>
      </c>
      <c r="H1302" s="1">
        <v>5</v>
      </c>
      <c r="I1302" s="1">
        <v>0.37562499999999999</v>
      </c>
      <c r="K1302" s="1" t="s">
        <v>181</v>
      </c>
    </row>
    <row r="1303" spans="1:11" x14ac:dyDescent="0.25">
      <c r="A1303" s="1" t="s">
        <v>4217</v>
      </c>
      <c r="B1303" s="1" t="s">
        <v>4218</v>
      </c>
      <c r="D1303" s="1" t="s">
        <v>4219</v>
      </c>
      <c r="E1303" s="1" t="s">
        <v>209</v>
      </c>
      <c r="F1303" s="1" t="s">
        <v>1675</v>
      </c>
      <c r="G1303" s="1" t="s">
        <v>215</v>
      </c>
      <c r="H1303" s="1">
        <v>5</v>
      </c>
      <c r="I1303" s="1">
        <v>0.37562499999999999</v>
      </c>
      <c r="K1303" s="1" t="s">
        <v>181</v>
      </c>
    </row>
    <row r="1304" spans="1:11" x14ac:dyDescent="0.25">
      <c r="A1304" s="1" t="s">
        <v>4220</v>
      </c>
      <c r="B1304" s="1" t="s">
        <v>4221</v>
      </c>
      <c r="D1304" s="1" t="s">
        <v>4222</v>
      </c>
      <c r="E1304" s="1" t="s">
        <v>209</v>
      </c>
      <c r="F1304" s="1" t="s">
        <v>1675</v>
      </c>
      <c r="G1304" s="1" t="s">
        <v>215</v>
      </c>
      <c r="H1304" s="1">
        <v>5</v>
      </c>
      <c r="I1304" s="1">
        <v>0.37562499999999999</v>
      </c>
      <c r="K1304" s="1" t="s">
        <v>181</v>
      </c>
    </row>
    <row r="1305" spans="1:11" x14ac:dyDescent="0.25">
      <c r="A1305" s="1" t="s">
        <v>4223</v>
      </c>
      <c r="B1305" s="1" t="s">
        <v>4224</v>
      </c>
      <c r="D1305" s="1" t="s">
        <v>4225</v>
      </c>
      <c r="E1305" s="1" t="s">
        <v>209</v>
      </c>
      <c r="F1305" s="1" t="s">
        <v>1675</v>
      </c>
      <c r="G1305" s="1" t="s">
        <v>215</v>
      </c>
      <c r="H1305" s="1">
        <v>5</v>
      </c>
      <c r="I1305" s="1">
        <v>0.37562499999999999</v>
      </c>
      <c r="K1305" s="1" t="s">
        <v>181</v>
      </c>
    </row>
    <row r="1306" spans="1:11" x14ac:dyDescent="0.25">
      <c r="A1306" s="1" t="s">
        <v>4226</v>
      </c>
      <c r="B1306" s="1" t="s">
        <v>4227</v>
      </c>
      <c r="D1306" s="1" t="s">
        <v>4228</v>
      </c>
      <c r="E1306" s="1" t="s">
        <v>209</v>
      </c>
      <c r="F1306" s="1" t="s">
        <v>1675</v>
      </c>
      <c r="G1306" s="1" t="s">
        <v>215</v>
      </c>
      <c r="H1306" s="1">
        <v>5</v>
      </c>
      <c r="I1306" s="1">
        <v>0.37562499999999999</v>
      </c>
      <c r="K1306" s="1" t="s">
        <v>181</v>
      </c>
    </row>
    <row r="1307" spans="1:11" x14ac:dyDescent="0.25">
      <c r="A1307" s="1" t="s">
        <v>4229</v>
      </c>
      <c r="B1307" s="1" t="s">
        <v>4230</v>
      </c>
      <c r="D1307" s="1" t="s">
        <v>4231</v>
      </c>
      <c r="E1307" s="1" t="s">
        <v>209</v>
      </c>
      <c r="F1307" s="1" t="s">
        <v>1675</v>
      </c>
      <c r="G1307" s="1" t="s">
        <v>215</v>
      </c>
      <c r="H1307" s="1">
        <v>5</v>
      </c>
      <c r="I1307" s="1">
        <v>0.37562499999999999</v>
      </c>
      <c r="K1307" s="1" t="s">
        <v>181</v>
      </c>
    </row>
    <row r="1308" spans="1:11" x14ac:dyDescent="0.25">
      <c r="A1308" s="1" t="s">
        <v>4232</v>
      </c>
      <c r="B1308" s="1" t="s">
        <v>4233</v>
      </c>
      <c r="D1308" s="1" t="s">
        <v>4234</v>
      </c>
      <c r="E1308" s="1" t="s">
        <v>209</v>
      </c>
      <c r="F1308" s="1" t="s">
        <v>1675</v>
      </c>
      <c r="G1308" s="1" t="s">
        <v>215</v>
      </c>
      <c r="H1308" s="1">
        <v>5</v>
      </c>
      <c r="I1308" s="1">
        <v>0.37562499999999999</v>
      </c>
      <c r="K1308" s="1" t="s">
        <v>181</v>
      </c>
    </row>
    <row r="1309" spans="1:11" x14ac:dyDescent="0.25">
      <c r="A1309" s="1" t="s">
        <v>4235</v>
      </c>
      <c r="B1309" s="1" t="s">
        <v>4236</v>
      </c>
      <c r="D1309" s="1" t="s">
        <v>4237</v>
      </c>
      <c r="E1309" s="1" t="s">
        <v>209</v>
      </c>
      <c r="F1309" s="1" t="s">
        <v>1675</v>
      </c>
      <c r="G1309" s="1" t="s">
        <v>215</v>
      </c>
      <c r="H1309" s="1">
        <v>5</v>
      </c>
      <c r="I1309" s="1">
        <v>0.37562499999999999</v>
      </c>
      <c r="K1309" s="1" t="s">
        <v>181</v>
      </c>
    </row>
    <row r="1310" spans="1:11" x14ac:dyDescent="0.25">
      <c r="A1310" s="1" t="s">
        <v>4238</v>
      </c>
      <c r="B1310" s="1" t="s">
        <v>4239</v>
      </c>
      <c r="D1310" s="1" t="s">
        <v>4240</v>
      </c>
      <c r="E1310" s="1" t="s">
        <v>209</v>
      </c>
      <c r="F1310" s="1" t="s">
        <v>1675</v>
      </c>
      <c r="G1310" s="1" t="s">
        <v>215</v>
      </c>
      <c r="H1310" s="1">
        <v>5</v>
      </c>
      <c r="I1310" s="1">
        <v>0.37562499999999999</v>
      </c>
      <c r="K1310" s="1" t="s">
        <v>181</v>
      </c>
    </row>
    <row r="1311" spans="1:11" x14ac:dyDescent="0.25">
      <c r="A1311" s="1" t="s">
        <v>4241</v>
      </c>
      <c r="B1311" s="1" t="s">
        <v>4242</v>
      </c>
      <c r="D1311" s="1" t="s">
        <v>4243</v>
      </c>
      <c r="E1311" s="1" t="s">
        <v>209</v>
      </c>
      <c r="F1311" s="1" t="s">
        <v>1675</v>
      </c>
      <c r="G1311" s="1" t="s">
        <v>215</v>
      </c>
      <c r="H1311" s="1">
        <v>5</v>
      </c>
      <c r="I1311" s="1">
        <v>0.37562499999999999</v>
      </c>
      <c r="K1311" s="1" t="s">
        <v>181</v>
      </c>
    </row>
    <row r="1312" spans="1:11" x14ac:dyDescent="0.25">
      <c r="A1312" s="1" t="s">
        <v>4244</v>
      </c>
      <c r="B1312" s="1" t="s">
        <v>4245</v>
      </c>
      <c r="D1312" s="1" t="s">
        <v>4246</v>
      </c>
      <c r="E1312" s="1" t="s">
        <v>209</v>
      </c>
      <c r="F1312" s="1" t="s">
        <v>1675</v>
      </c>
      <c r="G1312" s="1" t="s">
        <v>215</v>
      </c>
      <c r="H1312" s="1">
        <v>5</v>
      </c>
      <c r="I1312" s="1">
        <v>0.37562499999999999</v>
      </c>
      <c r="K1312" s="1" t="s">
        <v>181</v>
      </c>
    </row>
    <row r="1313" spans="1:11" x14ac:dyDescent="0.25">
      <c r="A1313" s="1" t="s">
        <v>4247</v>
      </c>
      <c r="B1313" s="1" t="s">
        <v>4248</v>
      </c>
      <c r="D1313" s="1" t="s">
        <v>4249</v>
      </c>
      <c r="E1313" s="1" t="s">
        <v>209</v>
      </c>
      <c r="F1313" s="1" t="s">
        <v>1675</v>
      </c>
      <c r="G1313" s="1" t="s">
        <v>211</v>
      </c>
      <c r="H1313" s="1">
        <v>5</v>
      </c>
      <c r="I1313" s="1">
        <v>0.37562499999999999</v>
      </c>
      <c r="K1313" s="1" t="s">
        <v>181</v>
      </c>
    </row>
    <row r="1314" spans="1:11" x14ac:dyDescent="0.25">
      <c r="A1314" s="1" t="s">
        <v>4250</v>
      </c>
      <c r="B1314" s="1" t="s">
        <v>4251</v>
      </c>
      <c r="D1314" s="1" t="s">
        <v>4252</v>
      </c>
      <c r="E1314" s="1" t="s">
        <v>209</v>
      </c>
      <c r="F1314" s="1" t="s">
        <v>1675</v>
      </c>
      <c r="G1314" s="1" t="s">
        <v>215</v>
      </c>
      <c r="H1314" s="1">
        <v>5</v>
      </c>
      <c r="I1314" s="1">
        <v>0.37562499999999999</v>
      </c>
      <c r="K1314" s="1" t="s">
        <v>181</v>
      </c>
    </row>
    <row r="1315" spans="1:11" x14ac:dyDescent="0.25">
      <c r="A1315" s="1" t="s">
        <v>4253</v>
      </c>
      <c r="B1315" s="1" t="s">
        <v>4254</v>
      </c>
      <c r="D1315" s="1" t="s">
        <v>4255</v>
      </c>
      <c r="E1315" s="1" t="s">
        <v>209</v>
      </c>
      <c r="F1315" s="1" t="s">
        <v>1675</v>
      </c>
      <c r="G1315" s="1" t="s">
        <v>215</v>
      </c>
      <c r="H1315" s="1">
        <v>5</v>
      </c>
      <c r="I1315" s="1">
        <v>0.37562499999999999</v>
      </c>
      <c r="K1315" s="1" t="s">
        <v>181</v>
      </c>
    </row>
    <row r="1316" spans="1:11" x14ac:dyDescent="0.25">
      <c r="A1316" s="1" t="s">
        <v>4256</v>
      </c>
      <c r="B1316" s="1" t="s">
        <v>4257</v>
      </c>
      <c r="D1316" s="1" t="s">
        <v>4258</v>
      </c>
      <c r="E1316" s="1" t="s">
        <v>209</v>
      </c>
      <c r="F1316" s="1" t="s">
        <v>1675</v>
      </c>
      <c r="G1316" s="1" t="s">
        <v>574</v>
      </c>
      <c r="H1316" s="1">
        <v>5</v>
      </c>
      <c r="I1316" s="1">
        <v>0.37562499999999999</v>
      </c>
      <c r="K1316" s="1" t="s">
        <v>181</v>
      </c>
    </row>
    <row r="1317" spans="1:11" x14ac:dyDescent="0.25">
      <c r="A1317" s="1" t="s">
        <v>4259</v>
      </c>
      <c r="B1317" s="1" t="s">
        <v>4260</v>
      </c>
      <c r="D1317" s="1" t="s">
        <v>4261</v>
      </c>
      <c r="E1317" s="1" t="s">
        <v>209</v>
      </c>
      <c r="F1317" s="1" t="s">
        <v>1675</v>
      </c>
      <c r="G1317" s="1" t="s">
        <v>215</v>
      </c>
      <c r="H1317" s="1">
        <v>5</v>
      </c>
      <c r="I1317" s="1">
        <v>0.37562499999999999</v>
      </c>
      <c r="K1317" s="1" t="s">
        <v>181</v>
      </c>
    </row>
    <row r="1318" spans="1:11" x14ac:dyDescent="0.25">
      <c r="A1318" s="1" t="s">
        <v>4262</v>
      </c>
      <c r="B1318" s="1" t="s">
        <v>4263</v>
      </c>
      <c r="D1318" s="1" t="s">
        <v>4264</v>
      </c>
      <c r="E1318" s="1" t="s">
        <v>209</v>
      </c>
      <c r="F1318" s="1" t="s">
        <v>1675</v>
      </c>
      <c r="G1318" s="1" t="s">
        <v>215</v>
      </c>
      <c r="H1318" s="1">
        <v>5</v>
      </c>
      <c r="I1318" s="1">
        <v>0.37562499999999999</v>
      </c>
      <c r="K1318" s="1" t="s">
        <v>181</v>
      </c>
    </row>
    <row r="1319" spans="1:11" x14ac:dyDescent="0.25">
      <c r="A1319" s="1" t="s">
        <v>4265</v>
      </c>
      <c r="B1319" s="1" t="s">
        <v>4266</v>
      </c>
      <c r="D1319" s="1" t="s">
        <v>4267</v>
      </c>
      <c r="E1319" s="1" t="s">
        <v>209</v>
      </c>
      <c r="F1319" s="1" t="s">
        <v>1675</v>
      </c>
      <c r="G1319" s="1" t="s">
        <v>215</v>
      </c>
      <c r="H1319" s="1">
        <v>5</v>
      </c>
      <c r="I1319" s="1">
        <v>0.37562499999999999</v>
      </c>
      <c r="K1319" s="1" t="s">
        <v>181</v>
      </c>
    </row>
    <row r="1320" spans="1:11" x14ac:dyDescent="0.25">
      <c r="A1320" s="1" t="s">
        <v>4268</v>
      </c>
      <c r="B1320" s="1" t="s">
        <v>4269</v>
      </c>
      <c r="D1320" s="1" t="s">
        <v>4270</v>
      </c>
      <c r="E1320" s="1" t="s">
        <v>209</v>
      </c>
      <c r="F1320" s="1" t="s">
        <v>1675</v>
      </c>
      <c r="G1320" s="1" t="s">
        <v>215</v>
      </c>
      <c r="H1320" s="1">
        <v>5</v>
      </c>
      <c r="I1320" s="1">
        <v>0.37562499999999999</v>
      </c>
      <c r="K1320" s="1" t="s">
        <v>181</v>
      </c>
    </row>
    <row r="1321" spans="1:11" x14ac:dyDescent="0.25">
      <c r="A1321" s="1" t="s">
        <v>4271</v>
      </c>
      <c r="B1321" s="1" t="s">
        <v>4272</v>
      </c>
      <c r="D1321" s="1" t="s">
        <v>4273</v>
      </c>
      <c r="E1321" s="1" t="s">
        <v>209</v>
      </c>
      <c r="F1321" s="1" t="s">
        <v>1675</v>
      </c>
      <c r="G1321" s="1" t="s">
        <v>215</v>
      </c>
      <c r="H1321" s="1">
        <v>5</v>
      </c>
      <c r="I1321" s="1">
        <v>0.37562499999999999</v>
      </c>
      <c r="K1321" s="1" t="s">
        <v>181</v>
      </c>
    </row>
    <row r="1322" spans="1:11" x14ac:dyDescent="0.25">
      <c r="A1322" s="1" t="s">
        <v>4274</v>
      </c>
      <c r="B1322" s="1" t="s">
        <v>4275</v>
      </c>
      <c r="D1322" s="1" t="s">
        <v>4276</v>
      </c>
      <c r="E1322" s="1" t="s">
        <v>209</v>
      </c>
      <c r="F1322" s="1" t="s">
        <v>1675</v>
      </c>
      <c r="G1322" s="1" t="s">
        <v>215</v>
      </c>
      <c r="H1322" s="1">
        <v>5</v>
      </c>
      <c r="I1322" s="1">
        <v>0.37562499999999999</v>
      </c>
      <c r="K1322" s="1" t="s">
        <v>181</v>
      </c>
    </row>
    <row r="1323" spans="1:11" x14ac:dyDescent="0.25">
      <c r="A1323" s="1" t="s">
        <v>4277</v>
      </c>
      <c r="B1323" s="1" t="s">
        <v>4278</v>
      </c>
      <c r="D1323" s="1" t="s">
        <v>4279</v>
      </c>
      <c r="E1323" s="1" t="s">
        <v>209</v>
      </c>
      <c r="F1323" s="1" t="s">
        <v>1675</v>
      </c>
      <c r="G1323" s="1" t="s">
        <v>215</v>
      </c>
      <c r="H1323" s="1">
        <v>5</v>
      </c>
      <c r="I1323" s="1">
        <v>0.37562499999999999</v>
      </c>
      <c r="K1323" s="1" t="s">
        <v>181</v>
      </c>
    </row>
    <row r="1324" spans="1:11" x14ac:dyDescent="0.25">
      <c r="A1324" s="1" t="s">
        <v>4280</v>
      </c>
      <c r="B1324" s="1" t="s">
        <v>4281</v>
      </c>
      <c r="D1324" s="1" t="s">
        <v>4282</v>
      </c>
      <c r="E1324" s="1" t="s">
        <v>209</v>
      </c>
      <c r="F1324" s="1" t="s">
        <v>1675</v>
      </c>
      <c r="G1324" s="1" t="s">
        <v>215</v>
      </c>
      <c r="H1324" s="1">
        <v>5</v>
      </c>
      <c r="I1324" s="1">
        <v>0.37562499999999999</v>
      </c>
      <c r="K1324" s="1" t="s">
        <v>181</v>
      </c>
    </row>
    <row r="1325" spans="1:11" x14ac:dyDescent="0.25">
      <c r="A1325" s="1" t="s">
        <v>4283</v>
      </c>
      <c r="B1325" s="1" t="s">
        <v>4284</v>
      </c>
      <c r="D1325" s="1" t="s">
        <v>4285</v>
      </c>
      <c r="E1325" s="1" t="s">
        <v>209</v>
      </c>
      <c r="F1325" s="1" t="s">
        <v>1675</v>
      </c>
      <c r="G1325" s="1" t="s">
        <v>215</v>
      </c>
      <c r="H1325" s="1">
        <v>5</v>
      </c>
      <c r="I1325" s="1">
        <v>0.37562499999999999</v>
      </c>
      <c r="K1325" s="1" t="s">
        <v>181</v>
      </c>
    </row>
    <row r="1326" spans="1:11" x14ac:dyDescent="0.25">
      <c r="A1326" s="1" t="s">
        <v>4286</v>
      </c>
      <c r="B1326" s="1" t="s">
        <v>4287</v>
      </c>
      <c r="D1326" s="1" t="s">
        <v>4288</v>
      </c>
      <c r="E1326" s="1" t="s">
        <v>209</v>
      </c>
      <c r="F1326" s="1" t="s">
        <v>1675</v>
      </c>
      <c r="G1326" s="1" t="s">
        <v>215</v>
      </c>
      <c r="H1326" s="1">
        <v>5</v>
      </c>
      <c r="I1326" s="1">
        <v>0.37562499999999999</v>
      </c>
      <c r="K1326" s="1" t="s">
        <v>181</v>
      </c>
    </row>
    <row r="1327" spans="1:11" x14ac:dyDescent="0.25">
      <c r="A1327" s="1" t="s">
        <v>4289</v>
      </c>
      <c r="B1327" s="1" t="s">
        <v>4290</v>
      </c>
      <c r="D1327" s="1" t="s">
        <v>4291</v>
      </c>
      <c r="E1327" s="1" t="s">
        <v>209</v>
      </c>
      <c r="F1327" s="1" t="s">
        <v>1675</v>
      </c>
      <c r="G1327" s="1" t="s">
        <v>215</v>
      </c>
      <c r="H1327" s="1">
        <v>5</v>
      </c>
      <c r="I1327" s="1">
        <v>0.37562499999999999</v>
      </c>
      <c r="K1327" s="1" t="s">
        <v>181</v>
      </c>
    </row>
    <row r="1328" spans="1:11" x14ac:dyDescent="0.25">
      <c r="A1328" s="1" t="s">
        <v>4292</v>
      </c>
      <c r="B1328" s="1" t="s">
        <v>4293</v>
      </c>
      <c r="D1328" s="1" t="s">
        <v>4294</v>
      </c>
      <c r="E1328" s="1" t="s">
        <v>209</v>
      </c>
      <c r="F1328" s="1" t="s">
        <v>1675</v>
      </c>
      <c r="G1328" s="1" t="s">
        <v>215</v>
      </c>
      <c r="H1328" s="1">
        <v>5</v>
      </c>
      <c r="I1328" s="1">
        <v>0.37562499999999999</v>
      </c>
      <c r="K1328" s="1" t="s">
        <v>181</v>
      </c>
    </row>
    <row r="1329" spans="1:11" x14ac:dyDescent="0.25">
      <c r="A1329" s="1" t="s">
        <v>4295</v>
      </c>
      <c r="B1329" s="1" t="s">
        <v>4296</v>
      </c>
      <c r="D1329" s="1" t="s">
        <v>4297</v>
      </c>
      <c r="E1329" s="1" t="s">
        <v>209</v>
      </c>
      <c r="F1329" s="1" t="s">
        <v>1675</v>
      </c>
      <c r="G1329" s="1" t="s">
        <v>215</v>
      </c>
      <c r="H1329" s="1">
        <v>5</v>
      </c>
      <c r="I1329" s="1">
        <v>0.37562499999999999</v>
      </c>
      <c r="K1329" s="1" t="s">
        <v>181</v>
      </c>
    </row>
    <row r="1330" spans="1:11" x14ac:dyDescent="0.25">
      <c r="A1330" s="1" t="s">
        <v>4298</v>
      </c>
      <c r="B1330" s="1" t="s">
        <v>4299</v>
      </c>
      <c r="D1330" s="1" t="s">
        <v>4300</v>
      </c>
      <c r="E1330" s="1" t="s">
        <v>209</v>
      </c>
      <c r="F1330" s="1" t="s">
        <v>1675</v>
      </c>
      <c r="G1330" s="1" t="s">
        <v>215</v>
      </c>
      <c r="H1330" s="1">
        <v>5</v>
      </c>
      <c r="I1330" s="1">
        <v>0.37562499999999999</v>
      </c>
      <c r="K1330" s="1" t="s">
        <v>181</v>
      </c>
    </row>
    <row r="1331" spans="1:11" x14ac:dyDescent="0.25">
      <c r="A1331" s="1" t="s">
        <v>4301</v>
      </c>
      <c r="B1331" s="1" t="s">
        <v>4302</v>
      </c>
      <c r="D1331" s="1" t="s">
        <v>4303</v>
      </c>
      <c r="E1331" s="1" t="s">
        <v>209</v>
      </c>
      <c r="F1331" s="1" t="s">
        <v>1675</v>
      </c>
      <c r="G1331" s="1" t="s">
        <v>215</v>
      </c>
      <c r="H1331" s="1">
        <v>5</v>
      </c>
      <c r="I1331" s="1">
        <v>0.37562499999999999</v>
      </c>
      <c r="K1331" s="1" t="s">
        <v>181</v>
      </c>
    </row>
    <row r="1332" spans="1:11" x14ac:dyDescent="0.25">
      <c r="A1332" s="1" t="s">
        <v>4304</v>
      </c>
      <c r="B1332" s="1" t="s">
        <v>4305</v>
      </c>
      <c r="D1332" s="1" t="s">
        <v>4306</v>
      </c>
      <c r="E1332" s="1" t="s">
        <v>209</v>
      </c>
      <c r="F1332" s="1" t="s">
        <v>1675</v>
      </c>
      <c r="G1332" s="1" t="s">
        <v>215</v>
      </c>
      <c r="H1332" s="1">
        <v>5</v>
      </c>
      <c r="I1332" s="1">
        <v>0.37562499999999999</v>
      </c>
      <c r="K1332" s="1" t="s">
        <v>181</v>
      </c>
    </row>
    <row r="1333" spans="1:11" x14ac:dyDescent="0.25">
      <c r="A1333" s="1" t="s">
        <v>4307</v>
      </c>
      <c r="B1333" s="1" t="s">
        <v>4308</v>
      </c>
      <c r="C1333" s="1" t="s">
        <v>4309</v>
      </c>
      <c r="D1333" s="1" t="s">
        <v>4310</v>
      </c>
      <c r="E1333" s="1" t="s">
        <v>209</v>
      </c>
      <c r="F1333" s="1" t="s">
        <v>1675</v>
      </c>
      <c r="G1333" s="1" t="s">
        <v>215</v>
      </c>
      <c r="H1333" s="1">
        <v>5</v>
      </c>
      <c r="I1333" s="1">
        <v>0.37562499999999999</v>
      </c>
      <c r="K1333" s="1" t="s">
        <v>181</v>
      </c>
    </row>
    <row r="1334" spans="1:11" x14ac:dyDescent="0.25">
      <c r="A1334" s="1" t="s">
        <v>4311</v>
      </c>
      <c r="B1334" s="1" t="s">
        <v>4312</v>
      </c>
      <c r="C1334" s="1" t="s">
        <v>4313</v>
      </c>
      <c r="D1334" s="1" t="s">
        <v>4314</v>
      </c>
      <c r="E1334" s="1" t="s">
        <v>209</v>
      </c>
      <c r="F1334" s="1" t="s">
        <v>1675</v>
      </c>
      <c r="G1334" s="1" t="s">
        <v>215</v>
      </c>
      <c r="H1334" s="1">
        <v>5</v>
      </c>
      <c r="I1334" s="1">
        <v>0.37562499999999999</v>
      </c>
      <c r="K1334" s="1" t="s">
        <v>181</v>
      </c>
    </row>
    <row r="1335" spans="1:11" x14ac:dyDescent="0.25">
      <c r="A1335" s="1" t="s">
        <v>4315</v>
      </c>
      <c r="B1335" s="1" t="s">
        <v>4316</v>
      </c>
      <c r="D1335" s="1" t="s">
        <v>4317</v>
      </c>
      <c r="E1335" s="1" t="s">
        <v>209</v>
      </c>
      <c r="F1335" s="1" t="s">
        <v>1675</v>
      </c>
      <c r="G1335" s="1" t="s">
        <v>215</v>
      </c>
      <c r="H1335" s="1">
        <v>5</v>
      </c>
      <c r="I1335" s="1">
        <v>0.37562499999999999</v>
      </c>
      <c r="K1335" s="1" t="s">
        <v>181</v>
      </c>
    </row>
    <row r="1336" spans="1:11" x14ac:dyDescent="0.25">
      <c r="A1336" s="1" t="s">
        <v>4318</v>
      </c>
      <c r="B1336" s="1" t="s">
        <v>4319</v>
      </c>
      <c r="D1336" s="1" t="s">
        <v>4320</v>
      </c>
      <c r="E1336" s="1" t="s">
        <v>209</v>
      </c>
      <c r="F1336" s="1" t="s">
        <v>1675</v>
      </c>
      <c r="G1336" s="1" t="s">
        <v>215</v>
      </c>
      <c r="H1336" s="1">
        <v>5</v>
      </c>
      <c r="I1336" s="1">
        <v>0.37562499999999999</v>
      </c>
      <c r="K1336" s="1" t="s">
        <v>181</v>
      </c>
    </row>
    <row r="1337" spans="1:11" x14ac:dyDescent="0.25">
      <c r="A1337" s="1" t="s">
        <v>4321</v>
      </c>
      <c r="B1337" s="1" t="s">
        <v>4322</v>
      </c>
      <c r="D1337" s="1" t="s">
        <v>4323</v>
      </c>
      <c r="E1337" s="1" t="s">
        <v>209</v>
      </c>
      <c r="F1337" s="1" t="s">
        <v>1675</v>
      </c>
      <c r="G1337" s="1" t="s">
        <v>215</v>
      </c>
      <c r="H1337" s="1">
        <v>5</v>
      </c>
      <c r="I1337" s="1">
        <v>0.37562499999999999</v>
      </c>
      <c r="K1337" s="1" t="s">
        <v>181</v>
      </c>
    </row>
    <row r="1338" spans="1:11" x14ac:dyDescent="0.25">
      <c r="A1338" s="1" t="s">
        <v>4324</v>
      </c>
      <c r="B1338" s="1" t="s">
        <v>4325</v>
      </c>
      <c r="D1338" s="1" t="s">
        <v>4326</v>
      </c>
      <c r="E1338" s="1" t="s">
        <v>209</v>
      </c>
      <c r="F1338" s="1" t="s">
        <v>1675</v>
      </c>
      <c r="G1338" s="1" t="s">
        <v>211</v>
      </c>
      <c r="H1338" s="1">
        <v>5</v>
      </c>
      <c r="I1338" s="1">
        <v>0.37562499999999999</v>
      </c>
      <c r="K1338" s="1" t="s">
        <v>181</v>
      </c>
    </row>
    <row r="1339" spans="1:11" x14ac:dyDescent="0.25">
      <c r="A1339" s="1" t="s">
        <v>4327</v>
      </c>
      <c r="B1339" s="1" t="s">
        <v>4328</v>
      </c>
      <c r="D1339" s="1" t="s">
        <v>4329</v>
      </c>
      <c r="E1339" s="1" t="s">
        <v>209</v>
      </c>
      <c r="F1339" s="1" t="s">
        <v>1675</v>
      </c>
      <c r="G1339" s="1" t="s">
        <v>215</v>
      </c>
      <c r="H1339" s="1">
        <v>5</v>
      </c>
      <c r="I1339" s="1">
        <v>0.37562499999999999</v>
      </c>
      <c r="K1339" s="1" t="s">
        <v>181</v>
      </c>
    </row>
    <row r="1340" spans="1:11" x14ac:dyDescent="0.25">
      <c r="A1340" s="1" t="s">
        <v>4330</v>
      </c>
      <c r="B1340" s="1" t="s">
        <v>4331</v>
      </c>
      <c r="D1340" s="1" t="s">
        <v>4332</v>
      </c>
      <c r="E1340" s="1" t="s">
        <v>209</v>
      </c>
      <c r="F1340" s="1" t="s">
        <v>1675</v>
      </c>
      <c r="G1340" s="1" t="s">
        <v>215</v>
      </c>
      <c r="H1340" s="1">
        <v>5</v>
      </c>
      <c r="I1340" s="1">
        <v>0.37562499999999999</v>
      </c>
      <c r="K1340" s="1" t="s">
        <v>181</v>
      </c>
    </row>
    <row r="1341" spans="1:11" x14ac:dyDescent="0.25">
      <c r="A1341" s="1" t="s">
        <v>4333</v>
      </c>
      <c r="B1341" s="1" t="s">
        <v>4334</v>
      </c>
      <c r="D1341" s="1" t="s">
        <v>4335</v>
      </c>
      <c r="E1341" s="1" t="s">
        <v>209</v>
      </c>
      <c r="F1341" s="1" t="s">
        <v>1675</v>
      </c>
      <c r="G1341" s="1" t="s">
        <v>215</v>
      </c>
      <c r="H1341" s="1">
        <v>5</v>
      </c>
      <c r="I1341" s="1">
        <v>0.37562499999999999</v>
      </c>
      <c r="K1341" s="1" t="s">
        <v>181</v>
      </c>
    </row>
    <row r="1342" spans="1:11" x14ac:dyDescent="0.25">
      <c r="A1342" s="1" t="s">
        <v>4336</v>
      </c>
      <c r="B1342" s="1" t="s">
        <v>4337</v>
      </c>
      <c r="D1342" s="1" t="s">
        <v>4338</v>
      </c>
      <c r="E1342" s="1" t="s">
        <v>209</v>
      </c>
      <c r="F1342" s="1" t="s">
        <v>1675</v>
      </c>
      <c r="G1342" s="1" t="s">
        <v>215</v>
      </c>
      <c r="H1342" s="1">
        <v>5</v>
      </c>
      <c r="I1342" s="1">
        <v>0.37562499999999999</v>
      </c>
      <c r="K1342" s="1" t="s">
        <v>181</v>
      </c>
    </row>
    <row r="1343" spans="1:11" x14ac:dyDescent="0.25">
      <c r="A1343" s="1" t="s">
        <v>4339</v>
      </c>
      <c r="B1343" s="1" t="s">
        <v>4340</v>
      </c>
      <c r="D1343" s="1" t="s">
        <v>4341</v>
      </c>
      <c r="E1343" s="1" t="s">
        <v>209</v>
      </c>
      <c r="F1343" s="1" t="s">
        <v>1675</v>
      </c>
      <c r="G1343" s="1" t="s">
        <v>215</v>
      </c>
      <c r="H1343" s="1">
        <v>5</v>
      </c>
      <c r="I1343" s="1">
        <v>0.37562499999999999</v>
      </c>
      <c r="K1343" s="1" t="s">
        <v>181</v>
      </c>
    </row>
    <row r="1344" spans="1:11" x14ac:dyDescent="0.25">
      <c r="A1344" s="1" t="s">
        <v>4342</v>
      </c>
      <c r="B1344" s="1" t="s">
        <v>4343</v>
      </c>
      <c r="D1344" s="1" t="s">
        <v>4344</v>
      </c>
      <c r="E1344" s="1" t="s">
        <v>209</v>
      </c>
      <c r="F1344" s="1" t="s">
        <v>1675</v>
      </c>
      <c r="G1344" s="1" t="s">
        <v>215</v>
      </c>
      <c r="H1344" s="1">
        <v>5</v>
      </c>
      <c r="I1344" s="1">
        <v>0.37562499999999999</v>
      </c>
      <c r="K1344" s="1" t="s">
        <v>181</v>
      </c>
    </row>
    <row r="1345" spans="1:11" x14ac:dyDescent="0.25">
      <c r="A1345" s="1" t="s">
        <v>4345</v>
      </c>
      <c r="B1345" s="1" t="s">
        <v>4346</v>
      </c>
      <c r="D1345" s="1" t="s">
        <v>4347</v>
      </c>
      <c r="E1345" s="1" t="s">
        <v>209</v>
      </c>
      <c r="F1345" s="1" t="s">
        <v>1675</v>
      </c>
      <c r="G1345" s="1" t="s">
        <v>215</v>
      </c>
      <c r="H1345" s="1">
        <v>5</v>
      </c>
      <c r="I1345" s="1">
        <v>0.37562499999999999</v>
      </c>
      <c r="K1345" s="1" t="s">
        <v>181</v>
      </c>
    </row>
    <row r="1346" spans="1:11" x14ac:dyDescent="0.25">
      <c r="A1346" s="1" t="s">
        <v>4348</v>
      </c>
      <c r="B1346" s="1" t="s">
        <v>4349</v>
      </c>
      <c r="D1346" s="1" t="s">
        <v>4350</v>
      </c>
      <c r="E1346" s="1" t="s">
        <v>209</v>
      </c>
      <c r="F1346" s="1" t="s">
        <v>1675</v>
      </c>
      <c r="G1346" s="1" t="s">
        <v>215</v>
      </c>
      <c r="H1346" s="1">
        <v>5</v>
      </c>
      <c r="I1346" s="1">
        <v>0.37562499999999999</v>
      </c>
      <c r="K1346" s="1" t="s">
        <v>181</v>
      </c>
    </row>
    <row r="1347" spans="1:11" x14ac:dyDescent="0.25">
      <c r="A1347" s="1" t="s">
        <v>4351</v>
      </c>
      <c r="B1347" s="1" t="s">
        <v>4352</v>
      </c>
      <c r="D1347" s="1" t="s">
        <v>4353</v>
      </c>
      <c r="E1347" s="1" t="s">
        <v>209</v>
      </c>
      <c r="F1347" s="1" t="s">
        <v>1675</v>
      </c>
      <c r="G1347" s="1" t="s">
        <v>215</v>
      </c>
      <c r="H1347" s="1">
        <v>5</v>
      </c>
      <c r="I1347" s="1">
        <v>0.37562499999999999</v>
      </c>
      <c r="K1347" s="1" t="s">
        <v>181</v>
      </c>
    </row>
    <row r="1348" spans="1:11" x14ac:dyDescent="0.25">
      <c r="A1348" s="1" t="s">
        <v>4354</v>
      </c>
      <c r="B1348" s="1" t="s">
        <v>4355</v>
      </c>
      <c r="D1348" s="1" t="s">
        <v>4356</v>
      </c>
      <c r="E1348" s="1" t="s">
        <v>209</v>
      </c>
      <c r="F1348" s="1" t="s">
        <v>1675</v>
      </c>
      <c r="G1348" s="1" t="s">
        <v>215</v>
      </c>
      <c r="H1348" s="1">
        <v>5</v>
      </c>
      <c r="I1348" s="1">
        <v>0.37562499999999999</v>
      </c>
      <c r="K1348" s="1" t="s">
        <v>181</v>
      </c>
    </row>
    <row r="1349" spans="1:11" x14ac:dyDescent="0.25">
      <c r="A1349" s="1" t="s">
        <v>4357</v>
      </c>
      <c r="B1349" s="1" t="s">
        <v>4358</v>
      </c>
      <c r="D1349" s="1" t="s">
        <v>4359</v>
      </c>
      <c r="E1349" s="1" t="s">
        <v>209</v>
      </c>
      <c r="F1349" s="1" t="s">
        <v>1675</v>
      </c>
      <c r="G1349" s="1" t="s">
        <v>215</v>
      </c>
      <c r="H1349" s="1">
        <v>5</v>
      </c>
      <c r="I1349" s="1">
        <v>0.37562499999999999</v>
      </c>
      <c r="K1349" s="1" t="s">
        <v>181</v>
      </c>
    </row>
    <row r="1350" spans="1:11" x14ac:dyDescent="0.25">
      <c r="A1350" s="1" t="s">
        <v>4360</v>
      </c>
      <c r="B1350" s="1" t="s">
        <v>4361</v>
      </c>
      <c r="D1350" s="1" t="s">
        <v>4362</v>
      </c>
      <c r="E1350" s="1" t="s">
        <v>209</v>
      </c>
      <c r="F1350" s="1" t="s">
        <v>1675</v>
      </c>
      <c r="G1350" s="1" t="s">
        <v>215</v>
      </c>
      <c r="H1350" s="1">
        <v>5</v>
      </c>
      <c r="I1350" s="1">
        <v>0.37562499999999999</v>
      </c>
      <c r="K1350" s="1" t="s">
        <v>181</v>
      </c>
    </row>
    <row r="1351" spans="1:11" x14ac:dyDescent="0.25">
      <c r="A1351" s="1" t="s">
        <v>4363</v>
      </c>
      <c r="B1351" s="1" t="s">
        <v>4364</v>
      </c>
      <c r="D1351" s="1" t="s">
        <v>4365</v>
      </c>
      <c r="E1351" s="1" t="s">
        <v>209</v>
      </c>
      <c r="F1351" s="1" t="s">
        <v>1675</v>
      </c>
      <c r="G1351" s="1" t="s">
        <v>215</v>
      </c>
      <c r="H1351" s="1">
        <v>5</v>
      </c>
      <c r="I1351" s="1">
        <v>0.37562499999999999</v>
      </c>
      <c r="K1351" s="1" t="s">
        <v>181</v>
      </c>
    </row>
    <row r="1352" spans="1:11" x14ac:dyDescent="0.25">
      <c r="A1352" s="1" t="s">
        <v>4366</v>
      </c>
      <c r="B1352" s="1" t="s">
        <v>4367</v>
      </c>
      <c r="D1352" s="1" t="s">
        <v>4368</v>
      </c>
      <c r="E1352" s="1" t="s">
        <v>209</v>
      </c>
      <c r="F1352" s="1" t="s">
        <v>1675</v>
      </c>
      <c r="G1352" s="1" t="s">
        <v>215</v>
      </c>
      <c r="H1352" s="1">
        <v>5</v>
      </c>
      <c r="I1352" s="1">
        <v>0.37562499999999999</v>
      </c>
      <c r="K1352" s="1" t="s">
        <v>181</v>
      </c>
    </row>
    <row r="1353" spans="1:11" x14ac:dyDescent="0.25">
      <c r="A1353" s="1" t="s">
        <v>4369</v>
      </c>
      <c r="B1353" s="1" t="s">
        <v>4370</v>
      </c>
      <c r="D1353" s="1" t="s">
        <v>4371</v>
      </c>
      <c r="E1353" s="1" t="s">
        <v>209</v>
      </c>
      <c r="F1353" s="1" t="s">
        <v>1675</v>
      </c>
      <c r="G1353" s="1" t="s">
        <v>215</v>
      </c>
      <c r="H1353" s="1">
        <v>5</v>
      </c>
      <c r="I1353" s="1">
        <v>0.37562499999999999</v>
      </c>
      <c r="K1353" s="1" t="s">
        <v>181</v>
      </c>
    </row>
    <row r="1354" spans="1:11" x14ac:dyDescent="0.25">
      <c r="A1354" s="1" t="s">
        <v>4372</v>
      </c>
      <c r="B1354" s="1" t="s">
        <v>1379</v>
      </c>
      <c r="D1354" s="1" t="s">
        <v>4373</v>
      </c>
      <c r="E1354" s="1" t="s">
        <v>209</v>
      </c>
      <c r="F1354" s="1" t="s">
        <v>1675</v>
      </c>
      <c r="G1354" s="1" t="s">
        <v>215</v>
      </c>
      <c r="H1354" s="1">
        <v>5</v>
      </c>
      <c r="I1354" s="1">
        <v>0.37562499999999999</v>
      </c>
      <c r="K1354" s="1" t="s">
        <v>181</v>
      </c>
    </row>
    <row r="1355" spans="1:11" x14ac:dyDescent="0.25">
      <c r="A1355" s="1" t="s">
        <v>4374</v>
      </c>
      <c r="B1355" s="1" t="s">
        <v>1379</v>
      </c>
      <c r="D1355" s="1" t="s">
        <v>4375</v>
      </c>
      <c r="E1355" s="1" t="s">
        <v>209</v>
      </c>
      <c r="F1355" s="1" t="s">
        <v>1675</v>
      </c>
      <c r="G1355" s="1" t="s">
        <v>215</v>
      </c>
      <c r="H1355" s="1">
        <v>5</v>
      </c>
      <c r="I1355" s="1">
        <v>0.37562499999999999</v>
      </c>
      <c r="K1355" s="1" t="s">
        <v>181</v>
      </c>
    </row>
    <row r="1356" spans="1:11" x14ac:dyDescent="0.25">
      <c r="A1356" s="1" t="s">
        <v>4376</v>
      </c>
      <c r="B1356" s="1" t="s">
        <v>1379</v>
      </c>
      <c r="D1356" s="1" t="s">
        <v>4377</v>
      </c>
      <c r="E1356" s="1" t="s">
        <v>209</v>
      </c>
      <c r="F1356" s="1" t="s">
        <v>1675</v>
      </c>
      <c r="G1356" s="1" t="s">
        <v>215</v>
      </c>
      <c r="H1356" s="1">
        <v>5</v>
      </c>
      <c r="I1356" s="1">
        <v>0.37562499999999999</v>
      </c>
      <c r="K1356" s="1" t="s">
        <v>181</v>
      </c>
    </row>
    <row r="1357" spans="1:11" x14ac:dyDescent="0.25">
      <c r="A1357" s="1" t="s">
        <v>4378</v>
      </c>
      <c r="B1357" s="1" t="s">
        <v>1379</v>
      </c>
      <c r="D1357" s="1" t="s">
        <v>4379</v>
      </c>
      <c r="E1357" s="1" t="s">
        <v>209</v>
      </c>
      <c r="F1357" s="1" t="s">
        <v>1675</v>
      </c>
      <c r="G1357" s="1" t="s">
        <v>215</v>
      </c>
      <c r="H1357" s="1">
        <v>5</v>
      </c>
      <c r="I1357" s="1">
        <v>0.37562499999999999</v>
      </c>
      <c r="K1357" s="1" t="s">
        <v>181</v>
      </c>
    </row>
    <row r="1358" spans="1:11" x14ac:dyDescent="0.25">
      <c r="A1358" s="1" t="s">
        <v>4380</v>
      </c>
      <c r="B1358" s="1" t="s">
        <v>1379</v>
      </c>
      <c r="D1358" s="1" t="s">
        <v>4381</v>
      </c>
      <c r="E1358" s="1" t="s">
        <v>209</v>
      </c>
      <c r="F1358" s="1" t="s">
        <v>1675</v>
      </c>
      <c r="G1358" s="1" t="s">
        <v>215</v>
      </c>
      <c r="H1358" s="1">
        <v>5</v>
      </c>
      <c r="I1358" s="1">
        <v>0.37562499999999999</v>
      </c>
      <c r="K1358" s="1" t="s">
        <v>181</v>
      </c>
    </row>
    <row r="1359" spans="1:11" x14ac:dyDescent="0.25">
      <c r="A1359" s="1" t="s">
        <v>4382</v>
      </c>
      <c r="B1359" s="1" t="s">
        <v>4383</v>
      </c>
      <c r="D1359" s="1" t="s">
        <v>4384</v>
      </c>
      <c r="E1359" s="1" t="s">
        <v>209</v>
      </c>
      <c r="F1359" s="1" t="s">
        <v>1675</v>
      </c>
      <c r="G1359" s="1" t="s">
        <v>211</v>
      </c>
      <c r="H1359" s="1">
        <v>5</v>
      </c>
      <c r="I1359" s="1">
        <v>0.37562499999999999</v>
      </c>
      <c r="K1359" s="1" t="s">
        <v>181</v>
      </c>
    </row>
    <row r="1360" spans="1:11" x14ac:dyDescent="0.25">
      <c r="A1360" s="1" t="s">
        <v>4385</v>
      </c>
      <c r="B1360" s="1" t="s">
        <v>4386</v>
      </c>
      <c r="D1360" s="1" t="s">
        <v>4387</v>
      </c>
      <c r="E1360" s="1" t="s">
        <v>209</v>
      </c>
      <c r="F1360" s="1" t="s">
        <v>1675</v>
      </c>
      <c r="G1360" s="1" t="s">
        <v>574</v>
      </c>
      <c r="H1360" s="1">
        <v>5</v>
      </c>
      <c r="I1360" s="1">
        <v>0.37562499999999999</v>
      </c>
      <c r="K1360" s="1" t="s">
        <v>181</v>
      </c>
    </row>
    <row r="1361" spans="1:11" x14ac:dyDescent="0.25">
      <c r="A1361" s="1" t="s">
        <v>4388</v>
      </c>
      <c r="B1361" s="1" t="s">
        <v>4389</v>
      </c>
      <c r="D1361" s="1" t="s">
        <v>4390</v>
      </c>
      <c r="E1361" s="1" t="s">
        <v>209</v>
      </c>
      <c r="F1361" s="1" t="s">
        <v>1675</v>
      </c>
      <c r="G1361" s="1" t="s">
        <v>215</v>
      </c>
      <c r="H1361" s="1">
        <v>5</v>
      </c>
      <c r="I1361" s="1">
        <v>0.37562499999999999</v>
      </c>
      <c r="K1361" s="1" t="s">
        <v>181</v>
      </c>
    </row>
    <row r="1362" spans="1:11" x14ac:dyDescent="0.25">
      <c r="A1362" s="1" t="s">
        <v>4391</v>
      </c>
      <c r="B1362" s="1" t="s">
        <v>4392</v>
      </c>
      <c r="D1362" s="1" t="s">
        <v>4393</v>
      </c>
      <c r="E1362" s="1" t="s">
        <v>209</v>
      </c>
      <c r="F1362" s="1" t="s">
        <v>1675</v>
      </c>
      <c r="G1362" s="1" t="s">
        <v>215</v>
      </c>
      <c r="H1362" s="1">
        <v>5</v>
      </c>
      <c r="I1362" s="1">
        <v>0.37562499999999999</v>
      </c>
      <c r="K1362" s="1" t="s">
        <v>181</v>
      </c>
    </row>
    <row r="1363" spans="1:11" x14ac:dyDescent="0.25">
      <c r="A1363" s="1" t="s">
        <v>4394</v>
      </c>
      <c r="B1363" s="1" t="s">
        <v>4395</v>
      </c>
      <c r="D1363" s="1" t="s">
        <v>4396</v>
      </c>
      <c r="E1363" s="1" t="s">
        <v>209</v>
      </c>
      <c r="F1363" s="1" t="s">
        <v>1675</v>
      </c>
      <c r="G1363" s="1" t="s">
        <v>215</v>
      </c>
      <c r="H1363" s="1">
        <v>5</v>
      </c>
      <c r="I1363" s="1">
        <v>0.37562499999999999</v>
      </c>
      <c r="K1363" s="1" t="s">
        <v>181</v>
      </c>
    </row>
    <row r="1364" spans="1:11" x14ac:dyDescent="0.25">
      <c r="A1364" s="1" t="s">
        <v>4397</v>
      </c>
      <c r="B1364" s="1" t="s">
        <v>4398</v>
      </c>
      <c r="D1364" s="1" t="s">
        <v>4399</v>
      </c>
      <c r="E1364" s="1" t="s">
        <v>209</v>
      </c>
      <c r="F1364" s="1" t="s">
        <v>1675</v>
      </c>
      <c r="G1364" s="1" t="s">
        <v>215</v>
      </c>
      <c r="H1364" s="1">
        <v>5</v>
      </c>
      <c r="I1364" s="1">
        <v>0.37562499999999999</v>
      </c>
      <c r="K1364" s="1" t="s">
        <v>181</v>
      </c>
    </row>
    <row r="1365" spans="1:11" x14ac:dyDescent="0.25">
      <c r="A1365" s="1" t="s">
        <v>4400</v>
      </c>
      <c r="B1365" s="1" t="s">
        <v>4401</v>
      </c>
      <c r="D1365" s="1" t="s">
        <v>4402</v>
      </c>
      <c r="E1365" s="1" t="s">
        <v>209</v>
      </c>
      <c r="F1365" s="1" t="s">
        <v>1675</v>
      </c>
      <c r="G1365" s="1" t="s">
        <v>215</v>
      </c>
      <c r="H1365" s="1">
        <v>5</v>
      </c>
      <c r="I1365" s="1">
        <v>0.37562499999999999</v>
      </c>
      <c r="K1365" s="1" t="s">
        <v>181</v>
      </c>
    </row>
    <row r="1366" spans="1:11" x14ac:dyDescent="0.25">
      <c r="A1366" s="1" t="s">
        <v>4403</v>
      </c>
      <c r="B1366" s="1" t="s">
        <v>4404</v>
      </c>
      <c r="D1366" s="1" t="s">
        <v>4405</v>
      </c>
      <c r="E1366" s="1" t="s">
        <v>209</v>
      </c>
      <c r="F1366" s="1" t="s">
        <v>1675</v>
      </c>
      <c r="G1366" s="1" t="s">
        <v>215</v>
      </c>
      <c r="H1366" s="1">
        <v>5</v>
      </c>
      <c r="I1366" s="1">
        <v>0.37562499999999999</v>
      </c>
      <c r="K1366" s="1" t="s">
        <v>181</v>
      </c>
    </row>
    <row r="1367" spans="1:11" x14ac:dyDescent="0.25">
      <c r="A1367" s="1" t="s">
        <v>4406</v>
      </c>
      <c r="B1367" s="1" t="s">
        <v>4407</v>
      </c>
      <c r="D1367" s="1" t="s">
        <v>4408</v>
      </c>
      <c r="E1367" s="1" t="s">
        <v>209</v>
      </c>
      <c r="F1367" s="1" t="s">
        <v>1675</v>
      </c>
      <c r="G1367" s="1" t="s">
        <v>215</v>
      </c>
      <c r="H1367" s="1">
        <v>5</v>
      </c>
      <c r="I1367" s="1">
        <v>0.37562499999999999</v>
      </c>
      <c r="K1367" s="1" t="s">
        <v>181</v>
      </c>
    </row>
    <row r="1368" spans="1:11" x14ac:dyDescent="0.25">
      <c r="A1368" s="1" t="s">
        <v>4409</v>
      </c>
      <c r="B1368" s="1" t="s">
        <v>4410</v>
      </c>
      <c r="D1368" s="1" t="s">
        <v>4411</v>
      </c>
      <c r="E1368" s="1" t="s">
        <v>209</v>
      </c>
      <c r="F1368" s="1" t="s">
        <v>1675</v>
      </c>
      <c r="G1368" s="1" t="s">
        <v>215</v>
      </c>
      <c r="H1368" s="1">
        <v>5</v>
      </c>
      <c r="I1368" s="1">
        <v>0.37562499999999999</v>
      </c>
      <c r="K1368" s="1" t="s">
        <v>181</v>
      </c>
    </row>
    <row r="1369" spans="1:11" x14ac:dyDescent="0.25">
      <c r="A1369" s="1" t="s">
        <v>4412</v>
      </c>
      <c r="B1369" s="1" t="s">
        <v>4413</v>
      </c>
      <c r="D1369" s="1" t="s">
        <v>4414</v>
      </c>
      <c r="E1369" s="1" t="s">
        <v>209</v>
      </c>
      <c r="F1369" s="1" t="s">
        <v>1675</v>
      </c>
      <c r="G1369" s="1" t="s">
        <v>215</v>
      </c>
      <c r="H1369" s="1">
        <v>5</v>
      </c>
      <c r="I1369" s="1">
        <v>0.37562499999999999</v>
      </c>
      <c r="K1369" s="1" t="s">
        <v>181</v>
      </c>
    </row>
    <row r="1370" spans="1:11" x14ac:dyDescent="0.25">
      <c r="A1370" s="1" t="s">
        <v>4415</v>
      </c>
      <c r="B1370" s="1" t="s">
        <v>4416</v>
      </c>
      <c r="D1370" s="1" t="s">
        <v>4417</v>
      </c>
      <c r="E1370" s="1" t="s">
        <v>209</v>
      </c>
      <c r="F1370" s="1" t="s">
        <v>1675</v>
      </c>
      <c r="G1370" s="1" t="s">
        <v>215</v>
      </c>
      <c r="H1370" s="1">
        <v>5</v>
      </c>
      <c r="I1370" s="1">
        <v>0.37562499999999999</v>
      </c>
      <c r="K1370" s="1" t="s">
        <v>181</v>
      </c>
    </row>
    <row r="1371" spans="1:11" x14ac:dyDescent="0.25">
      <c r="A1371" s="1" t="s">
        <v>4418</v>
      </c>
      <c r="B1371" s="1" t="s">
        <v>4419</v>
      </c>
      <c r="D1371" s="1" t="s">
        <v>4420</v>
      </c>
      <c r="E1371" s="1" t="s">
        <v>209</v>
      </c>
      <c r="F1371" s="1" t="s">
        <v>1675</v>
      </c>
      <c r="G1371" s="1" t="s">
        <v>215</v>
      </c>
      <c r="H1371" s="1">
        <v>5</v>
      </c>
      <c r="I1371" s="1">
        <v>0.37562499999999999</v>
      </c>
      <c r="K1371" s="1" t="s">
        <v>181</v>
      </c>
    </row>
    <row r="1372" spans="1:11" x14ac:dyDescent="0.25">
      <c r="A1372" s="1" t="s">
        <v>4421</v>
      </c>
      <c r="B1372" s="1" t="s">
        <v>4422</v>
      </c>
      <c r="D1372" s="1" t="s">
        <v>4423</v>
      </c>
      <c r="E1372" s="1" t="s">
        <v>209</v>
      </c>
      <c r="F1372" s="1" t="s">
        <v>1675</v>
      </c>
      <c r="G1372" s="1" t="s">
        <v>215</v>
      </c>
      <c r="H1372" s="1">
        <v>5</v>
      </c>
      <c r="I1372" s="1">
        <v>0.37562499999999999</v>
      </c>
      <c r="K1372" s="1" t="s">
        <v>181</v>
      </c>
    </row>
    <row r="1373" spans="1:11" x14ac:dyDescent="0.25">
      <c r="A1373" s="1" t="s">
        <v>4424</v>
      </c>
      <c r="B1373" s="1" t="s">
        <v>4425</v>
      </c>
      <c r="D1373" s="1" t="s">
        <v>4426</v>
      </c>
      <c r="E1373" s="1" t="s">
        <v>209</v>
      </c>
      <c r="F1373" s="1" t="s">
        <v>1675</v>
      </c>
      <c r="G1373" s="1" t="s">
        <v>215</v>
      </c>
      <c r="H1373" s="1">
        <v>5</v>
      </c>
      <c r="I1373" s="1">
        <v>0.37562499999999999</v>
      </c>
      <c r="K1373" s="1" t="s">
        <v>181</v>
      </c>
    </row>
    <row r="1374" spans="1:11" x14ac:dyDescent="0.25">
      <c r="A1374" s="1" t="s">
        <v>4427</v>
      </c>
      <c r="B1374" s="1" t="s">
        <v>4428</v>
      </c>
      <c r="D1374" s="1" t="s">
        <v>4429</v>
      </c>
      <c r="E1374" s="1" t="s">
        <v>209</v>
      </c>
      <c r="F1374" s="1" t="s">
        <v>1675</v>
      </c>
      <c r="G1374" s="1" t="s">
        <v>215</v>
      </c>
      <c r="H1374" s="1">
        <v>5</v>
      </c>
      <c r="I1374" s="1">
        <v>0.37562499999999999</v>
      </c>
      <c r="K1374" s="1" t="s">
        <v>181</v>
      </c>
    </row>
    <row r="1375" spans="1:11" x14ac:dyDescent="0.25">
      <c r="A1375" s="1" t="s">
        <v>4430</v>
      </c>
      <c r="B1375" s="1" t="s">
        <v>4431</v>
      </c>
      <c r="D1375" s="1" t="s">
        <v>4432</v>
      </c>
      <c r="E1375" s="1" t="s">
        <v>209</v>
      </c>
      <c r="F1375" s="1" t="s">
        <v>1675</v>
      </c>
      <c r="G1375" s="1" t="s">
        <v>215</v>
      </c>
      <c r="H1375" s="1">
        <v>5</v>
      </c>
      <c r="I1375" s="1">
        <v>0.37562499999999999</v>
      </c>
      <c r="K1375" s="1" t="s">
        <v>181</v>
      </c>
    </row>
    <row r="1376" spans="1:11" x14ac:dyDescent="0.25">
      <c r="A1376" s="1" t="s">
        <v>4433</v>
      </c>
      <c r="B1376" s="1" t="s">
        <v>4434</v>
      </c>
      <c r="D1376" s="1" t="s">
        <v>4435</v>
      </c>
      <c r="E1376" s="1" t="s">
        <v>209</v>
      </c>
      <c r="F1376" s="1" t="s">
        <v>1675</v>
      </c>
      <c r="G1376" s="1" t="s">
        <v>215</v>
      </c>
      <c r="H1376" s="1">
        <v>5</v>
      </c>
      <c r="I1376" s="1">
        <v>0.37562499999999999</v>
      </c>
      <c r="K1376" s="1" t="s">
        <v>181</v>
      </c>
    </row>
    <row r="1377" spans="1:11" x14ac:dyDescent="0.25">
      <c r="A1377" s="1" t="s">
        <v>4436</v>
      </c>
      <c r="B1377" s="1" t="s">
        <v>4437</v>
      </c>
      <c r="D1377" s="1" t="s">
        <v>4438</v>
      </c>
      <c r="E1377" s="1" t="s">
        <v>209</v>
      </c>
      <c r="F1377" s="1" t="s">
        <v>1675</v>
      </c>
      <c r="G1377" s="1" t="s">
        <v>215</v>
      </c>
      <c r="H1377" s="1">
        <v>5</v>
      </c>
      <c r="I1377" s="1">
        <v>0.37562499999999999</v>
      </c>
      <c r="K1377" s="1" t="s">
        <v>181</v>
      </c>
    </row>
    <row r="1378" spans="1:11" x14ac:dyDescent="0.25">
      <c r="A1378" s="1" t="s">
        <v>4439</v>
      </c>
      <c r="B1378" s="1" t="s">
        <v>4440</v>
      </c>
      <c r="D1378" s="1" t="s">
        <v>4441</v>
      </c>
      <c r="E1378" s="1" t="s">
        <v>209</v>
      </c>
      <c r="F1378" s="1" t="s">
        <v>1675</v>
      </c>
      <c r="G1378" s="1" t="s">
        <v>215</v>
      </c>
      <c r="H1378" s="1">
        <v>5</v>
      </c>
      <c r="I1378" s="1">
        <v>0.37562499999999999</v>
      </c>
      <c r="K1378" s="1" t="s">
        <v>181</v>
      </c>
    </row>
    <row r="1379" spans="1:11" x14ac:dyDescent="0.25">
      <c r="A1379" s="1" t="s">
        <v>4442</v>
      </c>
      <c r="B1379" s="1" t="s">
        <v>4443</v>
      </c>
      <c r="D1379" s="1" t="s">
        <v>4444</v>
      </c>
      <c r="E1379" s="1" t="s">
        <v>209</v>
      </c>
      <c r="F1379" s="1" t="s">
        <v>1675</v>
      </c>
      <c r="G1379" s="1" t="s">
        <v>215</v>
      </c>
      <c r="H1379" s="1">
        <v>5</v>
      </c>
      <c r="I1379" s="1">
        <v>0.37562499999999999</v>
      </c>
      <c r="K1379" s="1" t="s">
        <v>181</v>
      </c>
    </row>
    <row r="1380" spans="1:11" x14ac:dyDescent="0.25">
      <c r="A1380" s="1" t="s">
        <v>4445</v>
      </c>
      <c r="B1380" s="1" t="s">
        <v>4446</v>
      </c>
      <c r="D1380" s="1" t="s">
        <v>4447</v>
      </c>
      <c r="E1380" s="1" t="s">
        <v>209</v>
      </c>
      <c r="F1380" s="1" t="s">
        <v>1675</v>
      </c>
      <c r="G1380" s="1" t="s">
        <v>211</v>
      </c>
      <c r="H1380" s="1">
        <v>5</v>
      </c>
      <c r="I1380" s="1">
        <v>0.37562499999999999</v>
      </c>
      <c r="K1380" s="1" t="s">
        <v>181</v>
      </c>
    </row>
    <row r="1381" spans="1:11" x14ac:dyDescent="0.25">
      <c r="A1381" s="1" t="s">
        <v>4448</v>
      </c>
      <c r="B1381" s="1" t="s">
        <v>4449</v>
      </c>
      <c r="D1381" s="1" t="s">
        <v>4450</v>
      </c>
      <c r="E1381" s="1" t="s">
        <v>209</v>
      </c>
      <c r="F1381" s="1" t="s">
        <v>1675</v>
      </c>
      <c r="G1381" s="1" t="s">
        <v>215</v>
      </c>
      <c r="H1381" s="1">
        <v>5</v>
      </c>
      <c r="I1381" s="1">
        <v>0.37562499999999999</v>
      </c>
      <c r="K1381" s="1" t="s">
        <v>181</v>
      </c>
    </row>
    <row r="1382" spans="1:11" x14ac:dyDescent="0.25">
      <c r="A1382" s="1" t="s">
        <v>4451</v>
      </c>
      <c r="B1382" s="1" t="s">
        <v>4452</v>
      </c>
      <c r="D1382" s="1" t="s">
        <v>4453</v>
      </c>
      <c r="E1382" s="1" t="s">
        <v>209</v>
      </c>
      <c r="F1382" s="1" t="s">
        <v>1675</v>
      </c>
      <c r="G1382" s="1" t="s">
        <v>215</v>
      </c>
      <c r="H1382" s="1">
        <v>5</v>
      </c>
      <c r="I1382" s="1">
        <v>0.37562499999999999</v>
      </c>
      <c r="K1382" s="1" t="s">
        <v>181</v>
      </c>
    </row>
    <row r="1383" spans="1:11" x14ac:dyDescent="0.25">
      <c r="A1383" s="1" t="s">
        <v>4454</v>
      </c>
      <c r="B1383" s="1" t="s">
        <v>4455</v>
      </c>
      <c r="D1383" s="1" t="s">
        <v>4456</v>
      </c>
      <c r="E1383" s="1" t="s">
        <v>209</v>
      </c>
      <c r="F1383" s="1" t="s">
        <v>1675</v>
      </c>
      <c r="G1383" s="1" t="s">
        <v>215</v>
      </c>
      <c r="H1383" s="1">
        <v>5</v>
      </c>
      <c r="I1383" s="1">
        <v>0.37562499999999999</v>
      </c>
      <c r="K1383" s="1" t="s">
        <v>181</v>
      </c>
    </row>
    <row r="1384" spans="1:11" x14ac:dyDescent="0.25">
      <c r="A1384" s="1" t="s">
        <v>4457</v>
      </c>
      <c r="B1384" s="1" t="s">
        <v>4458</v>
      </c>
      <c r="D1384" s="1" t="s">
        <v>4459</v>
      </c>
      <c r="E1384" s="1" t="s">
        <v>209</v>
      </c>
      <c r="F1384" s="1" t="s">
        <v>1675</v>
      </c>
      <c r="G1384" s="1" t="s">
        <v>215</v>
      </c>
      <c r="H1384" s="1">
        <v>5</v>
      </c>
      <c r="I1384" s="1">
        <v>0.37562499999999999</v>
      </c>
      <c r="K1384" s="1" t="s">
        <v>181</v>
      </c>
    </row>
    <row r="1385" spans="1:11" x14ac:dyDescent="0.25">
      <c r="A1385" s="1" t="s">
        <v>4460</v>
      </c>
      <c r="B1385" s="1" t="s">
        <v>4461</v>
      </c>
      <c r="D1385" s="1" t="s">
        <v>4462</v>
      </c>
      <c r="E1385" s="1" t="s">
        <v>209</v>
      </c>
      <c r="F1385" s="1" t="s">
        <v>1675</v>
      </c>
      <c r="G1385" s="1" t="s">
        <v>215</v>
      </c>
      <c r="H1385" s="1">
        <v>5</v>
      </c>
      <c r="I1385" s="1">
        <v>0.37562499999999999</v>
      </c>
      <c r="K1385" s="1" t="s">
        <v>181</v>
      </c>
    </row>
    <row r="1386" spans="1:11" x14ac:dyDescent="0.25">
      <c r="A1386" s="1" t="s">
        <v>4463</v>
      </c>
      <c r="B1386" s="1" t="s">
        <v>4464</v>
      </c>
      <c r="D1386" s="1" t="s">
        <v>4465</v>
      </c>
      <c r="E1386" s="1" t="s">
        <v>209</v>
      </c>
      <c r="F1386" s="1" t="s">
        <v>1675</v>
      </c>
      <c r="G1386" s="1" t="s">
        <v>215</v>
      </c>
      <c r="H1386" s="1">
        <v>5</v>
      </c>
      <c r="I1386" s="1">
        <v>0.37562499999999999</v>
      </c>
      <c r="K1386" s="1" t="s">
        <v>181</v>
      </c>
    </row>
    <row r="1387" spans="1:11" x14ac:dyDescent="0.25">
      <c r="A1387" s="1" t="s">
        <v>4466</v>
      </c>
      <c r="B1387" s="1" t="s">
        <v>4467</v>
      </c>
      <c r="D1387" s="1" t="s">
        <v>4468</v>
      </c>
      <c r="E1387" s="1" t="s">
        <v>209</v>
      </c>
      <c r="F1387" s="1" t="s">
        <v>1675</v>
      </c>
      <c r="G1387" s="1" t="s">
        <v>215</v>
      </c>
      <c r="H1387" s="1">
        <v>5</v>
      </c>
      <c r="I1387" s="1">
        <v>0.37562499999999999</v>
      </c>
      <c r="K1387" s="1" t="s">
        <v>181</v>
      </c>
    </row>
    <row r="1388" spans="1:11" x14ac:dyDescent="0.25">
      <c r="A1388" s="1" t="s">
        <v>4469</v>
      </c>
      <c r="B1388" s="1" t="s">
        <v>4470</v>
      </c>
      <c r="D1388" s="1" t="s">
        <v>4471</v>
      </c>
      <c r="E1388" s="1" t="s">
        <v>209</v>
      </c>
      <c r="F1388" s="1" t="s">
        <v>1675</v>
      </c>
      <c r="G1388" s="1" t="s">
        <v>215</v>
      </c>
      <c r="H1388" s="1">
        <v>5</v>
      </c>
      <c r="I1388" s="1">
        <v>0.37562499999999999</v>
      </c>
      <c r="K1388" s="1" t="s">
        <v>181</v>
      </c>
    </row>
    <row r="1389" spans="1:11" x14ac:dyDescent="0.25">
      <c r="A1389" s="1" t="s">
        <v>4472</v>
      </c>
      <c r="B1389" s="1" t="s">
        <v>4473</v>
      </c>
      <c r="D1389" s="1" t="s">
        <v>4474</v>
      </c>
      <c r="E1389" s="1" t="s">
        <v>209</v>
      </c>
      <c r="F1389" s="1" t="s">
        <v>1675</v>
      </c>
      <c r="G1389" s="1" t="s">
        <v>215</v>
      </c>
      <c r="H1389" s="1">
        <v>5</v>
      </c>
      <c r="I1389" s="1">
        <v>0.37562499999999999</v>
      </c>
      <c r="K1389" s="1" t="s">
        <v>181</v>
      </c>
    </row>
    <row r="1390" spans="1:11" x14ac:dyDescent="0.25">
      <c r="A1390" s="1" t="s">
        <v>4475</v>
      </c>
      <c r="B1390" s="1" t="s">
        <v>4476</v>
      </c>
      <c r="D1390" s="1" t="s">
        <v>4477</v>
      </c>
      <c r="E1390" s="1" t="s">
        <v>209</v>
      </c>
      <c r="F1390" s="1" t="s">
        <v>1675</v>
      </c>
      <c r="G1390" s="1" t="s">
        <v>211</v>
      </c>
      <c r="H1390" s="1">
        <v>5</v>
      </c>
      <c r="I1390" s="1">
        <v>0.37562499999999999</v>
      </c>
      <c r="K1390" s="1" t="s">
        <v>181</v>
      </c>
    </row>
    <row r="1391" spans="1:11" x14ac:dyDescent="0.25">
      <c r="A1391" s="1" t="s">
        <v>4478</v>
      </c>
      <c r="B1391" s="1" t="s">
        <v>4479</v>
      </c>
      <c r="D1391" s="1" t="s">
        <v>4480</v>
      </c>
      <c r="E1391" s="1" t="s">
        <v>209</v>
      </c>
      <c r="F1391" s="1" t="s">
        <v>1675</v>
      </c>
      <c r="G1391" s="1" t="s">
        <v>215</v>
      </c>
      <c r="H1391" s="1">
        <v>5</v>
      </c>
      <c r="I1391" s="1">
        <v>0.37562499999999999</v>
      </c>
      <c r="K1391" s="1" t="s">
        <v>181</v>
      </c>
    </row>
    <row r="1392" spans="1:11" x14ac:dyDescent="0.25">
      <c r="A1392" s="1" t="s">
        <v>4481</v>
      </c>
      <c r="B1392" s="1" t="s">
        <v>4482</v>
      </c>
      <c r="D1392" s="1" t="s">
        <v>4483</v>
      </c>
      <c r="E1392" s="1" t="s">
        <v>209</v>
      </c>
      <c r="F1392" s="1" t="s">
        <v>1675</v>
      </c>
      <c r="G1392" s="1" t="s">
        <v>215</v>
      </c>
      <c r="H1392" s="1">
        <v>5</v>
      </c>
      <c r="I1392" s="1">
        <v>0.37562499999999999</v>
      </c>
      <c r="K1392" s="1" t="s">
        <v>181</v>
      </c>
    </row>
    <row r="1393" spans="1:11" x14ac:dyDescent="0.25">
      <c r="A1393" s="1" t="s">
        <v>4484</v>
      </c>
      <c r="B1393" s="1" t="s">
        <v>4485</v>
      </c>
      <c r="D1393" s="1" t="s">
        <v>4486</v>
      </c>
      <c r="E1393" s="1" t="s">
        <v>209</v>
      </c>
      <c r="F1393" s="1" t="s">
        <v>1675</v>
      </c>
      <c r="G1393" s="1" t="s">
        <v>215</v>
      </c>
      <c r="H1393" s="1">
        <v>5</v>
      </c>
      <c r="I1393" s="1">
        <v>0.37562499999999999</v>
      </c>
      <c r="K1393" s="1" t="s">
        <v>181</v>
      </c>
    </row>
    <row r="1394" spans="1:11" x14ac:dyDescent="0.25">
      <c r="A1394" s="1" t="s">
        <v>4487</v>
      </c>
      <c r="B1394" s="1" t="s">
        <v>4488</v>
      </c>
      <c r="D1394" s="1" t="s">
        <v>4489</v>
      </c>
      <c r="E1394" s="1" t="s">
        <v>209</v>
      </c>
      <c r="F1394" s="1" t="s">
        <v>1675</v>
      </c>
      <c r="G1394" s="1" t="s">
        <v>215</v>
      </c>
      <c r="H1394" s="1">
        <v>5</v>
      </c>
      <c r="I1394" s="1">
        <v>0.37562499999999999</v>
      </c>
      <c r="K1394" s="1" t="s">
        <v>181</v>
      </c>
    </row>
    <row r="1395" spans="1:11" x14ac:dyDescent="0.25">
      <c r="A1395" s="1" t="s">
        <v>4490</v>
      </c>
      <c r="B1395" s="1" t="s">
        <v>4491</v>
      </c>
      <c r="D1395" s="1" t="s">
        <v>4492</v>
      </c>
      <c r="E1395" s="1" t="s">
        <v>209</v>
      </c>
      <c r="F1395" s="1" t="s">
        <v>1675</v>
      </c>
      <c r="G1395" s="1" t="s">
        <v>215</v>
      </c>
      <c r="H1395" s="1">
        <v>5</v>
      </c>
      <c r="I1395" s="1">
        <v>0.37562499999999999</v>
      </c>
      <c r="K1395" s="1" t="s">
        <v>181</v>
      </c>
    </row>
    <row r="1396" spans="1:11" x14ac:dyDescent="0.25">
      <c r="A1396" s="1" t="s">
        <v>4493</v>
      </c>
      <c r="B1396" s="1" t="s">
        <v>4494</v>
      </c>
      <c r="D1396" s="1" t="s">
        <v>4495</v>
      </c>
      <c r="E1396" s="1" t="s">
        <v>209</v>
      </c>
      <c r="F1396" s="1" t="s">
        <v>1675</v>
      </c>
      <c r="G1396" s="1" t="s">
        <v>215</v>
      </c>
      <c r="H1396" s="1">
        <v>5</v>
      </c>
      <c r="I1396" s="1">
        <v>0.37562499999999999</v>
      </c>
      <c r="K1396" s="1" t="s">
        <v>181</v>
      </c>
    </row>
    <row r="1397" spans="1:11" x14ac:dyDescent="0.25">
      <c r="A1397" s="1" t="s">
        <v>4496</v>
      </c>
      <c r="B1397" s="1" t="s">
        <v>4497</v>
      </c>
      <c r="D1397" s="1" t="s">
        <v>4498</v>
      </c>
      <c r="E1397" s="1" t="s">
        <v>209</v>
      </c>
      <c r="F1397" s="1" t="s">
        <v>1675</v>
      </c>
      <c r="G1397" s="1" t="s">
        <v>215</v>
      </c>
      <c r="H1397" s="1">
        <v>5</v>
      </c>
      <c r="I1397" s="1">
        <v>0.37562499999999999</v>
      </c>
      <c r="K1397" s="1" t="s">
        <v>181</v>
      </c>
    </row>
    <row r="1398" spans="1:11" x14ac:dyDescent="0.25">
      <c r="A1398" s="1" t="s">
        <v>4499</v>
      </c>
      <c r="B1398" s="1" t="s">
        <v>4500</v>
      </c>
      <c r="D1398" s="1" t="s">
        <v>4501</v>
      </c>
      <c r="E1398" s="1" t="s">
        <v>209</v>
      </c>
      <c r="F1398" s="1" t="s">
        <v>1675</v>
      </c>
      <c r="G1398" s="1" t="s">
        <v>215</v>
      </c>
      <c r="H1398" s="1">
        <v>5</v>
      </c>
      <c r="I1398" s="1">
        <v>0.37562499999999999</v>
      </c>
      <c r="K1398" s="1" t="s">
        <v>181</v>
      </c>
    </row>
    <row r="1399" spans="1:11" x14ac:dyDescent="0.25">
      <c r="A1399" s="1" t="s">
        <v>4502</v>
      </c>
      <c r="B1399" s="1" t="s">
        <v>4503</v>
      </c>
      <c r="D1399" s="1" t="s">
        <v>4504</v>
      </c>
      <c r="E1399" s="1" t="s">
        <v>209</v>
      </c>
      <c r="F1399" s="1" t="s">
        <v>1675</v>
      </c>
      <c r="G1399" s="1" t="s">
        <v>215</v>
      </c>
      <c r="H1399" s="1">
        <v>5</v>
      </c>
      <c r="I1399" s="1">
        <v>0.37562499999999999</v>
      </c>
      <c r="K1399" s="1" t="s">
        <v>181</v>
      </c>
    </row>
    <row r="1400" spans="1:11" x14ac:dyDescent="0.25">
      <c r="A1400" s="1" t="s">
        <v>4505</v>
      </c>
      <c r="B1400" s="1" t="s">
        <v>4506</v>
      </c>
      <c r="D1400" s="1" t="s">
        <v>4507</v>
      </c>
      <c r="E1400" s="1" t="s">
        <v>209</v>
      </c>
      <c r="F1400" s="1" t="s">
        <v>1675</v>
      </c>
      <c r="G1400" s="1" t="s">
        <v>215</v>
      </c>
      <c r="H1400" s="1">
        <v>5</v>
      </c>
      <c r="I1400" s="1">
        <v>0.37562499999999999</v>
      </c>
      <c r="K1400" s="1" t="s">
        <v>181</v>
      </c>
    </row>
    <row r="1401" spans="1:11" x14ac:dyDescent="0.25">
      <c r="A1401" s="1" t="s">
        <v>4508</v>
      </c>
      <c r="B1401" s="1" t="s">
        <v>4509</v>
      </c>
      <c r="D1401" s="1" t="s">
        <v>4510</v>
      </c>
      <c r="E1401" s="1" t="s">
        <v>209</v>
      </c>
      <c r="F1401" s="1" t="s">
        <v>1675</v>
      </c>
      <c r="G1401" s="1" t="s">
        <v>215</v>
      </c>
      <c r="H1401" s="1">
        <v>5</v>
      </c>
      <c r="I1401" s="1">
        <v>0.37562499999999999</v>
      </c>
      <c r="K1401" s="1" t="s">
        <v>181</v>
      </c>
    </row>
    <row r="1402" spans="1:11" x14ac:dyDescent="0.25">
      <c r="A1402" s="1" t="s">
        <v>4511</v>
      </c>
      <c r="B1402" s="1" t="s">
        <v>4512</v>
      </c>
      <c r="D1402" s="1" t="s">
        <v>4513</v>
      </c>
      <c r="E1402" s="1" t="s">
        <v>209</v>
      </c>
      <c r="F1402" s="1" t="s">
        <v>1675</v>
      </c>
      <c r="G1402" s="1" t="s">
        <v>215</v>
      </c>
      <c r="H1402" s="1">
        <v>5</v>
      </c>
      <c r="I1402" s="1">
        <v>0.37562499999999999</v>
      </c>
      <c r="K1402" s="1" t="s">
        <v>181</v>
      </c>
    </row>
    <row r="1403" spans="1:11" x14ac:dyDescent="0.25">
      <c r="A1403" s="1" t="s">
        <v>4514</v>
      </c>
      <c r="B1403" s="1" t="s">
        <v>4515</v>
      </c>
      <c r="D1403" s="1" t="s">
        <v>4516</v>
      </c>
      <c r="E1403" s="1" t="s">
        <v>209</v>
      </c>
      <c r="F1403" s="1" t="s">
        <v>1675</v>
      </c>
      <c r="G1403" s="1" t="s">
        <v>215</v>
      </c>
      <c r="H1403" s="1">
        <v>5</v>
      </c>
      <c r="I1403" s="1">
        <v>0.37562499999999999</v>
      </c>
      <c r="K1403" s="1" t="s">
        <v>181</v>
      </c>
    </row>
    <row r="1404" spans="1:11" x14ac:dyDescent="0.25">
      <c r="A1404" s="1" t="s">
        <v>4517</v>
      </c>
      <c r="B1404" s="1" t="s">
        <v>4518</v>
      </c>
      <c r="D1404" s="1" t="s">
        <v>4519</v>
      </c>
      <c r="E1404" s="1" t="s">
        <v>209</v>
      </c>
      <c r="F1404" s="1" t="s">
        <v>1675</v>
      </c>
      <c r="G1404" s="1" t="s">
        <v>215</v>
      </c>
      <c r="H1404" s="1">
        <v>5</v>
      </c>
      <c r="I1404" s="1">
        <v>0.37562499999999999</v>
      </c>
      <c r="K1404" s="1" t="s">
        <v>181</v>
      </c>
    </row>
    <row r="1405" spans="1:11" x14ac:dyDescent="0.25">
      <c r="A1405" s="1" t="s">
        <v>4520</v>
      </c>
      <c r="B1405" s="1" t="s">
        <v>4521</v>
      </c>
      <c r="D1405" s="1" t="s">
        <v>4522</v>
      </c>
      <c r="E1405" s="1" t="s">
        <v>209</v>
      </c>
      <c r="F1405" s="1" t="s">
        <v>1675</v>
      </c>
      <c r="G1405" s="1" t="s">
        <v>215</v>
      </c>
      <c r="H1405" s="1">
        <v>5</v>
      </c>
      <c r="I1405" s="1">
        <v>0.37562499999999999</v>
      </c>
      <c r="K1405" s="1" t="s">
        <v>181</v>
      </c>
    </row>
    <row r="1406" spans="1:11" x14ac:dyDescent="0.25">
      <c r="A1406" s="1" t="s">
        <v>4523</v>
      </c>
      <c r="B1406" s="1" t="s">
        <v>4524</v>
      </c>
      <c r="D1406" s="1" t="s">
        <v>4525</v>
      </c>
      <c r="E1406" s="1" t="s">
        <v>209</v>
      </c>
      <c r="F1406" s="1" t="s">
        <v>1675</v>
      </c>
      <c r="G1406" s="1" t="s">
        <v>215</v>
      </c>
      <c r="H1406" s="1">
        <v>5</v>
      </c>
      <c r="I1406" s="1">
        <v>0.37562499999999999</v>
      </c>
      <c r="K1406" s="1" t="s">
        <v>181</v>
      </c>
    </row>
    <row r="1407" spans="1:11" x14ac:dyDescent="0.25">
      <c r="A1407" s="1" t="s">
        <v>4526</v>
      </c>
      <c r="B1407" s="1" t="s">
        <v>4527</v>
      </c>
      <c r="D1407" s="1" t="s">
        <v>4528</v>
      </c>
      <c r="E1407" s="1" t="s">
        <v>209</v>
      </c>
      <c r="F1407" s="1" t="s">
        <v>1675</v>
      </c>
      <c r="G1407" s="1" t="s">
        <v>215</v>
      </c>
      <c r="H1407" s="1">
        <v>5</v>
      </c>
      <c r="I1407" s="1">
        <v>0.37562499999999999</v>
      </c>
      <c r="K1407" s="1" t="s">
        <v>181</v>
      </c>
    </row>
    <row r="1408" spans="1:11" x14ac:dyDescent="0.25">
      <c r="A1408" s="1" t="s">
        <v>4529</v>
      </c>
      <c r="B1408" s="1" t="s">
        <v>4530</v>
      </c>
      <c r="D1408" s="1" t="s">
        <v>4531</v>
      </c>
      <c r="E1408" s="1" t="s">
        <v>209</v>
      </c>
      <c r="F1408" s="1" t="s">
        <v>1675</v>
      </c>
      <c r="G1408" s="1" t="s">
        <v>215</v>
      </c>
      <c r="H1408" s="1">
        <v>5</v>
      </c>
      <c r="I1408" s="1">
        <v>0.37562499999999999</v>
      </c>
      <c r="K1408" s="1" t="s">
        <v>181</v>
      </c>
    </row>
    <row r="1409" spans="1:11" x14ac:dyDescent="0.25">
      <c r="A1409" s="1" t="s">
        <v>4532</v>
      </c>
      <c r="B1409" s="1" t="s">
        <v>4533</v>
      </c>
      <c r="D1409" s="1" t="s">
        <v>4534</v>
      </c>
      <c r="E1409" s="1" t="s">
        <v>209</v>
      </c>
      <c r="F1409" s="1" t="s">
        <v>1675</v>
      </c>
      <c r="G1409" s="1" t="s">
        <v>215</v>
      </c>
      <c r="H1409" s="1">
        <v>5</v>
      </c>
      <c r="I1409" s="1">
        <v>0.37562499999999999</v>
      </c>
      <c r="K1409" s="1" t="s">
        <v>181</v>
      </c>
    </row>
    <row r="1410" spans="1:11" x14ac:dyDescent="0.25">
      <c r="A1410" s="1" t="s">
        <v>4535</v>
      </c>
      <c r="B1410" s="1" t="s">
        <v>4536</v>
      </c>
      <c r="D1410" s="1" t="s">
        <v>4537</v>
      </c>
      <c r="E1410" s="1" t="s">
        <v>209</v>
      </c>
      <c r="F1410" s="1" t="s">
        <v>1675</v>
      </c>
      <c r="G1410" s="1" t="s">
        <v>215</v>
      </c>
      <c r="H1410" s="1">
        <v>5</v>
      </c>
      <c r="I1410" s="1">
        <v>0.37562499999999999</v>
      </c>
      <c r="K1410" s="1" t="s">
        <v>181</v>
      </c>
    </row>
    <row r="1411" spans="1:11" x14ac:dyDescent="0.25">
      <c r="A1411" s="1" t="s">
        <v>4538</v>
      </c>
      <c r="B1411" s="1" t="s">
        <v>1042</v>
      </c>
      <c r="D1411" s="1" t="s">
        <v>4539</v>
      </c>
      <c r="E1411" s="1" t="s">
        <v>209</v>
      </c>
      <c r="F1411" s="1" t="s">
        <v>1675</v>
      </c>
      <c r="G1411" s="1" t="s">
        <v>574</v>
      </c>
      <c r="H1411" s="1">
        <v>5</v>
      </c>
      <c r="I1411" s="1">
        <v>0.37562499999999999</v>
      </c>
      <c r="K1411" s="1" t="s">
        <v>181</v>
      </c>
    </row>
    <row r="1412" spans="1:11" x14ac:dyDescent="0.25">
      <c r="A1412" s="1" t="s">
        <v>4540</v>
      </c>
      <c r="B1412" s="1" t="s">
        <v>4541</v>
      </c>
      <c r="D1412" s="1" t="s">
        <v>4542</v>
      </c>
      <c r="E1412" s="1" t="s">
        <v>209</v>
      </c>
      <c r="F1412" s="1" t="s">
        <v>1675</v>
      </c>
      <c r="G1412" s="1" t="s">
        <v>215</v>
      </c>
      <c r="H1412" s="1">
        <v>5</v>
      </c>
      <c r="I1412" s="1">
        <v>0.37562499999999999</v>
      </c>
      <c r="K1412" s="1" t="s">
        <v>181</v>
      </c>
    </row>
    <row r="1413" spans="1:11" x14ac:dyDescent="0.25">
      <c r="A1413" s="1" t="s">
        <v>4543</v>
      </c>
      <c r="B1413" s="1" t="s">
        <v>1042</v>
      </c>
      <c r="D1413" s="1" t="s">
        <v>4544</v>
      </c>
      <c r="E1413" s="1" t="s">
        <v>209</v>
      </c>
      <c r="F1413" s="1" t="s">
        <v>1675</v>
      </c>
      <c r="G1413" s="1" t="s">
        <v>574</v>
      </c>
      <c r="H1413" s="1">
        <v>5</v>
      </c>
      <c r="I1413" s="1">
        <v>0.37562499999999999</v>
      </c>
      <c r="K1413" s="1" t="s">
        <v>181</v>
      </c>
    </row>
    <row r="1414" spans="1:11" x14ac:dyDescent="0.25">
      <c r="A1414" s="1" t="s">
        <v>4545</v>
      </c>
      <c r="B1414" s="1" t="s">
        <v>4546</v>
      </c>
      <c r="D1414" s="1" t="s">
        <v>4547</v>
      </c>
      <c r="E1414" s="1" t="s">
        <v>209</v>
      </c>
      <c r="F1414" s="1" t="s">
        <v>1675</v>
      </c>
      <c r="G1414" s="1" t="s">
        <v>215</v>
      </c>
      <c r="H1414" s="1">
        <v>5</v>
      </c>
      <c r="I1414" s="1">
        <v>0.37562499999999999</v>
      </c>
      <c r="K1414" s="1" t="s">
        <v>181</v>
      </c>
    </row>
    <row r="1415" spans="1:11" x14ac:dyDescent="0.25">
      <c r="A1415" s="1" t="s">
        <v>4548</v>
      </c>
      <c r="B1415" s="1" t="s">
        <v>4549</v>
      </c>
      <c r="D1415" s="1" t="s">
        <v>4550</v>
      </c>
      <c r="E1415" s="1" t="s">
        <v>209</v>
      </c>
      <c r="F1415" s="1" t="s">
        <v>1675</v>
      </c>
      <c r="G1415" s="1" t="s">
        <v>215</v>
      </c>
      <c r="H1415" s="1">
        <v>5</v>
      </c>
      <c r="I1415" s="1">
        <v>0.37562499999999999</v>
      </c>
      <c r="K1415" s="1" t="s">
        <v>181</v>
      </c>
    </row>
    <row r="1416" spans="1:11" x14ac:dyDescent="0.25">
      <c r="A1416" s="1" t="s">
        <v>4551</v>
      </c>
      <c r="B1416" s="1" t="s">
        <v>4552</v>
      </c>
      <c r="D1416" s="1" t="s">
        <v>4553</v>
      </c>
      <c r="E1416" s="1" t="s">
        <v>209</v>
      </c>
      <c r="F1416" s="1" t="s">
        <v>1675</v>
      </c>
      <c r="G1416" s="1" t="s">
        <v>215</v>
      </c>
      <c r="H1416" s="1">
        <v>5</v>
      </c>
      <c r="I1416" s="1">
        <v>0.37562499999999999</v>
      </c>
      <c r="K1416" s="1" t="s">
        <v>181</v>
      </c>
    </row>
    <row r="1417" spans="1:11" x14ac:dyDescent="0.25">
      <c r="A1417" s="1" t="s">
        <v>4554</v>
      </c>
      <c r="B1417" s="1" t="s">
        <v>4555</v>
      </c>
      <c r="D1417" s="1" t="s">
        <v>4556</v>
      </c>
      <c r="E1417" s="1" t="s">
        <v>209</v>
      </c>
      <c r="F1417" s="1" t="s">
        <v>1675</v>
      </c>
      <c r="G1417" s="1" t="s">
        <v>215</v>
      </c>
      <c r="H1417" s="1">
        <v>5</v>
      </c>
      <c r="I1417" s="1">
        <v>0.37562499999999999</v>
      </c>
      <c r="K1417" s="1" t="s">
        <v>181</v>
      </c>
    </row>
    <row r="1418" spans="1:11" x14ac:dyDescent="0.25">
      <c r="A1418" s="1" t="s">
        <v>4557</v>
      </c>
      <c r="B1418" s="1" t="s">
        <v>4558</v>
      </c>
      <c r="D1418" s="1" t="s">
        <v>4559</v>
      </c>
      <c r="E1418" s="1" t="s">
        <v>209</v>
      </c>
      <c r="F1418" s="1" t="s">
        <v>1675</v>
      </c>
      <c r="G1418" s="1" t="s">
        <v>215</v>
      </c>
      <c r="H1418" s="1">
        <v>5</v>
      </c>
      <c r="I1418" s="1">
        <v>0.37562499999999999</v>
      </c>
      <c r="K1418" s="1" t="s">
        <v>181</v>
      </c>
    </row>
    <row r="1419" spans="1:11" x14ac:dyDescent="0.25">
      <c r="A1419" s="1" t="s">
        <v>4560</v>
      </c>
      <c r="B1419" s="1" t="s">
        <v>4561</v>
      </c>
      <c r="D1419" s="1" t="s">
        <v>4562</v>
      </c>
      <c r="E1419" s="1" t="s">
        <v>209</v>
      </c>
      <c r="F1419" s="1" t="s">
        <v>1675</v>
      </c>
      <c r="G1419" s="1" t="s">
        <v>215</v>
      </c>
      <c r="H1419" s="1">
        <v>5</v>
      </c>
      <c r="I1419" s="1">
        <v>0.37562499999999999</v>
      </c>
      <c r="K1419" s="1" t="s">
        <v>181</v>
      </c>
    </row>
    <row r="1420" spans="1:11" x14ac:dyDescent="0.25">
      <c r="A1420" s="1" t="s">
        <v>4563</v>
      </c>
      <c r="B1420" s="1" t="s">
        <v>4564</v>
      </c>
      <c r="D1420" s="1" t="s">
        <v>4565</v>
      </c>
      <c r="E1420" s="1" t="s">
        <v>209</v>
      </c>
      <c r="F1420" s="1" t="s">
        <v>1675</v>
      </c>
      <c r="G1420" s="1" t="s">
        <v>215</v>
      </c>
      <c r="H1420" s="1">
        <v>5</v>
      </c>
      <c r="I1420" s="1">
        <v>0.37562499999999999</v>
      </c>
      <c r="K1420" s="1" t="s">
        <v>181</v>
      </c>
    </row>
    <row r="1421" spans="1:11" x14ac:dyDescent="0.25">
      <c r="A1421" s="1" t="s">
        <v>4566</v>
      </c>
      <c r="B1421" s="1" t="s">
        <v>4567</v>
      </c>
      <c r="D1421" s="1" t="s">
        <v>4568</v>
      </c>
      <c r="E1421" s="1" t="s">
        <v>209</v>
      </c>
      <c r="F1421" s="1" t="s">
        <v>1675</v>
      </c>
      <c r="G1421" s="1" t="s">
        <v>215</v>
      </c>
      <c r="H1421" s="1">
        <v>5</v>
      </c>
      <c r="I1421" s="1">
        <v>0.37562499999999999</v>
      </c>
      <c r="K1421" s="1" t="s">
        <v>181</v>
      </c>
    </row>
    <row r="1422" spans="1:11" x14ac:dyDescent="0.25">
      <c r="A1422" s="1" t="s">
        <v>4569</v>
      </c>
      <c r="B1422" s="1" t="s">
        <v>4570</v>
      </c>
      <c r="D1422" s="1" t="s">
        <v>4571</v>
      </c>
      <c r="E1422" s="1" t="s">
        <v>209</v>
      </c>
      <c r="F1422" s="1" t="s">
        <v>1675</v>
      </c>
      <c r="G1422" s="1" t="s">
        <v>215</v>
      </c>
      <c r="H1422" s="1">
        <v>5</v>
      </c>
      <c r="I1422" s="1">
        <v>0.37562499999999999</v>
      </c>
      <c r="K1422" s="1" t="s">
        <v>181</v>
      </c>
    </row>
    <row r="1423" spans="1:11" x14ac:dyDescent="0.25">
      <c r="A1423" s="1" t="s">
        <v>4572</v>
      </c>
      <c r="B1423" s="1" t="s">
        <v>4573</v>
      </c>
      <c r="D1423" s="1" t="s">
        <v>4574</v>
      </c>
      <c r="E1423" s="1" t="s">
        <v>209</v>
      </c>
      <c r="F1423" s="1" t="s">
        <v>1675</v>
      </c>
      <c r="G1423" s="1" t="s">
        <v>215</v>
      </c>
      <c r="H1423" s="1">
        <v>5</v>
      </c>
      <c r="I1423" s="1">
        <v>0.37562499999999999</v>
      </c>
      <c r="K1423" s="1" t="s">
        <v>181</v>
      </c>
    </row>
    <row r="1424" spans="1:11" x14ac:dyDescent="0.25">
      <c r="A1424" s="1" t="s">
        <v>4575</v>
      </c>
      <c r="B1424" s="1" t="s">
        <v>4576</v>
      </c>
      <c r="D1424" s="1" t="s">
        <v>4577</v>
      </c>
      <c r="E1424" s="1" t="s">
        <v>209</v>
      </c>
      <c r="F1424" s="1" t="s">
        <v>1675</v>
      </c>
      <c r="G1424" s="1" t="s">
        <v>215</v>
      </c>
      <c r="H1424" s="1">
        <v>5</v>
      </c>
      <c r="I1424" s="1">
        <v>0.37562499999999999</v>
      </c>
      <c r="K1424" s="1" t="s">
        <v>181</v>
      </c>
    </row>
    <row r="1425" spans="1:11" x14ac:dyDescent="0.25">
      <c r="A1425" s="1" t="s">
        <v>4578</v>
      </c>
      <c r="B1425" s="1" t="s">
        <v>4579</v>
      </c>
      <c r="D1425" s="1" t="s">
        <v>4580</v>
      </c>
      <c r="E1425" s="1" t="s">
        <v>209</v>
      </c>
      <c r="F1425" s="1" t="s">
        <v>1675</v>
      </c>
      <c r="G1425" s="1" t="s">
        <v>215</v>
      </c>
      <c r="H1425" s="1">
        <v>5</v>
      </c>
      <c r="I1425" s="1">
        <v>0.37562499999999999</v>
      </c>
      <c r="K1425" s="1" t="s">
        <v>181</v>
      </c>
    </row>
    <row r="1426" spans="1:11" x14ac:dyDescent="0.25">
      <c r="A1426" s="1" t="s">
        <v>4581</v>
      </c>
      <c r="B1426" s="1" t="s">
        <v>4582</v>
      </c>
      <c r="D1426" s="1" t="s">
        <v>4583</v>
      </c>
      <c r="E1426" s="1" t="s">
        <v>209</v>
      </c>
      <c r="F1426" s="1" t="s">
        <v>1675</v>
      </c>
      <c r="G1426" s="1" t="s">
        <v>215</v>
      </c>
      <c r="H1426" s="1">
        <v>5</v>
      </c>
      <c r="I1426" s="1">
        <v>0.37562499999999999</v>
      </c>
      <c r="K1426" s="1" t="s">
        <v>181</v>
      </c>
    </row>
    <row r="1427" spans="1:11" x14ac:dyDescent="0.25">
      <c r="A1427" s="1" t="s">
        <v>4584</v>
      </c>
      <c r="B1427" s="1" t="s">
        <v>4585</v>
      </c>
      <c r="D1427" s="1" t="s">
        <v>4586</v>
      </c>
      <c r="E1427" s="1" t="s">
        <v>209</v>
      </c>
      <c r="F1427" s="1" t="s">
        <v>1675</v>
      </c>
      <c r="G1427" s="1" t="s">
        <v>215</v>
      </c>
      <c r="H1427" s="1">
        <v>5</v>
      </c>
      <c r="I1427" s="1">
        <v>0.37562499999999999</v>
      </c>
      <c r="K1427" s="1" t="s">
        <v>181</v>
      </c>
    </row>
    <row r="1428" spans="1:11" x14ac:dyDescent="0.25">
      <c r="A1428" s="1" t="s">
        <v>4587</v>
      </c>
      <c r="B1428" s="1" t="s">
        <v>4588</v>
      </c>
      <c r="D1428" s="1" t="s">
        <v>4589</v>
      </c>
      <c r="E1428" s="1" t="s">
        <v>209</v>
      </c>
      <c r="F1428" s="1" t="s">
        <v>1675</v>
      </c>
      <c r="G1428" s="1" t="s">
        <v>215</v>
      </c>
      <c r="H1428" s="1">
        <v>5</v>
      </c>
      <c r="I1428" s="1">
        <v>0.37562499999999999</v>
      </c>
      <c r="K1428" s="1" t="s">
        <v>181</v>
      </c>
    </row>
    <row r="1429" spans="1:11" x14ac:dyDescent="0.25">
      <c r="A1429" s="1" t="s">
        <v>4590</v>
      </c>
      <c r="B1429" s="1" t="s">
        <v>4591</v>
      </c>
      <c r="D1429" s="1" t="s">
        <v>4592</v>
      </c>
      <c r="E1429" s="1" t="s">
        <v>209</v>
      </c>
      <c r="F1429" s="1" t="s">
        <v>1675</v>
      </c>
      <c r="G1429" s="1" t="s">
        <v>215</v>
      </c>
      <c r="H1429" s="1">
        <v>5</v>
      </c>
      <c r="I1429" s="1">
        <v>0.37562499999999999</v>
      </c>
      <c r="K1429" s="1" t="s">
        <v>181</v>
      </c>
    </row>
    <row r="1430" spans="1:11" x14ac:dyDescent="0.25">
      <c r="A1430" s="1" t="s">
        <v>4593</v>
      </c>
      <c r="B1430" s="1" t="s">
        <v>4594</v>
      </c>
      <c r="D1430" s="1" t="s">
        <v>4595</v>
      </c>
      <c r="E1430" s="1" t="s">
        <v>209</v>
      </c>
      <c r="F1430" s="1" t="s">
        <v>1675</v>
      </c>
      <c r="G1430" s="1" t="s">
        <v>215</v>
      </c>
      <c r="H1430" s="1">
        <v>5</v>
      </c>
      <c r="I1430" s="1">
        <v>0.37562499999999999</v>
      </c>
      <c r="K1430" s="1" t="s">
        <v>181</v>
      </c>
    </row>
    <row r="1431" spans="1:11" x14ac:dyDescent="0.25">
      <c r="A1431" s="1" t="s">
        <v>4596</v>
      </c>
      <c r="B1431" s="1" t="s">
        <v>4597</v>
      </c>
      <c r="D1431" s="1" t="s">
        <v>4598</v>
      </c>
      <c r="E1431" s="1" t="s">
        <v>209</v>
      </c>
      <c r="F1431" s="1" t="s">
        <v>1675</v>
      </c>
      <c r="G1431" s="1" t="s">
        <v>215</v>
      </c>
      <c r="H1431" s="1">
        <v>5</v>
      </c>
      <c r="I1431" s="1">
        <v>0.37562499999999999</v>
      </c>
      <c r="K1431" s="1" t="s">
        <v>181</v>
      </c>
    </row>
    <row r="1432" spans="1:11" x14ac:dyDescent="0.25">
      <c r="A1432" s="1" t="s">
        <v>4599</v>
      </c>
      <c r="B1432" s="1" t="s">
        <v>4600</v>
      </c>
      <c r="D1432" s="1" t="s">
        <v>4601</v>
      </c>
      <c r="E1432" s="1" t="s">
        <v>209</v>
      </c>
      <c r="F1432" s="1" t="s">
        <v>1675</v>
      </c>
      <c r="G1432" s="1" t="s">
        <v>215</v>
      </c>
      <c r="H1432" s="1">
        <v>5</v>
      </c>
      <c r="I1432" s="1">
        <v>0.37562499999999999</v>
      </c>
      <c r="K1432" s="1" t="s">
        <v>181</v>
      </c>
    </row>
    <row r="1433" spans="1:11" x14ac:dyDescent="0.25">
      <c r="A1433" s="1" t="s">
        <v>4602</v>
      </c>
      <c r="B1433" s="1" t="s">
        <v>4603</v>
      </c>
      <c r="D1433" s="1" t="s">
        <v>4604</v>
      </c>
      <c r="E1433" s="1" t="s">
        <v>209</v>
      </c>
      <c r="F1433" s="1" t="s">
        <v>1675</v>
      </c>
      <c r="G1433" s="1" t="s">
        <v>574</v>
      </c>
      <c r="H1433" s="1">
        <v>5</v>
      </c>
      <c r="I1433" s="1">
        <v>0.37562499999999999</v>
      </c>
      <c r="K1433" s="1" t="s">
        <v>181</v>
      </c>
    </row>
    <row r="1434" spans="1:11" x14ac:dyDescent="0.25">
      <c r="A1434" s="1" t="s">
        <v>4605</v>
      </c>
      <c r="B1434" s="1" t="s">
        <v>4606</v>
      </c>
      <c r="D1434" s="1" t="s">
        <v>4607</v>
      </c>
      <c r="E1434" s="1" t="s">
        <v>209</v>
      </c>
      <c r="F1434" s="1" t="s">
        <v>1675</v>
      </c>
      <c r="G1434" s="1" t="s">
        <v>215</v>
      </c>
      <c r="H1434" s="1">
        <v>5</v>
      </c>
      <c r="I1434" s="1">
        <v>0.37562499999999999</v>
      </c>
      <c r="K1434" s="1" t="s">
        <v>181</v>
      </c>
    </row>
    <row r="1435" spans="1:11" x14ac:dyDescent="0.25">
      <c r="A1435" s="1" t="s">
        <v>4608</v>
      </c>
      <c r="B1435" s="1" t="s">
        <v>4609</v>
      </c>
      <c r="D1435" s="1" t="s">
        <v>4610</v>
      </c>
      <c r="E1435" s="1" t="s">
        <v>209</v>
      </c>
      <c r="F1435" s="1" t="s">
        <v>1675</v>
      </c>
      <c r="G1435" s="1" t="s">
        <v>215</v>
      </c>
      <c r="H1435" s="1">
        <v>5</v>
      </c>
      <c r="I1435" s="1">
        <v>0.37562499999999999</v>
      </c>
      <c r="K1435" s="1" t="s">
        <v>181</v>
      </c>
    </row>
    <row r="1436" spans="1:11" x14ac:dyDescent="0.25">
      <c r="A1436" s="1" t="s">
        <v>4611</v>
      </c>
      <c r="B1436" s="1" t="s">
        <v>4612</v>
      </c>
      <c r="D1436" s="1" t="s">
        <v>4613</v>
      </c>
      <c r="E1436" s="1" t="s">
        <v>209</v>
      </c>
      <c r="F1436" s="1" t="s">
        <v>1675</v>
      </c>
      <c r="G1436" s="1" t="s">
        <v>215</v>
      </c>
      <c r="H1436" s="1">
        <v>5</v>
      </c>
      <c r="I1436" s="1">
        <v>0.37562499999999999</v>
      </c>
      <c r="K1436" s="1" t="s">
        <v>181</v>
      </c>
    </row>
    <row r="1437" spans="1:11" x14ac:dyDescent="0.25">
      <c r="A1437" s="1" t="s">
        <v>4614</v>
      </c>
      <c r="B1437" s="1" t="s">
        <v>4615</v>
      </c>
      <c r="D1437" s="1" t="s">
        <v>4616</v>
      </c>
      <c r="E1437" s="1" t="s">
        <v>209</v>
      </c>
      <c r="F1437" s="1" t="s">
        <v>1675</v>
      </c>
      <c r="G1437" s="1" t="s">
        <v>215</v>
      </c>
      <c r="H1437" s="1">
        <v>5</v>
      </c>
      <c r="I1437" s="1">
        <v>0.37562499999999999</v>
      </c>
      <c r="K1437" s="1" t="s">
        <v>181</v>
      </c>
    </row>
    <row r="1438" spans="1:11" x14ac:dyDescent="0.25">
      <c r="A1438" s="1" t="s">
        <v>4617</v>
      </c>
      <c r="B1438" s="1" t="s">
        <v>4618</v>
      </c>
      <c r="D1438" s="1" t="s">
        <v>4619</v>
      </c>
      <c r="E1438" s="1" t="s">
        <v>209</v>
      </c>
      <c r="F1438" s="1" t="s">
        <v>1675</v>
      </c>
      <c r="G1438" s="1" t="s">
        <v>215</v>
      </c>
      <c r="H1438" s="1">
        <v>5</v>
      </c>
      <c r="I1438" s="1">
        <v>0.37562499999999999</v>
      </c>
      <c r="K1438" s="1" t="s">
        <v>181</v>
      </c>
    </row>
    <row r="1439" spans="1:11" x14ac:dyDescent="0.25">
      <c r="A1439" s="1" t="s">
        <v>4620</v>
      </c>
      <c r="B1439" s="1" t="s">
        <v>4621</v>
      </c>
      <c r="D1439" s="1" t="s">
        <v>4622</v>
      </c>
      <c r="E1439" s="1" t="s">
        <v>209</v>
      </c>
      <c r="F1439" s="1" t="s">
        <v>1675</v>
      </c>
      <c r="G1439" s="1" t="s">
        <v>215</v>
      </c>
      <c r="H1439" s="1">
        <v>5</v>
      </c>
      <c r="I1439" s="1">
        <v>0.37562499999999999</v>
      </c>
      <c r="K1439" s="1" t="s">
        <v>181</v>
      </c>
    </row>
    <row r="1440" spans="1:11" x14ac:dyDescent="0.25">
      <c r="A1440" s="1" t="s">
        <v>4623</v>
      </c>
      <c r="B1440" s="1" t="s">
        <v>4624</v>
      </c>
      <c r="D1440" s="1" t="s">
        <v>4625</v>
      </c>
      <c r="E1440" s="1" t="s">
        <v>209</v>
      </c>
      <c r="F1440" s="1" t="s">
        <v>1675</v>
      </c>
      <c r="G1440" s="1" t="s">
        <v>215</v>
      </c>
      <c r="H1440" s="1">
        <v>5</v>
      </c>
      <c r="I1440" s="1">
        <v>0.37562499999999999</v>
      </c>
      <c r="K1440" s="1" t="s">
        <v>181</v>
      </c>
    </row>
    <row r="1441" spans="1:11" x14ac:dyDescent="0.25">
      <c r="A1441" s="1" t="s">
        <v>4626</v>
      </c>
      <c r="B1441" s="1" t="s">
        <v>4627</v>
      </c>
      <c r="D1441" s="1" t="s">
        <v>4628</v>
      </c>
      <c r="E1441" s="1" t="s">
        <v>209</v>
      </c>
      <c r="F1441" s="1" t="s">
        <v>1675</v>
      </c>
      <c r="G1441" s="1" t="s">
        <v>215</v>
      </c>
      <c r="H1441" s="1">
        <v>5</v>
      </c>
      <c r="I1441" s="1">
        <v>0.37562499999999999</v>
      </c>
      <c r="K1441" s="1" t="s">
        <v>181</v>
      </c>
    </row>
    <row r="1442" spans="1:11" x14ac:dyDescent="0.25">
      <c r="A1442" s="1" t="s">
        <v>4629</v>
      </c>
      <c r="B1442" s="1" t="s">
        <v>4630</v>
      </c>
      <c r="D1442" s="1" t="s">
        <v>4631</v>
      </c>
      <c r="E1442" s="1" t="s">
        <v>209</v>
      </c>
      <c r="F1442" s="1" t="s">
        <v>1675</v>
      </c>
      <c r="G1442" s="1" t="s">
        <v>215</v>
      </c>
      <c r="H1442" s="1">
        <v>5</v>
      </c>
      <c r="I1442" s="1">
        <v>0.37562499999999999</v>
      </c>
      <c r="K1442" s="1" t="s">
        <v>181</v>
      </c>
    </row>
    <row r="1443" spans="1:11" x14ac:dyDescent="0.25">
      <c r="A1443" s="1" t="s">
        <v>4632</v>
      </c>
      <c r="B1443" s="1" t="s">
        <v>4633</v>
      </c>
      <c r="D1443" s="1" t="s">
        <v>4634</v>
      </c>
      <c r="E1443" s="1" t="s">
        <v>209</v>
      </c>
      <c r="F1443" s="1" t="s">
        <v>1675</v>
      </c>
      <c r="G1443" s="1" t="s">
        <v>215</v>
      </c>
      <c r="H1443" s="1">
        <v>5</v>
      </c>
      <c r="I1443" s="1">
        <v>0.37562499999999999</v>
      </c>
      <c r="K1443" s="1" t="s">
        <v>181</v>
      </c>
    </row>
    <row r="1444" spans="1:11" x14ac:dyDescent="0.25">
      <c r="A1444" s="1" t="s">
        <v>4635</v>
      </c>
      <c r="B1444" s="1" t="s">
        <v>4636</v>
      </c>
      <c r="D1444" s="1" t="s">
        <v>4637</v>
      </c>
      <c r="E1444" s="1" t="s">
        <v>209</v>
      </c>
      <c r="F1444" s="1" t="s">
        <v>1675</v>
      </c>
      <c r="G1444" s="1" t="s">
        <v>215</v>
      </c>
      <c r="H1444" s="1">
        <v>5</v>
      </c>
      <c r="I1444" s="1">
        <v>0.37562499999999999</v>
      </c>
      <c r="K1444" s="1" t="s">
        <v>181</v>
      </c>
    </row>
    <row r="1445" spans="1:11" x14ac:dyDescent="0.25">
      <c r="A1445" s="1" t="s">
        <v>4638</v>
      </c>
      <c r="B1445" s="1" t="s">
        <v>4639</v>
      </c>
      <c r="D1445" s="1" t="s">
        <v>4640</v>
      </c>
      <c r="E1445" s="1" t="s">
        <v>209</v>
      </c>
      <c r="F1445" s="1" t="s">
        <v>1675</v>
      </c>
      <c r="G1445" s="1" t="s">
        <v>215</v>
      </c>
      <c r="H1445" s="1">
        <v>5</v>
      </c>
      <c r="I1445" s="1">
        <v>0.37562499999999999</v>
      </c>
      <c r="K1445" s="1" t="s">
        <v>181</v>
      </c>
    </row>
    <row r="1446" spans="1:11" x14ac:dyDescent="0.25">
      <c r="A1446" s="1" t="s">
        <v>4641</v>
      </c>
      <c r="B1446" s="1" t="s">
        <v>4642</v>
      </c>
      <c r="D1446" s="1" t="s">
        <v>4643</v>
      </c>
      <c r="E1446" s="1" t="s">
        <v>209</v>
      </c>
      <c r="F1446" s="1" t="s">
        <v>1675</v>
      </c>
      <c r="G1446" s="1" t="s">
        <v>215</v>
      </c>
      <c r="H1446" s="1">
        <v>5</v>
      </c>
      <c r="I1446" s="1">
        <v>0.37562499999999999</v>
      </c>
      <c r="K1446" s="1" t="s">
        <v>181</v>
      </c>
    </row>
    <row r="1447" spans="1:11" x14ac:dyDescent="0.25">
      <c r="A1447" s="1" t="s">
        <v>4644</v>
      </c>
      <c r="B1447" s="1" t="s">
        <v>4645</v>
      </c>
      <c r="D1447" s="1" t="s">
        <v>4646</v>
      </c>
      <c r="E1447" s="1" t="s">
        <v>209</v>
      </c>
      <c r="F1447" s="1" t="s">
        <v>1675</v>
      </c>
      <c r="G1447" s="1" t="s">
        <v>211</v>
      </c>
      <c r="H1447" s="1">
        <v>5</v>
      </c>
      <c r="I1447" s="1">
        <v>0.37562499999999999</v>
      </c>
      <c r="K1447" s="1" t="s">
        <v>181</v>
      </c>
    </row>
    <row r="1448" spans="1:11" x14ac:dyDescent="0.25">
      <c r="A1448" s="1" t="s">
        <v>4647</v>
      </c>
      <c r="B1448" s="1" t="s">
        <v>4648</v>
      </c>
      <c r="D1448" s="1" t="s">
        <v>4649</v>
      </c>
      <c r="E1448" s="1" t="s">
        <v>209</v>
      </c>
      <c r="F1448" s="1" t="s">
        <v>1675</v>
      </c>
      <c r="G1448" s="1" t="s">
        <v>215</v>
      </c>
      <c r="H1448" s="1">
        <v>5</v>
      </c>
      <c r="I1448" s="1">
        <v>0.37562499999999999</v>
      </c>
      <c r="K1448" s="1" t="s">
        <v>181</v>
      </c>
    </row>
    <row r="1449" spans="1:11" x14ac:dyDescent="0.25">
      <c r="A1449" s="1" t="s">
        <v>4650</v>
      </c>
      <c r="B1449" s="1" t="s">
        <v>4651</v>
      </c>
      <c r="D1449" s="1" t="s">
        <v>4652</v>
      </c>
      <c r="E1449" s="1" t="s">
        <v>209</v>
      </c>
      <c r="F1449" s="1" t="s">
        <v>1675</v>
      </c>
      <c r="G1449" s="1" t="s">
        <v>215</v>
      </c>
      <c r="H1449" s="1">
        <v>5</v>
      </c>
      <c r="I1449" s="1">
        <v>0.37562499999999999</v>
      </c>
      <c r="K1449" s="1" t="s">
        <v>181</v>
      </c>
    </row>
    <row r="1450" spans="1:11" x14ac:dyDescent="0.25">
      <c r="A1450" s="1" t="s">
        <v>4653</v>
      </c>
      <c r="B1450" s="1" t="s">
        <v>4654</v>
      </c>
      <c r="D1450" s="1" t="s">
        <v>4655</v>
      </c>
      <c r="E1450" s="1" t="s">
        <v>209</v>
      </c>
      <c r="F1450" s="1" t="s">
        <v>1675</v>
      </c>
      <c r="G1450" s="1" t="s">
        <v>215</v>
      </c>
      <c r="H1450" s="1">
        <v>5</v>
      </c>
      <c r="I1450" s="1">
        <v>0.37562499999999999</v>
      </c>
      <c r="K1450" s="1" t="s">
        <v>181</v>
      </c>
    </row>
    <row r="1451" spans="1:11" x14ac:dyDescent="0.25">
      <c r="A1451" s="1" t="s">
        <v>4656</v>
      </c>
      <c r="B1451" s="1" t="s">
        <v>4657</v>
      </c>
      <c r="D1451" s="1" t="s">
        <v>4658</v>
      </c>
      <c r="E1451" s="1" t="s">
        <v>209</v>
      </c>
      <c r="F1451" s="1" t="s">
        <v>1675</v>
      </c>
      <c r="G1451" s="1" t="s">
        <v>215</v>
      </c>
      <c r="H1451" s="1">
        <v>5</v>
      </c>
      <c r="I1451" s="1">
        <v>0.37562499999999999</v>
      </c>
      <c r="K1451" s="1" t="s">
        <v>181</v>
      </c>
    </row>
    <row r="1452" spans="1:11" x14ac:dyDescent="0.25">
      <c r="A1452" s="1" t="s">
        <v>4659</v>
      </c>
      <c r="B1452" s="1" t="s">
        <v>4660</v>
      </c>
      <c r="D1452" s="1" t="s">
        <v>4661</v>
      </c>
      <c r="E1452" s="1" t="s">
        <v>209</v>
      </c>
      <c r="F1452" s="1" t="s">
        <v>1675</v>
      </c>
      <c r="G1452" s="1" t="s">
        <v>215</v>
      </c>
      <c r="H1452" s="1">
        <v>5</v>
      </c>
      <c r="I1452" s="1">
        <v>0.37562499999999999</v>
      </c>
      <c r="K1452" s="1" t="s">
        <v>181</v>
      </c>
    </row>
    <row r="1453" spans="1:11" x14ac:dyDescent="0.25">
      <c r="A1453" s="1" t="s">
        <v>4662</v>
      </c>
      <c r="B1453" s="1" t="s">
        <v>4663</v>
      </c>
      <c r="D1453" s="1" t="s">
        <v>4664</v>
      </c>
      <c r="E1453" s="1" t="s">
        <v>209</v>
      </c>
      <c r="F1453" s="1" t="s">
        <v>1675</v>
      </c>
      <c r="G1453" s="1" t="s">
        <v>215</v>
      </c>
      <c r="H1453" s="1">
        <v>5</v>
      </c>
      <c r="I1453" s="1">
        <v>0.37562499999999999</v>
      </c>
      <c r="K1453" s="1" t="s">
        <v>181</v>
      </c>
    </row>
    <row r="1454" spans="1:11" x14ac:dyDescent="0.25">
      <c r="A1454" s="1" t="s">
        <v>4665</v>
      </c>
      <c r="B1454" s="1" t="s">
        <v>4666</v>
      </c>
      <c r="D1454" s="1" t="s">
        <v>4667</v>
      </c>
      <c r="E1454" s="1" t="s">
        <v>209</v>
      </c>
      <c r="F1454" s="1" t="s">
        <v>1675</v>
      </c>
      <c r="G1454" s="1" t="s">
        <v>215</v>
      </c>
      <c r="H1454" s="1">
        <v>5</v>
      </c>
      <c r="I1454" s="1">
        <v>0.37562499999999999</v>
      </c>
      <c r="K1454" s="1" t="s">
        <v>181</v>
      </c>
    </row>
    <row r="1455" spans="1:11" x14ac:dyDescent="0.25">
      <c r="A1455" s="1" t="s">
        <v>4668</v>
      </c>
      <c r="B1455" s="1" t="s">
        <v>4669</v>
      </c>
      <c r="D1455" s="1" t="s">
        <v>4670</v>
      </c>
      <c r="E1455" s="1" t="s">
        <v>209</v>
      </c>
      <c r="F1455" s="1" t="s">
        <v>1675</v>
      </c>
      <c r="G1455" s="1" t="s">
        <v>215</v>
      </c>
      <c r="H1455" s="1">
        <v>5</v>
      </c>
      <c r="I1455" s="1">
        <v>0.37562499999999999</v>
      </c>
      <c r="K1455" s="1" t="s">
        <v>181</v>
      </c>
    </row>
    <row r="1456" spans="1:11" x14ac:dyDescent="0.25">
      <c r="A1456" s="1" t="s">
        <v>4671</v>
      </c>
      <c r="B1456" s="1" t="s">
        <v>4672</v>
      </c>
      <c r="D1456" s="1" t="s">
        <v>4673</v>
      </c>
      <c r="E1456" s="1" t="s">
        <v>209</v>
      </c>
      <c r="F1456" s="1" t="s">
        <v>1675</v>
      </c>
      <c r="G1456" s="1" t="s">
        <v>215</v>
      </c>
      <c r="H1456" s="1">
        <v>5</v>
      </c>
      <c r="I1456" s="1">
        <v>0.37562499999999999</v>
      </c>
      <c r="K1456" s="1" t="s">
        <v>181</v>
      </c>
    </row>
    <row r="1457" spans="1:11" x14ac:dyDescent="0.25">
      <c r="A1457" s="1" t="s">
        <v>4674</v>
      </c>
      <c r="B1457" s="1" t="s">
        <v>4675</v>
      </c>
      <c r="D1457" s="1" t="s">
        <v>4676</v>
      </c>
      <c r="E1457" s="1" t="s">
        <v>209</v>
      </c>
      <c r="F1457" s="1" t="s">
        <v>1675</v>
      </c>
      <c r="G1457" s="1" t="s">
        <v>215</v>
      </c>
      <c r="H1457" s="1">
        <v>5</v>
      </c>
      <c r="I1457" s="1">
        <v>0.37562499999999999</v>
      </c>
      <c r="K1457" s="1" t="s">
        <v>181</v>
      </c>
    </row>
    <row r="1458" spans="1:11" x14ac:dyDescent="0.25">
      <c r="A1458" s="1" t="s">
        <v>4677</v>
      </c>
      <c r="B1458" s="1" t="s">
        <v>4678</v>
      </c>
      <c r="D1458" s="1" t="s">
        <v>4679</v>
      </c>
      <c r="E1458" s="1" t="s">
        <v>209</v>
      </c>
      <c r="F1458" s="1" t="s">
        <v>1675</v>
      </c>
      <c r="G1458" s="1" t="s">
        <v>215</v>
      </c>
      <c r="H1458" s="1">
        <v>5</v>
      </c>
      <c r="I1458" s="1">
        <v>0.37562499999999999</v>
      </c>
      <c r="K1458" s="1" t="s">
        <v>181</v>
      </c>
    </row>
    <row r="1459" spans="1:11" x14ac:dyDescent="0.25">
      <c r="A1459" s="1" t="s">
        <v>4680</v>
      </c>
      <c r="B1459" s="1" t="s">
        <v>4681</v>
      </c>
      <c r="D1459" s="1" t="s">
        <v>4682</v>
      </c>
      <c r="E1459" s="1" t="s">
        <v>209</v>
      </c>
      <c r="F1459" s="1" t="s">
        <v>1675</v>
      </c>
      <c r="G1459" s="1" t="s">
        <v>215</v>
      </c>
      <c r="H1459" s="1">
        <v>5</v>
      </c>
      <c r="I1459" s="1">
        <v>0.37562499999999999</v>
      </c>
      <c r="K1459" s="1" t="s">
        <v>181</v>
      </c>
    </row>
    <row r="1460" spans="1:11" x14ac:dyDescent="0.25">
      <c r="A1460" s="1" t="s">
        <v>4683</v>
      </c>
      <c r="B1460" s="1" t="s">
        <v>4684</v>
      </c>
      <c r="D1460" s="1" t="s">
        <v>4685</v>
      </c>
      <c r="E1460" s="1" t="s">
        <v>209</v>
      </c>
      <c r="F1460" s="1" t="s">
        <v>1675</v>
      </c>
      <c r="G1460" s="1" t="s">
        <v>215</v>
      </c>
      <c r="H1460" s="1">
        <v>5</v>
      </c>
      <c r="I1460" s="1">
        <v>0.37562499999999999</v>
      </c>
      <c r="K1460" s="1" t="s">
        <v>181</v>
      </c>
    </row>
    <row r="1461" spans="1:11" x14ac:dyDescent="0.25">
      <c r="A1461" s="1" t="s">
        <v>4686</v>
      </c>
      <c r="B1461" s="1" t="s">
        <v>4687</v>
      </c>
      <c r="D1461" s="1" t="s">
        <v>4688</v>
      </c>
      <c r="E1461" s="1" t="s">
        <v>209</v>
      </c>
      <c r="F1461" s="1" t="s">
        <v>1675</v>
      </c>
      <c r="G1461" s="1" t="s">
        <v>215</v>
      </c>
      <c r="H1461" s="1">
        <v>5</v>
      </c>
      <c r="I1461" s="1">
        <v>0.37562499999999999</v>
      </c>
      <c r="K1461" s="1" t="s">
        <v>181</v>
      </c>
    </row>
    <row r="1462" spans="1:11" x14ac:dyDescent="0.25">
      <c r="A1462" s="1" t="s">
        <v>4689</v>
      </c>
      <c r="B1462" s="1" t="s">
        <v>4690</v>
      </c>
      <c r="D1462" s="1" t="s">
        <v>4691</v>
      </c>
      <c r="E1462" s="1" t="s">
        <v>209</v>
      </c>
      <c r="F1462" s="1" t="s">
        <v>1675</v>
      </c>
      <c r="G1462" s="1" t="s">
        <v>215</v>
      </c>
      <c r="H1462" s="1">
        <v>5</v>
      </c>
      <c r="I1462" s="1">
        <v>0.37562499999999999</v>
      </c>
      <c r="K1462" s="1" t="s">
        <v>181</v>
      </c>
    </row>
    <row r="1463" spans="1:11" x14ac:dyDescent="0.25">
      <c r="A1463" s="1" t="s">
        <v>4692</v>
      </c>
      <c r="B1463" s="1" t="s">
        <v>4693</v>
      </c>
      <c r="D1463" s="1" t="s">
        <v>4694</v>
      </c>
      <c r="E1463" s="1" t="s">
        <v>209</v>
      </c>
      <c r="F1463" s="1" t="s">
        <v>1675</v>
      </c>
      <c r="G1463" s="1" t="s">
        <v>215</v>
      </c>
      <c r="H1463" s="1">
        <v>5</v>
      </c>
      <c r="I1463" s="1">
        <v>0.37562499999999999</v>
      </c>
      <c r="K1463" s="1" t="s">
        <v>181</v>
      </c>
    </row>
    <row r="1464" spans="1:11" x14ac:dyDescent="0.25">
      <c r="A1464" s="1" t="s">
        <v>4695</v>
      </c>
      <c r="B1464" s="1" t="s">
        <v>4696</v>
      </c>
      <c r="D1464" s="1" t="s">
        <v>4697</v>
      </c>
      <c r="E1464" s="1" t="s">
        <v>209</v>
      </c>
      <c r="F1464" s="1" t="s">
        <v>1675</v>
      </c>
      <c r="G1464" s="1" t="s">
        <v>215</v>
      </c>
      <c r="H1464" s="1">
        <v>5</v>
      </c>
      <c r="I1464" s="1">
        <v>0.37562499999999999</v>
      </c>
      <c r="K1464" s="1" t="s">
        <v>181</v>
      </c>
    </row>
    <row r="1465" spans="1:11" x14ac:dyDescent="0.25">
      <c r="A1465" s="1" t="s">
        <v>4698</v>
      </c>
      <c r="B1465" s="1" t="s">
        <v>4699</v>
      </c>
      <c r="D1465" s="1" t="s">
        <v>4700</v>
      </c>
      <c r="E1465" s="1" t="s">
        <v>209</v>
      </c>
      <c r="F1465" s="1" t="s">
        <v>1675</v>
      </c>
      <c r="G1465" s="1" t="s">
        <v>215</v>
      </c>
      <c r="H1465" s="1">
        <v>5</v>
      </c>
      <c r="I1465" s="1">
        <v>0.37562499999999999</v>
      </c>
      <c r="K1465" s="1" t="s">
        <v>181</v>
      </c>
    </row>
    <row r="1466" spans="1:11" x14ac:dyDescent="0.25">
      <c r="A1466" s="1" t="s">
        <v>4701</v>
      </c>
      <c r="B1466" s="1" t="s">
        <v>4702</v>
      </c>
      <c r="D1466" s="1" t="s">
        <v>4703</v>
      </c>
      <c r="E1466" s="1" t="s">
        <v>209</v>
      </c>
      <c r="F1466" s="1" t="s">
        <v>1675</v>
      </c>
      <c r="G1466" s="1" t="s">
        <v>215</v>
      </c>
      <c r="H1466" s="1">
        <v>5</v>
      </c>
      <c r="I1466" s="1">
        <v>0.37562499999999999</v>
      </c>
      <c r="K1466" s="1" t="s">
        <v>181</v>
      </c>
    </row>
    <row r="1467" spans="1:11" x14ac:dyDescent="0.25">
      <c r="A1467" s="1" t="s">
        <v>4704</v>
      </c>
      <c r="B1467" s="1" t="s">
        <v>4705</v>
      </c>
      <c r="D1467" s="1" t="s">
        <v>4706</v>
      </c>
      <c r="E1467" s="1" t="s">
        <v>209</v>
      </c>
      <c r="F1467" s="1" t="s">
        <v>1675</v>
      </c>
      <c r="G1467" s="1" t="s">
        <v>215</v>
      </c>
      <c r="H1467" s="1">
        <v>5</v>
      </c>
      <c r="I1467" s="1">
        <v>0.37562499999999999</v>
      </c>
      <c r="K1467" s="1" t="s">
        <v>181</v>
      </c>
    </row>
    <row r="1468" spans="1:11" x14ac:dyDescent="0.25">
      <c r="A1468" s="1" t="s">
        <v>4707</v>
      </c>
      <c r="B1468" s="1" t="s">
        <v>4708</v>
      </c>
      <c r="D1468" s="1" t="s">
        <v>4709</v>
      </c>
      <c r="E1468" s="1" t="s">
        <v>209</v>
      </c>
      <c r="F1468" s="1" t="s">
        <v>1675</v>
      </c>
      <c r="G1468" s="1" t="s">
        <v>215</v>
      </c>
      <c r="H1468" s="1">
        <v>5</v>
      </c>
      <c r="I1468" s="1">
        <v>0.37562499999999999</v>
      </c>
      <c r="K1468" s="1" t="s">
        <v>181</v>
      </c>
    </row>
    <row r="1469" spans="1:11" x14ac:dyDescent="0.25">
      <c r="A1469" s="1" t="s">
        <v>4710</v>
      </c>
      <c r="B1469" s="1" t="s">
        <v>4711</v>
      </c>
      <c r="D1469" s="1" t="s">
        <v>4712</v>
      </c>
      <c r="E1469" s="1" t="s">
        <v>209</v>
      </c>
      <c r="F1469" s="1" t="s">
        <v>1675</v>
      </c>
      <c r="G1469" s="1" t="s">
        <v>215</v>
      </c>
      <c r="H1469" s="1">
        <v>5</v>
      </c>
      <c r="I1469" s="1">
        <v>0.37562499999999999</v>
      </c>
      <c r="K1469" s="1" t="s">
        <v>181</v>
      </c>
    </row>
    <row r="1470" spans="1:11" x14ac:dyDescent="0.25">
      <c r="A1470" s="1" t="s">
        <v>4713</v>
      </c>
      <c r="B1470" s="1" t="s">
        <v>4714</v>
      </c>
      <c r="D1470" s="1" t="s">
        <v>4715</v>
      </c>
      <c r="E1470" s="1" t="s">
        <v>209</v>
      </c>
      <c r="F1470" s="1" t="s">
        <v>1675</v>
      </c>
      <c r="G1470" s="1" t="s">
        <v>215</v>
      </c>
      <c r="H1470" s="1">
        <v>5</v>
      </c>
      <c r="I1470" s="1">
        <v>0.37562499999999999</v>
      </c>
      <c r="K1470" s="1" t="s">
        <v>181</v>
      </c>
    </row>
    <row r="1471" spans="1:11" x14ac:dyDescent="0.25">
      <c r="A1471" s="1" t="s">
        <v>4716</v>
      </c>
      <c r="B1471" s="1" t="s">
        <v>4717</v>
      </c>
      <c r="D1471" s="1" t="s">
        <v>4718</v>
      </c>
      <c r="E1471" s="1" t="s">
        <v>209</v>
      </c>
      <c r="F1471" s="1" t="s">
        <v>1675</v>
      </c>
      <c r="G1471" s="1" t="s">
        <v>215</v>
      </c>
      <c r="H1471" s="1">
        <v>5</v>
      </c>
      <c r="I1471" s="1">
        <v>0.37562499999999999</v>
      </c>
      <c r="K1471" s="1" t="s">
        <v>181</v>
      </c>
    </row>
    <row r="1472" spans="1:11" x14ac:dyDescent="0.25">
      <c r="A1472" s="1" t="s">
        <v>4719</v>
      </c>
      <c r="B1472" s="1" t="s">
        <v>4720</v>
      </c>
      <c r="D1472" s="1" t="s">
        <v>4721</v>
      </c>
      <c r="E1472" s="1" t="s">
        <v>209</v>
      </c>
      <c r="F1472" s="1" t="s">
        <v>1675</v>
      </c>
      <c r="G1472" s="1" t="s">
        <v>215</v>
      </c>
      <c r="H1472" s="1">
        <v>5</v>
      </c>
      <c r="I1472" s="1">
        <v>0.37562499999999999</v>
      </c>
      <c r="K1472" s="1" t="s">
        <v>181</v>
      </c>
    </row>
    <row r="1473" spans="1:11" x14ac:dyDescent="0.25">
      <c r="A1473" s="1" t="s">
        <v>4722</v>
      </c>
      <c r="B1473" s="1" t="s">
        <v>4723</v>
      </c>
      <c r="D1473" s="1" t="s">
        <v>4724</v>
      </c>
      <c r="E1473" s="1" t="s">
        <v>209</v>
      </c>
      <c r="F1473" s="1" t="s">
        <v>1675</v>
      </c>
      <c r="G1473" s="1" t="s">
        <v>215</v>
      </c>
      <c r="H1473" s="1">
        <v>5</v>
      </c>
      <c r="I1473" s="1">
        <v>0.37562499999999999</v>
      </c>
      <c r="K1473" s="1" t="s">
        <v>181</v>
      </c>
    </row>
    <row r="1474" spans="1:11" x14ac:dyDescent="0.25">
      <c r="A1474" s="1" t="s">
        <v>4725</v>
      </c>
      <c r="B1474" s="1" t="s">
        <v>4726</v>
      </c>
      <c r="D1474" s="1" t="s">
        <v>4727</v>
      </c>
      <c r="E1474" s="1" t="s">
        <v>209</v>
      </c>
      <c r="F1474" s="1" t="s">
        <v>1675</v>
      </c>
      <c r="G1474" s="1" t="s">
        <v>215</v>
      </c>
      <c r="H1474" s="1">
        <v>5</v>
      </c>
      <c r="I1474" s="1">
        <v>0.37562499999999999</v>
      </c>
      <c r="K1474" s="1" t="s">
        <v>181</v>
      </c>
    </row>
    <row r="1475" spans="1:11" x14ac:dyDescent="0.25">
      <c r="A1475" s="1" t="s">
        <v>4728</v>
      </c>
      <c r="B1475" s="1" t="s">
        <v>4729</v>
      </c>
      <c r="D1475" s="1" t="s">
        <v>4730</v>
      </c>
      <c r="E1475" s="1" t="s">
        <v>209</v>
      </c>
      <c r="F1475" s="1" t="s">
        <v>1675</v>
      </c>
      <c r="G1475" s="1" t="s">
        <v>215</v>
      </c>
      <c r="H1475" s="1">
        <v>5</v>
      </c>
      <c r="I1475" s="1">
        <v>0.37562499999999999</v>
      </c>
      <c r="K1475" s="1" t="s">
        <v>181</v>
      </c>
    </row>
    <row r="1476" spans="1:11" x14ac:dyDescent="0.25">
      <c r="A1476" s="1" t="s">
        <v>4731</v>
      </c>
      <c r="B1476" s="1" t="s">
        <v>4732</v>
      </c>
      <c r="D1476" s="1" t="s">
        <v>4733</v>
      </c>
      <c r="E1476" s="1" t="s">
        <v>209</v>
      </c>
      <c r="F1476" s="1" t="s">
        <v>1675</v>
      </c>
      <c r="G1476" s="1" t="s">
        <v>215</v>
      </c>
      <c r="H1476" s="1">
        <v>5</v>
      </c>
      <c r="I1476" s="1">
        <v>0.37562499999999999</v>
      </c>
      <c r="K1476" s="1" t="s">
        <v>181</v>
      </c>
    </row>
    <row r="1477" spans="1:11" x14ac:dyDescent="0.25">
      <c r="A1477" s="1" t="s">
        <v>4734</v>
      </c>
      <c r="B1477" s="1" t="s">
        <v>4735</v>
      </c>
      <c r="C1477" s="1" t="s">
        <v>4736</v>
      </c>
      <c r="D1477" s="1" t="s">
        <v>4737</v>
      </c>
      <c r="E1477" s="1" t="s">
        <v>209</v>
      </c>
      <c r="F1477" s="1" t="s">
        <v>1675</v>
      </c>
      <c r="G1477" s="1" t="s">
        <v>215</v>
      </c>
      <c r="H1477" s="1">
        <v>5</v>
      </c>
      <c r="I1477" s="1">
        <v>0.37562499999999999</v>
      </c>
      <c r="K1477" s="1" t="s">
        <v>181</v>
      </c>
    </row>
    <row r="1478" spans="1:11" x14ac:dyDescent="0.25">
      <c r="A1478" s="1" t="s">
        <v>4738</v>
      </c>
      <c r="B1478" s="1" t="s">
        <v>4739</v>
      </c>
      <c r="D1478" s="1" t="s">
        <v>4740</v>
      </c>
      <c r="E1478" s="1" t="s">
        <v>209</v>
      </c>
      <c r="F1478" s="1" t="s">
        <v>1675</v>
      </c>
      <c r="G1478" s="1" t="s">
        <v>215</v>
      </c>
      <c r="H1478" s="1">
        <v>5</v>
      </c>
      <c r="I1478" s="1">
        <v>0.37562499999999999</v>
      </c>
      <c r="K1478" s="1" t="s">
        <v>181</v>
      </c>
    </row>
    <row r="1479" spans="1:11" x14ac:dyDescent="0.25">
      <c r="A1479" s="1" t="s">
        <v>4741</v>
      </c>
      <c r="B1479" s="1" t="s">
        <v>4742</v>
      </c>
      <c r="D1479" s="1" t="s">
        <v>4743</v>
      </c>
      <c r="E1479" s="1" t="s">
        <v>209</v>
      </c>
      <c r="F1479" s="1" t="s">
        <v>1675</v>
      </c>
      <c r="G1479" s="1" t="s">
        <v>215</v>
      </c>
      <c r="H1479" s="1">
        <v>5</v>
      </c>
      <c r="I1479" s="1">
        <v>0.37562499999999999</v>
      </c>
      <c r="K1479" s="1" t="s">
        <v>181</v>
      </c>
    </row>
    <row r="1480" spans="1:11" x14ac:dyDescent="0.25">
      <c r="A1480" s="1" t="s">
        <v>4744</v>
      </c>
      <c r="B1480" s="1" t="s">
        <v>4745</v>
      </c>
      <c r="D1480" s="1" t="s">
        <v>4746</v>
      </c>
      <c r="E1480" s="1" t="s">
        <v>209</v>
      </c>
      <c r="F1480" s="1" t="s">
        <v>1675</v>
      </c>
      <c r="G1480" s="1" t="s">
        <v>215</v>
      </c>
      <c r="H1480" s="1">
        <v>5</v>
      </c>
      <c r="I1480" s="1">
        <v>0.37562499999999999</v>
      </c>
      <c r="K1480" s="1" t="s">
        <v>181</v>
      </c>
    </row>
    <row r="1481" spans="1:11" x14ac:dyDescent="0.25">
      <c r="A1481" s="1" t="s">
        <v>4747</v>
      </c>
      <c r="B1481" s="1" t="s">
        <v>4748</v>
      </c>
      <c r="D1481" s="1" t="s">
        <v>4749</v>
      </c>
      <c r="E1481" s="1" t="s">
        <v>209</v>
      </c>
      <c r="F1481" s="1" t="s">
        <v>1675</v>
      </c>
      <c r="G1481" s="1" t="s">
        <v>215</v>
      </c>
      <c r="H1481" s="1">
        <v>5</v>
      </c>
      <c r="I1481" s="1">
        <v>0.37562499999999999</v>
      </c>
      <c r="K1481" s="1" t="s">
        <v>181</v>
      </c>
    </row>
    <row r="1482" spans="1:11" x14ac:dyDescent="0.25">
      <c r="A1482" s="1" t="s">
        <v>4750</v>
      </c>
      <c r="B1482" s="1" t="s">
        <v>4751</v>
      </c>
      <c r="D1482" s="1" t="s">
        <v>4752</v>
      </c>
      <c r="E1482" s="1" t="s">
        <v>209</v>
      </c>
      <c r="F1482" s="1" t="s">
        <v>1675</v>
      </c>
      <c r="G1482" s="1" t="s">
        <v>215</v>
      </c>
      <c r="H1482" s="1">
        <v>5</v>
      </c>
      <c r="I1482" s="1">
        <v>0.37562499999999999</v>
      </c>
      <c r="K1482" s="1" t="s">
        <v>181</v>
      </c>
    </row>
    <row r="1483" spans="1:11" x14ac:dyDescent="0.25">
      <c r="A1483" s="1" t="s">
        <v>4753</v>
      </c>
      <c r="B1483" s="1" t="s">
        <v>4754</v>
      </c>
      <c r="D1483" s="1" t="s">
        <v>4755</v>
      </c>
      <c r="E1483" s="1" t="s">
        <v>209</v>
      </c>
      <c r="F1483" s="1" t="s">
        <v>1675</v>
      </c>
      <c r="G1483" s="1" t="s">
        <v>215</v>
      </c>
      <c r="H1483" s="1">
        <v>5</v>
      </c>
      <c r="I1483" s="1">
        <v>0.37562499999999999</v>
      </c>
      <c r="K1483" s="1" t="s">
        <v>181</v>
      </c>
    </row>
    <row r="1484" spans="1:11" x14ac:dyDescent="0.25">
      <c r="A1484" s="1" t="s">
        <v>4756</v>
      </c>
      <c r="B1484" s="1" t="s">
        <v>4757</v>
      </c>
      <c r="D1484" s="1" t="s">
        <v>4758</v>
      </c>
      <c r="E1484" s="1" t="s">
        <v>209</v>
      </c>
      <c r="F1484" s="1" t="s">
        <v>1675</v>
      </c>
      <c r="G1484" s="1" t="s">
        <v>215</v>
      </c>
      <c r="H1484" s="1">
        <v>5</v>
      </c>
      <c r="I1484" s="1">
        <v>0.37562499999999999</v>
      </c>
      <c r="K1484" s="1" t="s">
        <v>181</v>
      </c>
    </row>
    <row r="1485" spans="1:11" x14ac:dyDescent="0.25">
      <c r="A1485" s="1" t="s">
        <v>4759</v>
      </c>
      <c r="B1485" s="1" t="s">
        <v>4760</v>
      </c>
      <c r="D1485" s="1" t="s">
        <v>4761</v>
      </c>
      <c r="E1485" s="1" t="s">
        <v>209</v>
      </c>
      <c r="F1485" s="1" t="s">
        <v>1675</v>
      </c>
      <c r="G1485" s="1" t="s">
        <v>215</v>
      </c>
      <c r="H1485" s="1">
        <v>5</v>
      </c>
      <c r="I1485" s="1">
        <v>0.37562499999999999</v>
      </c>
      <c r="K1485" s="1" t="s">
        <v>181</v>
      </c>
    </row>
    <row r="1486" spans="1:11" x14ac:dyDescent="0.25">
      <c r="A1486" s="1" t="s">
        <v>4762</v>
      </c>
      <c r="B1486" s="1" t="s">
        <v>4763</v>
      </c>
      <c r="D1486" s="1" t="s">
        <v>4764</v>
      </c>
      <c r="E1486" s="1" t="s">
        <v>209</v>
      </c>
      <c r="F1486" s="1" t="s">
        <v>1675</v>
      </c>
      <c r="G1486" s="1" t="s">
        <v>215</v>
      </c>
      <c r="H1486" s="1">
        <v>5</v>
      </c>
      <c r="I1486" s="1">
        <v>0.37562499999999999</v>
      </c>
      <c r="K1486" s="1" t="s">
        <v>181</v>
      </c>
    </row>
    <row r="1487" spans="1:11" x14ac:dyDescent="0.25">
      <c r="A1487" s="1" t="s">
        <v>4765</v>
      </c>
      <c r="B1487" s="1" t="s">
        <v>4766</v>
      </c>
      <c r="D1487" s="1" t="s">
        <v>4767</v>
      </c>
      <c r="E1487" s="1" t="s">
        <v>209</v>
      </c>
      <c r="F1487" s="1" t="s">
        <v>1675</v>
      </c>
      <c r="G1487" s="1" t="s">
        <v>215</v>
      </c>
      <c r="H1487" s="1">
        <v>5</v>
      </c>
      <c r="I1487" s="1">
        <v>0.37562499999999999</v>
      </c>
      <c r="K1487" s="1" t="s">
        <v>181</v>
      </c>
    </row>
    <row r="1488" spans="1:11" x14ac:dyDescent="0.25">
      <c r="A1488" s="1" t="s">
        <v>4768</v>
      </c>
      <c r="B1488" s="1" t="s">
        <v>4769</v>
      </c>
      <c r="D1488" s="1" t="s">
        <v>4770</v>
      </c>
      <c r="E1488" s="1" t="s">
        <v>209</v>
      </c>
      <c r="F1488" s="1" t="s">
        <v>1675</v>
      </c>
      <c r="G1488" s="1" t="s">
        <v>215</v>
      </c>
      <c r="H1488" s="1">
        <v>5</v>
      </c>
      <c r="I1488" s="1">
        <v>0.37562499999999999</v>
      </c>
      <c r="K1488" s="1" t="s">
        <v>181</v>
      </c>
    </row>
    <row r="1489" spans="1:11" x14ac:dyDescent="0.25">
      <c r="A1489" s="1" t="s">
        <v>4771</v>
      </c>
      <c r="B1489" s="1" t="s">
        <v>4772</v>
      </c>
      <c r="D1489" s="1" t="s">
        <v>4773</v>
      </c>
      <c r="E1489" s="1" t="s">
        <v>209</v>
      </c>
      <c r="F1489" s="1" t="s">
        <v>1675</v>
      </c>
      <c r="G1489" s="1" t="s">
        <v>215</v>
      </c>
      <c r="H1489" s="1">
        <v>5</v>
      </c>
      <c r="I1489" s="1">
        <v>0.37562499999999999</v>
      </c>
      <c r="K1489" s="1" t="s">
        <v>181</v>
      </c>
    </row>
    <row r="1490" spans="1:11" x14ac:dyDescent="0.25">
      <c r="A1490" s="1" t="s">
        <v>4774</v>
      </c>
      <c r="B1490" s="1" t="s">
        <v>4775</v>
      </c>
      <c r="D1490" s="1" t="s">
        <v>4776</v>
      </c>
      <c r="E1490" s="1" t="s">
        <v>209</v>
      </c>
      <c r="F1490" s="1" t="s">
        <v>1675</v>
      </c>
      <c r="G1490" s="1" t="s">
        <v>215</v>
      </c>
      <c r="H1490" s="1">
        <v>5</v>
      </c>
      <c r="I1490" s="1">
        <v>0.37562499999999999</v>
      </c>
      <c r="K1490" s="1" t="s">
        <v>181</v>
      </c>
    </row>
    <row r="1491" spans="1:11" x14ac:dyDescent="0.25">
      <c r="A1491" s="1" t="s">
        <v>4777</v>
      </c>
      <c r="B1491" s="1" t="s">
        <v>4778</v>
      </c>
      <c r="D1491" s="1" t="s">
        <v>4779</v>
      </c>
      <c r="E1491" s="1" t="s">
        <v>209</v>
      </c>
      <c r="F1491" s="1" t="s">
        <v>1675</v>
      </c>
      <c r="G1491" s="1" t="s">
        <v>215</v>
      </c>
      <c r="H1491" s="1">
        <v>5</v>
      </c>
      <c r="I1491" s="1">
        <v>0.37562499999999999</v>
      </c>
      <c r="K1491" s="1" t="s">
        <v>181</v>
      </c>
    </row>
    <row r="1492" spans="1:11" x14ac:dyDescent="0.25">
      <c r="A1492" s="1" t="s">
        <v>4780</v>
      </c>
      <c r="B1492" s="1" t="s">
        <v>4781</v>
      </c>
      <c r="D1492" s="1" t="s">
        <v>4782</v>
      </c>
      <c r="E1492" s="1" t="s">
        <v>209</v>
      </c>
      <c r="F1492" s="1" t="s">
        <v>1675</v>
      </c>
      <c r="G1492" s="1" t="s">
        <v>215</v>
      </c>
      <c r="H1492" s="1">
        <v>5</v>
      </c>
      <c r="I1492" s="1">
        <v>0.37562499999999999</v>
      </c>
      <c r="K1492" s="1" t="s">
        <v>181</v>
      </c>
    </row>
    <row r="1493" spans="1:11" x14ac:dyDescent="0.25">
      <c r="A1493" s="1" t="s">
        <v>4783</v>
      </c>
      <c r="B1493" s="1" t="s">
        <v>4784</v>
      </c>
      <c r="D1493" s="1" t="s">
        <v>4785</v>
      </c>
      <c r="E1493" s="1" t="s">
        <v>209</v>
      </c>
      <c r="F1493" s="1" t="s">
        <v>1675</v>
      </c>
      <c r="G1493" s="1" t="s">
        <v>215</v>
      </c>
      <c r="H1493" s="1">
        <v>5</v>
      </c>
      <c r="I1493" s="1">
        <v>0.37562499999999999</v>
      </c>
      <c r="K1493" s="1" t="s">
        <v>181</v>
      </c>
    </row>
    <row r="1494" spans="1:11" x14ac:dyDescent="0.25">
      <c r="A1494" s="1" t="s">
        <v>4786</v>
      </c>
      <c r="B1494" s="1" t="s">
        <v>4787</v>
      </c>
      <c r="D1494" s="1" t="s">
        <v>4788</v>
      </c>
      <c r="E1494" s="1" t="s">
        <v>209</v>
      </c>
      <c r="F1494" s="1" t="s">
        <v>1675</v>
      </c>
      <c r="G1494" s="1" t="s">
        <v>215</v>
      </c>
      <c r="H1494" s="1">
        <v>5</v>
      </c>
      <c r="I1494" s="1">
        <v>0.37562499999999999</v>
      </c>
      <c r="K1494" s="1" t="s">
        <v>181</v>
      </c>
    </row>
    <row r="1495" spans="1:11" x14ac:dyDescent="0.25">
      <c r="A1495" s="1" t="s">
        <v>4789</v>
      </c>
      <c r="B1495" s="1" t="s">
        <v>4790</v>
      </c>
      <c r="D1495" s="1" t="s">
        <v>4791</v>
      </c>
      <c r="E1495" s="1" t="s">
        <v>209</v>
      </c>
      <c r="F1495" s="1" t="s">
        <v>1675</v>
      </c>
      <c r="G1495" s="1" t="s">
        <v>215</v>
      </c>
      <c r="H1495" s="1">
        <v>5</v>
      </c>
      <c r="I1495" s="1">
        <v>0.37562499999999999</v>
      </c>
      <c r="K1495" s="1" t="s">
        <v>181</v>
      </c>
    </row>
    <row r="1496" spans="1:11" x14ac:dyDescent="0.25">
      <c r="A1496" s="1" t="s">
        <v>4792</v>
      </c>
      <c r="B1496" s="1" t="s">
        <v>4793</v>
      </c>
      <c r="D1496" s="1" t="s">
        <v>4794</v>
      </c>
      <c r="E1496" s="1" t="s">
        <v>209</v>
      </c>
      <c r="F1496" s="1" t="s">
        <v>1675</v>
      </c>
      <c r="G1496" s="1" t="s">
        <v>215</v>
      </c>
      <c r="H1496" s="1">
        <v>5</v>
      </c>
      <c r="I1496" s="1">
        <v>0.37562499999999999</v>
      </c>
      <c r="K1496" s="1" t="s">
        <v>181</v>
      </c>
    </row>
    <row r="1497" spans="1:11" x14ac:dyDescent="0.25">
      <c r="A1497" s="1" t="s">
        <v>4795</v>
      </c>
      <c r="B1497" s="1" t="s">
        <v>4796</v>
      </c>
      <c r="D1497" s="1" t="s">
        <v>4797</v>
      </c>
      <c r="E1497" s="1" t="s">
        <v>209</v>
      </c>
      <c r="F1497" s="1" t="s">
        <v>1675</v>
      </c>
      <c r="G1497" s="1" t="s">
        <v>215</v>
      </c>
      <c r="H1497" s="1">
        <v>5</v>
      </c>
      <c r="I1497" s="1">
        <v>0.37562499999999999</v>
      </c>
      <c r="K1497" s="1" t="s">
        <v>181</v>
      </c>
    </row>
    <row r="1498" spans="1:11" x14ac:dyDescent="0.25">
      <c r="A1498" s="1" t="s">
        <v>4798</v>
      </c>
      <c r="B1498" s="1" t="s">
        <v>4799</v>
      </c>
      <c r="D1498" s="1" t="s">
        <v>4800</v>
      </c>
      <c r="E1498" s="1" t="s">
        <v>209</v>
      </c>
      <c r="F1498" s="1" t="s">
        <v>1675</v>
      </c>
      <c r="G1498" s="1" t="s">
        <v>215</v>
      </c>
      <c r="H1498" s="1">
        <v>5</v>
      </c>
      <c r="I1498" s="1">
        <v>0.37562499999999999</v>
      </c>
      <c r="K1498" s="1" t="s">
        <v>181</v>
      </c>
    </row>
    <row r="1499" spans="1:11" x14ac:dyDescent="0.25">
      <c r="A1499" s="1" t="s">
        <v>4801</v>
      </c>
      <c r="B1499" s="1" t="s">
        <v>4802</v>
      </c>
      <c r="D1499" s="1" t="s">
        <v>4803</v>
      </c>
      <c r="E1499" s="1" t="s">
        <v>209</v>
      </c>
      <c r="F1499" s="1" t="s">
        <v>1675</v>
      </c>
      <c r="G1499" s="1" t="s">
        <v>215</v>
      </c>
      <c r="H1499" s="1">
        <v>5</v>
      </c>
      <c r="I1499" s="1">
        <v>0.37562499999999999</v>
      </c>
      <c r="K1499" s="1" t="s">
        <v>181</v>
      </c>
    </row>
    <row r="1500" spans="1:11" x14ac:dyDescent="0.25">
      <c r="A1500" s="1" t="s">
        <v>4804</v>
      </c>
      <c r="B1500" s="1" t="s">
        <v>4805</v>
      </c>
      <c r="D1500" s="1" t="s">
        <v>4806</v>
      </c>
      <c r="E1500" s="1" t="s">
        <v>209</v>
      </c>
      <c r="F1500" s="1" t="s">
        <v>1675</v>
      </c>
      <c r="G1500" s="1" t="s">
        <v>215</v>
      </c>
      <c r="H1500" s="1">
        <v>5</v>
      </c>
      <c r="I1500" s="1">
        <v>0.37562499999999999</v>
      </c>
      <c r="K1500" s="1" t="s">
        <v>181</v>
      </c>
    </row>
    <row r="1501" spans="1:11" x14ac:dyDescent="0.25">
      <c r="A1501" s="1" t="s">
        <v>4807</v>
      </c>
      <c r="B1501" s="1" t="s">
        <v>4808</v>
      </c>
      <c r="D1501" s="1" t="s">
        <v>4809</v>
      </c>
      <c r="E1501" s="1" t="s">
        <v>209</v>
      </c>
      <c r="F1501" s="1" t="s">
        <v>1675</v>
      </c>
      <c r="G1501" s="1" t="s">
        <v>215</v>
      </c>
      <c r="H1501" s="1">
        <v>5</v>
      </c>
      <c r="I1501" s="1">
        <v>0.37562499999999999</v>
      </c>
      <c r="K1501" s="1" t="s">
        <v>181</v>
      </c>
    </row>
    <row r="1502" spans="1:11" x14ac:dyDescent="0.25">
      <c r="A1502" s="1" t="s">
        <v>4810</v>
      </c>
      <c r="B1502" s="1" t="s">
        <v>4811</v>
      </c>
      <c r="D1502" s="1" t="s">
        <v>4812</v>
      </c>
      <c r="E1502" s="1" t="s">
        <v>209</v>
      </c>
      <c r="F1502" s="1" t="s">
        <v>1675</v>
      </c>
      <c r="G1502" s="1" t="s">
        <v>215</v>
      </c>
      <c r="H1502" s="1">
        <v>5</v>
      </c>
      <c r="I1502" s="1">
        <v>0.37562499999999999</v>
      </c>
      <c r="K1502" s="1" t="s">
        <v>181</v>
      </c>
    </row>
    <row r="1503" spans="1:11" x14ac:dyDescent="0.25">
      <c r="A1503" s="1" t="s">
        <v>4813</v>
      </c>
      <c r="B1503" s="1" t="s">
        <v>4814</v>
      </c>
      <c r="D1503" s="1" t="s">
        <v>4815</v>
      </c>
      <c r="E1503" s="1" t="s">
        <v>209</v>
      </c>
      <c r="F1503" s="1" t="s">
        <v>1675</v>
      </c>
      <c r="G1503" s="1" t="s">
        <v>215</v>
      </c>
      <c r="H1503" s="1">
        <v>5</v>
      </c>
      <c r="I1503" s="1">
        <v>0.37562499999999999</v>
      </c>
      <c r="K1503" s="1" t="s">
        <v>181</v>
      </c>
    </row>
    <row r="1504" spans="1:11" x14ac:dyDescent="0.25">
      <c r="A1504" s="1" t="s">
        <v>4816</v>
      </c>
      <c r="B1504" s="1" t="s">
        <v>4817</v>
      </c>
      <c r="D1504" s="1" t="s">
        <v>4818</v>
      </c>
      <c r="E1504" s="1" t="s">
        <v>209</v>
      </c>
      <c r="F1504" s="1" t="s">
        <v>1675</v>
      </c>
      <c r="G1504" s="1" t="s">
        <v>215</v>
      </c>
      <c r="H1504" s="1">
        <v>5</v>
      </c>
      <c r="I1504" s="1">
        <v>0.37562499999999999</v>
      </c>
      <c r="K1504" s="1" t="s">
        <v>181</v>
      </c>
    </row>
    <row r="1505" spans="1:11" x14ac:dyDescent="0.25">
      <c r="A1505" s="1" t="s">
        <v>4819</v>
      </c>
      <c r="B1505" s="1" t="s">
        <v>4820</v>
      </c>
      <c r="D1505" s="1" t="s">
        <v>4821</v>
      </c>
      <c r="E1505" s="1" t="s">
        <v>209</v>
      </c>
      <c r="F1505" s="1" t="s">
        <v>1675</v>
      </c>
      <c r="G1505" s="1" t="s">
        <v>211</v>
      </c>
      <c r="H1505" s="1">
        <v>5</v>
      </c>
      <c r="I1505" s="1">
        <v>0.37562499999999999</v>
      </c>
      <c r="K1505" s="1" t="s">
        <v>181</v>
      </c>
    </row>
    <row r="1506" spans="1:11" x14ac:dyDescent="0.25">
      <c r="A1506" s="1" t="s">
        <v>4822</v>
      </c>
      <c r="B1506" s="1" t="s">
        <v>4823</v>
      </c>
      <c r="D1506" s="1" t="s">
        <v>4824</v>
      </c>
      <c r="E1506" s="1" t="s">
        <v>209</v>
      </c>
      <c r="F1506" s="1" t="s">
        <v>1675</v>
      </c>
      <c r="G1506" s="1" t="s">
        <v>574</v>
      </c>
      <c r="H1506" s="1">
        <v>5</v>
      </c>
      <c r="I1506" s="1">
        <v>0.37562499999999999</v>
      </c>
      <c r="K1506" s="1" t="s">
        <v>181</v>
      </c>
    </row>
    <row r="1507" spans="1:11" x14ac:dyDescent="0.25">
      <c r="A1507" s="1" t="s">
        <v>4825</v>
      </c>
      <c r="B1507" s="1" t="s">
        <v>4826</v>
      </c>
      <c r="D1507" s="1" t="s">
        <v>4827</v>
      </c>
      <c r="E1507" s="1" t="s">
        <v>209</v>
      </c>
      <c r="F1507" s="1" t="s">
        <v>1675</v>
      </c>
      <c r="G1507" s="1" t="s">
        <v>215</v>
      </c>
      <c r="H1507" s="1">
        <v>5</v>
      </c>
      <c r="I1507" s="1">
        <v>0.37562499999999999</v>
      </c>
      <c r="K1507" s="1" t="s">
        <v>181</v>
      </c>
    </row>
    <row r="1508" spans="1:11" x14ac:dyDescent="0.25">
      <c r="A1508" s="1" t="s">
        <v>4828</v>
      </c>
      <c r="B1508" s="1" t="s">
        <v>4829</v>
      </c>
      <c r="D1508" s="1" t="s">
        <v>4830</v>
      </c>
      <c r="E1508" s="1" t="s">
        <v>209</v>
      </c>
      <c r="F1508" s="1" t="s">
        <v>1675</v>
      </c>
      <c r="G1508" s="1" t="s">
        <v>215</v>
      </c>
      <c r="H1508" s="1">
        <v>5</v>
      </c>
      <c r="I1508" s="1">
        <v>0.37562499999999999</v>
      </c>
      <c r="K1508" s="1" t="s">
        <v>181</v>
      </c>
    </row>
    <row r="1509" spans="1:11" x14ac:dyDescent="0.25">
      <c r="A1509" s="1" t="s">
        <v>4831</v>
      </c>
      <c r="B1509" s="1" t="s">
        <v>4832</v>
      </c>
      <c r="D1509" s="1" t="s">
        <v>4833</v>
      </c>
      <c r="E1509" s="1" t="s">
        <v>209</v>
      </c>
      <c r="F1509" s="1" t="s">
        <v>1675</v>
      </c>
      <c r="G1509" s="1" t="s">
        <v>215</v>
      </c>
      <c r="H1509" s="1">
        <v>5</v>
      </c>
      <c r="I1509" s="1">
        <v>0.37562499999999999</v>
      </c>
      <c r="K1509" s="1" t="s">
        <v>181</v>
      </c>
    </row>
    <row r="1510" spans="1:11" x14ac:dyDescent="0.25">
      <c r="A1510" s="1" t="s">
        <v>4834</v>
      </c>
      <c r="B1510" s="1" t="s">
        <v>4835</v>
      </c>
      <c r="D1510" s="1" t="s">
        <v>4836</v>
      </c>
      <c r="E1510" s="1" t="s">
        <v>209</v>
      </c>
      <c r="F1510" s="1" t="s">
        <v>1675</v>
      </c>
      <c r="G1510" s="1" t="s">
        <v>215</v>
      </c>
      <c r="H1510" s="1">
        <v>5</v>
      </c>
      <c r="I1510" s="1">
        <v>0.37562499999999999</v>
      </c>
      <c r="K1510" s="1" t="s">
        <v>181</v>
      </c>
    </row>
    <row r="1511" spans="1:11" x14ac:dyDescent="0.25">
      <c r="A1511" s="1" t="s">
        <v>4837</v>
      </c>
      <c r="B1511" s="1" t="s">
        <v>4838</v>
      </c>
      <c r="D1511" s="1" t="s">
        <v>4839</v>
      </c>
      <c r="E1511" s="1" t="s">
        <v>209</v>
      </c>
      <c r="F1511" s="1" t="s">
        <v>1675</v>
      </c>
      <c r="G1511" s="1" t="s">
        <v>215</v>
      </c>
      <c r="H1511" s="1">
        <v>5</v>
      </c>
      <c r="I1511" s="1">
        <v>0.37562499999999999</v>
      </c>
      <c r="K1511" s="1" t="s">
        <v>181</v>
      </c>
    </row>
    <row r="1512" spans="1:11" x14ac:dyDescent="0.25">
      <c r="A1512" s="1" t="s">
        <v>4840</v>
      </c>
      <c r="B1512" s="1" t="s">
        <v>4841</v>
      </c>
      <c r="D1512" s="1" t="s">
        <v>4842</v>
      </c>
      <c r="E1512" s="1" t="s">
        <v>209</v>
      </c>
      <c r="F1512" s="1" t="s">
        <v>1675</v>
      </c>
      <c r="G1512" s="1" t="s">
        <v>211</v>
      </c>
      <c r="H1512" s="1">
        <v>5</v>
      </c>
      <c r="I1512" s="1">
        <v>0.37562499999999999</v>
      </c>
      <c r="K1512" s="1" t="s">
        <v>181</v>
      </c>
    </row>
    <row r="1513" spans="1:11" x14ac:dyDescent="0.25">
      <c r="A1513" s="1" t="s">
        <v>4843</v>
      </c>
      <c r="B1513" s="1" t="s">
        <v>4841</v>
      </c>
      <c r="D1513" s="1" t="s">
        <v>4844</v>
      </c>
      <c r="E1513" s="1" t="s">
        <v>209</v>
      </c>
      <c r="F1513" s="1" t="s">
        <v>1675</v>
      </c>
      <c r="G1513" s="1" t="s">
        <v>211</v>
      </c>
      <c r="H1513" s="1">
        <v>5</v>
      </c>
      <c r="I1513" s="1">
        <v>0.37562499999999999</v>
      </c>
      <c r="K1513" s="1" t="s">
        <v>181</v>
      </c>
    </row>
    <row r="1514" spans="1:11" x14ac:dyDescent="0.25">
      <c r="A1514" s="1" t="s">
        <v>4845</v>
      </c>
      <c r="B1514" s="1" t="s">
        <v>4846</v>
      </c>
      <c r="D1514" s="1" t="s">
        <v>4847</v>
      </c>
      <c r="E1514" s="1" t="s">
        <v>209</v>
      </c>
      <c r="F1514" s="1" t="s">
        <v>1675</v>
      </c>
      <c r="G1514" s="1" t="s">
        <v>215</v>
      </c>
      <c r="H1514" s="1">
        <v>5</v>
      </c>
      <c r="I1514" s="1">
        <v>0.37562499999999999</v>
      </c>
      <c r="K1514" s="1" t="s">
        <v>181</v>
      </c>
    </row>
    <row r="1515" spans="1:11" x14ac:dyDescent="0.25">
      <c r="A1515" s="1" t="s">
        <v>4848</v>
      </c>
      <c r="B1515" s="1" t="s">
        <v>4849</v>
      </c>
      <c r="D1515" s="1" t="s">
        <v>4850</v>
      </c>
      <c r="E1515" s="1" t="s">
        <v>209</v>
      </c>
      <c r="F1515" s="1" t="s">
        <v>1675</v>
      </c>
      <c r="G1515" s="1" t="s">
        <v>215</v>
      </c>
      <c r="H1515" s="1">
        <v>5</v>
      </c>
      <c r="I1515" s="1">
        <v>0.37562499999999999</v>
      </c>
      <c r="K1515" s="1" t="s">
        <v>181</v>
      </c>
    </row>
    <row r="1516" spans="1:11" x14ac:dyDescent="0.25">
      <c r="A1516" s="1" t="s">
        <v>4851</v>
      </c>
      <c r="B1516" s="1" t="s">
        <v>4852</v>
      </c>
      <c r="D1516" s="1" t="s">
        <v>4853</v>
      </c>
      <c r="E1516" s="1" t="s">
        <v>209</v>
      </c>
      <c r="F1516" s="1" t="s">
        <v>1675</v>
      </c>
      <c r="G1516" s="1" t="s">
        <v>215</v>
      </c>
      <c r="H1516" s="1">
        <v>5</v>
      </c>
      <c r="I1516" s="1">
        <v>0.37562499999999999</v>
      </c>
      <c r="K1516" s="1" t="s">
        <v>181</v>
      </c>
    </row>
    <row r="1517" spans="1:11" x14ac:dyDescent="0.25">
      <c r="A1517" s="1" t="s">
        <v>4854</v>
      </c>
      <c r="B1517" s="1" t="s">
        <v>4855</v>
      </c>
      <c r="D1517" s="1" t="s">
        <v>4856</v>
      </c>
      <c r="E1517" s="1" t="s">
        <v>209</v>
      </c>
      <c r="F1517" s="1" t="s">
        <v>1675</v>
      </c>
      <c r="G1517" s="1" t="s">
        <v>215</v>
      </c>
      <c r="H1517" s="1">
        <v>5</v>
      </c>
      <c r="I1517" s="1">
        <v>0.37562499999999999</v>
      </c>
      <c r="K1517" s="1" t="s">
        <v>181</v>
      </c>
    </row>
    <row r="1518" spans="1:11" x14ac:dyDescent="0.25">
      <c r="A1518" s="1" t="s">
        <v>4857</v>
      </c>
      <c r="B1518" s="1" t="s">
        <v>4858</v>
      </c>
      <c r="D1518" s="1" t="s">
        <v>4859</v>
      </c>
      <c r="E1518" s="1" t="s">
        <v>209</v>
      </c>
      <c r="F1518" s="1" t="s">
        <v>1675</v>
      </c>
      <c r="G1518" s="1" t="s">
        <v>215</v>
      </c>
      <c r="H1518" s="1">
        <v>5</v>
      </c>
      <c r="I1518" s="1">
        <v>0.37562499999999999</v>
      </c>
      <c r="K1518" s="1" t="s">
        <v>181</v>
      </c>
    </row>
    <row r="1519" spans="1:11" x14ac:dyDescent="0.25">
      <c r="A1519" s="1" t="s">
        <v>4860</v>
      </c>
      <c r="B1519" s="1" t="s">
        <v>4861</v>
      </c>
      <c r="D1519" s="1" t="s">
        <v>4862</v>
      </c>
      <c r="E1519" s="1" t="s">
        <v>209</v>
      </c>
      <c r="F1519" s="1" t="s">
        <v>1675</v>
      </c>
      <c r="G1519" s="1" t="s">
        <v>574</v>
      </c>
      <c r="H1519" s="1">
        <v>5</v>
      </c>
      <c r="I1519" s="1">
        <v>0.37562499999999999</v>
      </c>
      <c r="K1519" s="1" t="s">
        <v>181</v>
      </c>
    </row>
    <row r="1520" spans="1:11" x14ac:dyDescent="0.25">
      <c r="A1520" s="1" t="s">
        <v>4863</v>
      </c>
      <c r="B1520" s="1" t="s">
        <v>4864</v>
      </c>
      <c r="D1520" s="1" t="s">
        <v>4865</v>
      </c>
      <c r="E1520" s="1" t="s">
        <v>209</v>
      </c>
      <c r="F1520" s="1" t="s">
        <v>1675</v>
      </c>
      <c r="G1520" s="1" t="s">
        <v>211</v>
      </c>
      <c r="H1520" s="1">
        <v>5</v>
      </c>
      <c r="I1520" s="1">
        <v>0.37562499999999999</v>
      </c>
      <c r="K1520" s="1" t="s">
        <v>181</v>
      </c>
    </row>
    <row r="1521" spans="1:11" x14ac:dyDescent="0.25">
      <c r="A1521" s="1" t="s">
        <v>4866</v>
      </c>
      <c r="B1521" s="1" t="s">
        <v>4867</v>
      </c>
      <c r="D1521" s="1" t="s">
        <v>4868</v>
      </c>
      <c r="E1521" s="1" t="s">
        <v>209</v>
      </c>
      <c r="F1521" s="1" t="s">
        <v>1675</v>
      </c>
      <c r="G1521" s="1" t="s">
        <v>215</v>
      </c>
      <c r="H1521" s="1">
        <v>5</v>
      </c>
      <c r="I1521" s="1">
        <v>0.37562499999999999</v>
      </c>
      <c r="K1521" s="1" t="s">
        <v>181</v>
      </c>
    </row>
    <row r="1522" spans="1:11" x14ac:dyDescent="0.25">
      <c r="A1522" s="1" t="s">
        <v>4869</v>
      </c>
      <c r="B1522" s="1" t="s">
        <v>4870</v>
      </c>
      <c r="D1522" s="1" t="s">
        <v>4871</v>
      </c>
      <c r="E1522" s="1" t="s">
        <v>209</v>
      </c>
      <c r="F1522" s="1" t="s">
        <v>1675</v>
      </c>
      <c r="G1522" s="1" t="s">
        <v>215</v>
      </c>
      <c r="H1522" s="1">
        <v>5</v>
      </c>
      <c r="I1522" s="1">
        <v>0.37562499999999999</v>
      </c>
      <c r="K1522" s="1" t="s">
        <v>181</v>
      </c>
    </row>
    <row r="1523" spans="1:11" x14ac:dyDescent="0.25">
      <c r="A1523" s="1" t="s">
        <v>4872</v>
      </c>
      <c r="B1523" s="1" t="s">
        <v>4873</v>
      </c>
      <c r="D1523" s="1" t="s">
        <v>4874</v>
      </c>
      <c r="E1523" s="1" t="s">
        <v>209</v>
      </c>
      <c r="F1523" s="1" t="s">
        <v>1675</v>
      </c>
      <c r="G1523" s="1" t="s">
        <v>215</v>
      </c>
      <c r="H1523" s="1">
        <v>5</v>
      </c>
      <c r="I1523" s="1">
        <v>0.37562499999999999</v>
      </c>
      <c r="K1523" s="1" t="s">
        <v>181</v>
      </c>
    </row>
    <row r="1524" spans="1:11" x14ac:dyDescent="0.25">
      <c r="A1524" s="1" t="s">
        <v>4875</v>
      </c>
      <c r="B1524" s="1" t="s">
        <v>4876</v>
      </c>
      <c r="D1524" s="1" t="s">
        <v>4877</v>
      </c>
      <c r="E1524" s="1" t="s">
        <v>209</v>
      </c>
      <c r="F1524" s="1" t="s">
        <v>1675</v>
      </c>
      <c r="G1524" s="1" t="s">
        <v>215</v>
      </c>
      <c r="H1524" s="1">
        <v>5</v>
      </c>
      <c r="I1524" s="1">
        <v>0.37562499999999999</v>
      </c>
      <c r="K1524" s="1" t="s">
        <v>181</v>
      </c>
    </row>
    <row r="1525" spans="1:11" x14ac:dyDescent="0.25">
      <c r="A1525" s="1" t="s">
        <v>4878</v>
      </c>
      <c r="B1525" s="1" t="s">
        <v>4879</v>
      </c>
      <c r="D1525" s="1" t="s">
        <v>4880</v>
      </c>
      <c r="E1525" s="1" t="s">
        <v>209</v>
      </c>
      <c r="F1525" s="1" t="s">
        <v>1675</v>
      </c>
      <c r="G1525" s="1" t="s">
        <v>215</v>
      </c>
      <c r="H1525" s="1">
        <v>5</v>
      </c>
      <c r="I1525" s="1">
        <v>0.37562499999999999</v>
      </c>
      <c r="K1525" s="1" t="s">
        <v>181</v>
      </c>
    </row>
    <row r="1526" spans="1:11" x14ac:dyDescent="0.25">
      <c r="A1526" s="1" t="s">
        <v>4881</v>
      </c>
      <c r="B1526" s="1" t="s">
        <v>4882</v>
      </c>
      <c r="D1526" s="1" t="s">
        <v>4883</v>
      </c>
      <c r="E1526" s="1" t="s">
        <v>209</v>
      </c>
      <c r="F1526" s="1" t="s">
        <v>1675</v>
      </c>
      <c r="G1526" s="1" t="s">
        <v>215</v>
      </c>
      <c r="H1526" s="1">
        <v>5</v>
      </c>
      <c r="I1526" s="1">
        <v>0.37562499999999999</v>
      </c>
      <c r="K1526" s="1" t="s">
        <v>181</v>
      </c>
    </row>
    <row r="1527" spans="1:11" x14ac:dyDescent="0.25">
      <c r="A1527" s="1" t="s">
        <v>4884</v>
      </c>
      <c r="B1527" s="1" t="s">
        <v>4885</v>
      </c>
      <c r="D1527" s="1" t="s">
        <v>4886</v>
      </c>
      <c r="E1527" s="1" t="s">
        <v>209</v>
      </c>
      <c r="F1527" s="1" t="s">
        <v>1675</v>
      </c>
      <c r="G1527" s="1" t="s">
        <v>215</v>
      </c>
      <c r="H1527" s="1">
        <v>5</v>
      </c>
      <c r="I1527" s="1">
        <v>0.37562499999999999</v>
      </c>
      <c r="K1527" s="1" t="s">
        <v>181</v>
      </c>
    </row>
    <row r="1528" spans="1:11" x14ac:dyDescent="0.25">
      <c r="A1528" s="1" t="s">
        <v>4887</v>
      </c>
      <c r="B1528" s="1" t="s">
        <v>4888</v>
      </c>
      <c r="D1528" s="1" t="s">
        <v>4889</v>
      </c>
      <c r="E1528" s="1" t="s">
        <v>209</v>
      </c>
      <c r="F1528" s="1" t="s">
        <v>1675</v>
      </c>
      <c r="G1528" s="1" t="s">
        <v>215</v>
      </c>
      <c r="H1528" s="1">
        <v>5</v>
      </c>
      <c r="I1528" s="1">
        <v>0.37562499999999999</v>
      </c>
      <c r="K1528" s="1" t="s">
        <v>181</v>
      </c>
    </row>
    <row r="1529" spans="1:11" x14ac:dyDescent="0.25">
      <c r="A1529" s="1" t="s">
        <v>4890</v>
      </c>
      <c r="B1529" s="1" t="s">
        <v>4891</v>
      </c>
      <c r="D1529" s="1" t="s">
        <v>4892</v>
      </c>
      <c r="E1529" s="1" t="s">
        <v>209</v>
      </c>
      <c r="F1529" s="1" t="s">
        <v>1675</v>
      </c>
      <c r="G1529" s="1" t="s">
        <v>215</v>
      </c>
      <c r="H1529" s="1">
        <v>5</v>
      </c>
      <c r="I1529" s="1">
        <v>0.37562499999999999</v>
      </c>
      <c r="K1529" s="1" t="s">
        <v>181</v>
      </c>
    </row>
    <row r="1530" spans="1:11" x14ac:dyDescent="0.25">
      <c r="A1530" s="1" t="s">
        <v>4893</v>
      </c>
      <c r="B1530" s="1" t="s">
        <v>4894</v>
      </c>
      <c r="D1530" s="1" t="s">
        <v>4895</v>
      </c>
      <c r="E1530" s="1" t="s">
        <v>209</v>
      </c>
      <c r="F1530" s="1" t="s">
        <v>1675</v>
      </c>
      <c r="G1530" s="1" t="s">
        <v>215</v>
      </c>
      <c r="H1530" s="1">
        <v>5</v>
      </c>
      <c r="I1530" s="1">
        <v>0.37562499999999999</v>
      </c>
      <c r="K1530" s="1" t="s">
        <v>181</v>
      </c>
    </row>
    <row r="1531" spans="1:11" x14ac:dyDescent="0.25">
      <c r="A1531" s="1" t="s">
        <v>4896</v>
      </c>
      <c r="B1531" s="1" t="s">
        <v>4897</v>
      </c>
      <c r="D1531" s="1" t="s">
        <v>4898</v>
      </c>
      <c r="E1531" s="1" t="s">
        <v>209</v>
      </c>
      <c r="F1531" s="1" t="s">
        <v>1675</v>
      </c>
      <c r="G1531" s="1" t="s">
        <v>215</v>
      </c>
      <c r="H1531" s="1">
        <v>5</v>
      </c>
      <c r="I1531" s="1">
        <v>0.37562499999999999</v>
      </c>
      <c r="K1531" s="1" t="s">
        <v>181</v>
      </c>
    </row>
    <row r="1532" spans="1:11" x14ac:dyDescent="0.25">
      <c r="A1532" s="1" t="s">
        <v>4899</v>
      </c>
      <c r="B1532" s="1" t="s">
        <v>4900</v>
      </c>
      <c r="D1532" s="1" t="s">
        <v>4901</v>
      </c>
      <c r="E1532" s="1" t="s">
        <v>209</v>
      </c>
      <c r="F1532" s="1" t="s">
        <v>1675</v>
      </c>
      <c r="G1532" s="1" t="s">
        <v>215</v>
      </c>
      <c r="H1532" s="1">
        <v>5</v>
      </c>
      <c r="I1532" s="1">
        <v>0.37562499999999999</v>
      </c>
      <c r="K1532" s="1" t="s">
        <v>181</v>
      </c>
    </row>
    <row r="1533" spans="1:11" x14ac:dyDescent="0.25">
      <c r="A1533" s="1" t="s">
        <v>4902</v>
      </c>
      <c r="B1533" s="1" t="s">
        <v>4903</v>
      </c>
      <c r="D1533" s="1" t="s">
        <v>4904</v>
      </c>
      <c r="E1533" s="1" t="s">
        <v>209</v>
      </c>
      <c r="F1533" s="1" t="s">
        <v>1675</v>
      </c>
      <c r="G1533" s="1" t="s">
        <v>215</v>
      </c>
      <c r="H1533" s="1">
        <v>5</v>
      </c>
      <c r="I1533" s="1">
        <v>0.37562499999999999</v>
      </c>
      <c r="K1533" s="1" t="s">
        <v>181</v>
      </c>
    </row>
    <row r="1534" spans="1:11" x14ac:dyDescent="0.25">
      <c r="A1534" s="1" t="s">
        <v>4905</v>
      </c>
      <c r="B1534" s="1" t="s">
        <v>4906</v>
      </c>
      <c r="D1534" s="1" t="s">
        <v>4907</v>
      </c>
      <c r="E1534" s="1" t="s">
        <v>209</v>
      </c>
      <c r="F1534" s="1" t="s">
        <v>1675</v>
      </c>
      <c r="G1534" s="1" t="s">
        <v>215</v>
      </c>
      <c r="H1534" s="1">
        <v>5</v>
      </c>
      <c r="I1534" s="1">
        <v>0.37562499999999999</v>
      </c>
      <c r="K1534" s="1" t="s">
        <v>181</v>
      </c>
    </row>
    <row r="1535" spans="1:11" x14ac:dyDescent="0.25">
      <c r="A1535" s="1" t="s">
        <v>4908</v>
      </c>
      <c r="B1535" s="1" t="s">
        <v>4909</v>
      </c>
      <c r="D1535" s="1" t="s">
        <v>4910</v>
      </c>
      <c r="E1535" s="1" t="s">
        <v>209</v>
      </c>
      <c r="F1535" s="1" t="s">
        <v>1675</v>
      </c>
      <c r="G1535" s="1" t="s">
        <v>215</v>
      </c>
      <c r="H1535" s="1">
        <v>5</v>
      </c>
      <c r="I1535" s="1">
        <v>0.37562499999999999</v>
      </c>
      <c r="K1535" s="1" t="s">
        <v>181</v>
      </c>
    </row>
    <row r="1536" spans="1:11" x14ac:dyDescent="0.25">
      <c r="A1536" s="1" t="s">
        <v>4911</v>
      </c>
      <c r="B1536" s="1" t="s">
        <v>4912</v>
      </c>
      <c r="D1536" s="1" t="s">
        <v>4913</v>
      </c>
      <c r="E1536" s="1" t="s">
        <v>209</v>
      </c>
      <c r="F1536" s="1" t="s">
        <v>1675</v>
      </c>
      <c r="G1536" s="1" t="s">
        <v>215</v>
      </c>
      <c r="H1536" s="1">
        <v>5</v>
      </c>
      <c r="I1536" s="1">
        <v>0.37562499999999999</v>
      </c>
      <c r="K1536" s="1" t="s">
        <v>181</v>
      </c>
    </row>
    <row r="1537" spans="1:11" x14ac:dyDescent="0.25">
      <c r="A1537" s="1" t="s">
        <v>4914</v>
      </c>
      <c r="B1537" s="1" t="s">
        <v>4915</v>
      </c>
      <c r="D1537" s="1" t="s">
        <v>4916</v>
      </c>
      <c r="E1537" s="1" t="s">
        <v>209</v>
      </c>
      <c r="F1537" s="1" t="s">
        <v>1675</v>
      </c>
      <c r="G1537" s="1" t="s">
        <v>215</v>
      </c>
      <c r="H1537" s="1">
        <v>5</v>
      </c>
      <c r="I1537" s="1">
        <v>0.37562499999999999</v>
      </c>
      <c r="K1537" s="1" t="s">
        <v>181</v>
      </c>
    </row>
    <row r="1538" spans="1:11" x14ac:dyDescent="0.25">
      <c r="A1538" s="1" t="s">
        <v>4917</v>
      </c>
      <c r="B1538" s="1" t="s">
        <v>4918</v>
      </c>
      <c r="D1538" s="1" t="s">
        <v>4919</v>
      </c>
      <c r="E1538" s="1" t="s">
        <v>209</v>
      </c>
      <c r="F1538" s="1" t="s">
        <v>1675</v>
      </c>
      <c r="G1538" s="1" t="s">
        <v>215</v>
      </c>
      <c r="H1538" s="1">
        <v>5</v>
      </c>
      <c r="I1538" s="1">
        <v>0.37562499999999999</v>
      </c>
      <c r="K1538" s="1" t="s">
        <v>181</v>
      </c>
    </row>
    <row r="1539" spans="1:11" x14ac:dyDescent="0.25">
      <c r="A1539" s="1" t="s">
        <v>4920</v>
      </c>
      <c r="B1539" s="1" t="s">
        <v>4921</v>
      </c>
      <c r="D1539" s="1" t="s">
        <v>4922</v>
      </c>
      <c r="E1539" s="1" t="s">
        <v>209</v>
      </c>
      <c r="F1539" s="1" t="s">
        <v>1675</v>
      </c>
      <c r="G1539" s="1" t="s">
        <v>215</v>
      </c>
      <c r="H1539" s="1">
        <v>5</v>
      </c>
      <c r="I1539" s="1">
        <v>0.37562499999999999</v>
      </c>
      <c r="K1539" s="1" t="s">
        <v>181</v>
      </c>
    </row>
    <row r="1540" spans="1:11" x14ac:dyDescent="0.25">
      <c r="A1540" s="1" t="s">
        <v>4923</v>
      </c>
      <c r="B1540" s="1" t="s">
        <v>4924</v>
      </c>
      <c r="D1540" s="1" t="s">
        <v>4925</v>
      </c>
      <c r="E1540" s="1" t="s">
        <v>209</v>
      </c>
      <c r="F1540" s="1" t="s">
        <v>1675</v>
      </c>
      <c r="G1540" s="1" t="s">
        <v>215</v>
      </c>
      <c r="H1540" s="1">
        <v>5</v>
      </c>
      <c r="I1540" s="1">
        <v>0.37562499999999999</v>
      </c>
      <c r="K1540" s="1" t="s">
        <v>181</v>
      </c>
    </row>
    <row r="1541" spans="1:11" x14ac:dyDescent="0.25">
      <c r="A1541" s="1" t="s">
        <v>4926</v>
      </c>
      <c r="B1541" s="1" t="s">
        <v>4927</v>
      </c>
      <c r="D1541" s="1" t="s">
        <v>4928</v>
      </c>
      <c r="E1541" s="1" t="s">
        <v>209</v>
      </c>
      <c r="F1541" s="1" t="s">
        <v>1675</v>
      </c>
      <c r="G1541" s="1" t="s">
        <v>215</v>
      </c>
      <c r="H1541" s="1">
        <v>5</v>
      </c>
      <c r="I1541" s="1">
        <v>0.37562499999999999</v>
      </c>
      <c r="K1541" s="1" t="s">
        <v>181</v>
      </c>
    </row>
    <row r="1542" spans="1:11" x14ac:dyDescent="0.25">
      <c r="A1542" s="1" t="s">
        <v>4929</v>
      </c>
      <c r="B1542" s="1" t="s">
        <v>4930</v>
      </c>
      <c r="D1542" s="1" t="s">
        <v>4931</v>
      </c>
      <c r="E1542" s="1" t="s">
        <v>209</v>
      </c>
      <c r="F1542" s="1" t="s">
        <v>1675</v>
      </c>
      <c r="G1542" s="1" t="s">
        <v>215</v>
      </c>
      <c r="H1542" s="1">
        <v>5</v>
      </c>
      <c r="I1542" s="1">
        <v>0.37562499999999999</v>
      </c>
      <c r="K1542" s="1" t="s">
        <v>181</v>
      </c>
    </row>
    <row r="1543" spans="1:11" x14ac:dyDescent="0.25">
      <c r="A1543" s="1" t="s">
        <v>4932</v>
      </c>
      <c r="B1543" s="1" t="s">
        <v>4933</v>
      </c>
      <c r="D1543" s="1" t="s">
        <v>4934</v>
      </c>
      <c r="E1543" s="1" t="s">
        <v>209</v>
      </c>
      <c r="F1543" s="1" t="s">
        <v>1675</v>
      </c>
      <c r="G1543" s="1" t="s">
        <v>215</v>
      </c>
      <c r="H1543" s="1">
        <v>5</v>
      </c>
      <c r="I1543" s="1">
        <v>0.37562499999999999</v>
      </c>
      <c r="K1543" s="1" t="s">
        <v>181</v>
      </c>
    </row>
    <row r="1544" spans="1:11" x14ac:dyDescent="0.25">
      <c r="A1544" s="1" t="s">
        <v>4935</v>
      </c>
      <c r="B1544" s="1" t="s">
        <v>4936</v>
      </c>
      <c r="D1544" s="1" t="s">
        <v>4937</v>
      </c>
      <c r="E1544" s="1" t="s">
        <v>209</v>
      </c>
      <c r="F1544" s="1" t="s">
        <v>1675</v>
      </c>
      <c r="G1544" s="1" t="s">
        <v>215</v>
      </c>
      <c r="H1544" s="1">
        <v>5</v>
      </c>
      <c r="I1544" s="1">
        <v>0.37562499999999999</v>
      </c>
      <c r="K1544" s="1" t="s">
        <v>181</v>
      </c>
    </row>
    <row r="1545" spans="1:11" x14ac:dyDescent="0.25">
      <c r="A1545" s="1" t="s">
        <v>4938</v>
      </c>
      <c r="B1545" s="1" t="s">
        <v>4939</v>
      </c>
      <c r="D1545" s="1" t="s">
        <v>4940</v>
      </c>
      <c r="E1545" s="1" t="s">
        <v>209</v>
      </c>
      <c r="F1545" s="1" t="s">
        <v>1675</v>
      </c>
      <c r="G1545" s="1" t="s">
        <v>215</v>
      </c>
      <c r="H1545" s="1">
        <v>5</v>
      </c>
      <c r="I1545" s="1">
        <v>0.37562499999999999</v>
      </c>
      <c r="K1545" s="1" t="s">
        <v>181</v>
      </c>
    </row>
    <row r="1546" spans="1:11" x14ac:dyDescent="0.25">
      <c r="A1546" s="1" t="s">
        <v>4941</v>
      </c>
      <c r="B1546" s="1" t="s">
        <v>4942</v>
      </c>
      <c r="D1546" s="1" t="s">
        <v>4943</v>
      </c>
      <c r="E1546" s="1" t="s">
        <v>209</v>
      </c>
      <c r="F1546" s="1" t="s">
        <v>1675</v>
      </c>
      <c r="G1546" s="1" t="s">
        <v>215</v>
      </c>
      <c r="H1546" s="1">
        <v>5</v>
      </c>
      <c r="I1546" s="1">
        <v>0.37562499999999999</v>
      </c>
      <c r="K1546" s="1" t="s">
        <v>181</v>
      </c>
    </row>
    <row r="1547" spans="1:11" x14ac:dyDescent="0.25">
      <c r="A1547" s="1" t="s">
        <v>4944</v>
      </c>
      <c r="B1547" s="1" t="s">
        <v>4945</v>
      </c>
      <c r="D1547" s="1" t="s">
        <v>4946</v>
      </c>
      <c r="E1547" s="1" t="s">
        <v>209</v>
      </c>
      <c r="F1547" s="1" t="s">
        <v>1675</v>
      </c>
      <c r="G1547" s="1" t="s">
        <v>215</v>
      </c>
      <c r="H1547" s="1">
        <v>5</v>
      </c>
      <c r="I1547" s="1">
        <v>0.37562499999999999</v>
      </c>
      <c r="K1547" s="1" t="s">
        <v>181</v>
      </c>
    </row>
    <row r="1548" spans="1:11" x14ac:dyDescent="0.25">
      <c r="A1548" s="1" t="s">
        <v>4947</v>
      </c>
      <c r="B1548" s="1" t="s">
        <v>4948</v>
      </c>
      <c r="D1548" s="1" t="s">
        <v>4949</v>
      </c>
      <c r="E1548" s="1" t="s">
        <v>209</v>
      </c>
      <c r="F1548" s="1" t="s">
        <v>1675</v>
      </c>
      <c r="G1548" s="1" t="s">
        <v>215</v>
      </c>
      <c r="H1548" s="1">
        <v>5</v>
      </c>
      <c r="I1548" s="1">
        <v>0.37562499999999999</v>
      </c>
      <c r="K1548" s="1" t="s">
        <v>181</v>
      </c>
    </row>
    <row r="1549" spans="1:11" x14ac:dyDescent="0.25">
      <c r="A1549" s="1" t="s">
        <v>4950</v>
      </c>
      <c r="B1549" s="1" t="s">
        <v>4951</v>
      </c>
      <c r="D1549" s="1" t="s">
        <v>4952</v>
      </c>
      <c r="E1549" s="1" t="s">
        <v>209</v>
      </c>
      <c r="F1549" s="1" t="s">
        <v>1675</v>
      </c>
      <c r="G1549" s="1" t="s">
        <v>215</v>
      </c>
      <c r="H1549" s="1">
        <v>5</v>
      </c>
      <c r="I1549" s="1">
        <v>0.37562499999999999</v>
      </c>
      <c r="K1549" s="1" t="s">
        <v>181</v>
      </c>
    </row>
    <row r="1550" spans="1:11" x14ac:dyDescent="0.25">
      <c r="A1550" s="1" t="s">
        <v>4953</v>
      </c>
      <c r="B1550" s="1" t="s">
        <v>4954</v>
      </c>
      <c r="D1550" s="1" t="s">
        <v>4955</v>
      </c>
      <c r="E1550" s="1" t="s">
        <v>209</v>
      </c>
      <c r="F1550" s="1" t="s">
        <v>1675</v>
      </c>
      <c r="G1550" s="1" t="s">
        <v>215</v>
      </c>
      <c r="H1550" s="1">
        <v>5</v>
      </c>
      <c r="I1550" s="1">
        <v>0.37562499999999999</v>
      </c>
      <c r="K1550" s="1" t="s">
        <v>181</v>
      </c>
    </row>
    <row r="1551" spans="1:11" x14ac:dyDescent="0.25">
      <c r="A1551" s="1" t="s">
        <v>4956</v>
      </c>
      <c r="B1551" s="1" t="s">
        <v>4957</v>
      </c>
      <c r="D1551" s="1" t="s">
        <v>4958</v>
      </c>
      <c r="E1551" s="1" t="s">
        <v>209</v>
      </c>
      <c r="F1551" s="1" t="s">
        <v>1675</v>
      </c>
      <c r="G1551" s="1" t="s">
        <v>215</v>
      </c>
      <c r="H1551" s="1">
        <v>5</v>
      </c>
      <c r="I1551" s="1">
        <v>0.37562499999999999</v>
      </c>
      <c r="K1551" s="1" t="s">
        <v>181</v>
      </c>
    </row>
    <row r="1552" spans="1:11" x14ac:dyDescent="0.25">
      <c r="A1552" s="1" t="s">
        <v>4959</v>
      </c>
      <c r="B1552" s="1" t="s">
        <v>4960</v>
      </c>
      <c r="D1552" s="1" t="s">
        <v>4961</v>
      </c>
      <c r="E1552" s="1" t="s">
        <v>209</v>
      </c>
      <c r="F1552" s="1" t="s">
        <v>1675</v>
      </c>
      <c r="G1552" s="1" t="s">
        <v>215</v>
      </c>
      <c r="H1552" s="1">
        <v>5</v>
      </c>
      <c r="I1552" s="1">
        <v>0.37562499999999999</v>
      </c>
      <c r="K1552" s="1" t="s">
        <v>181</v>
      </c>
    </row>
    <row r="1553" spans="1:11" x14ac:dyDescent="0.25">
      <c r="A1553" s="1" t="s">
        <v>4962</v>
      </c>
      <c r="B1553" s="1" t="s">
        <v>4963</v>
      </c>
      <c r="C1553" s="1" t="s">
        <v>4964</v>
      </c>
      <c r="D1553" s="1" t="s">
        <v>4965</v>
      </c>
      <c r="E1553" s="1" t="s">
        <v>178</v>
      </c>
      <c r="F1553" s="1" t="s">
        <v>4966</v>
      </c>
      <c r="G1553" s="1" t="s">
        <v>309</v>
      </c>
      <c r="H1553" s="1">
        <v>1.1000000000000001</v>
      </c>
      <c r="I1553" s="1">
        <v>0.15625</v>
      </c>
      <c r="K1553" s="1" t="s">
        <v>181</v>
      </c>
    </row>
    <row r="1554" spans="1:11" x14ac:dyDescent="0.25">
      <c r="A1554" s="1" t="s">
        <v>4967</v>
      </c>
      <c r="B1554" s="1" t="s">
        <v>4968</v>
      </c>
      <c r="D1554" s="1" t="s">
        <v>4969</v>
      </c>
      <c r="E1554" s="1" t="s">
        <v>209</v>
      </c>
      <c r="F1554" s="1" t="s">
        <v>4970</v>
      </c>
      <c r="G1554" s="1" t="s">
        <v>215</v>
      </c>
      <c r="H1554" s="1">
        <v>1</v>
      </c>
      <c r="I1554" s="1">
        <v>0.15062500000000001</v>
      </c>
      <c r="K1554" s="1" t="s">
        <v>181</v>
      </c>
    </row>
    <row r="1555" spans="1:11" x14ac:dyDescent="0.25">
      <c r="A1555" s="1" t="s">
        <v>4971</v>
      </c>
      <c r="B1555" s="1" t="s">
        <v>4972</v>
      </c>
      <c r="D1555" s="1" t="s">
        <v>4973</v>
      </c>
      <c r="E1555" s="1" t="s">
        <v>209</v>
      </c>
      <c r="F1555" s="1" t="s">
        <v>4970</v>
      </c>
      <c r="G1555" s="1" t="s">
        <v>215</v>
      </c>
      <c r="H1555" s="1">
        <v>1</v>
      </c>
      <c r="I1555" s="1">
        <v>0.15062500000000001</v>
      </c>
      <c r="K1555" s="1" t="s">
        <v>181</v>
      </c>
    </row>
    <row r="1556" spans="1:11" x14ac:dyDescent="0.25">
      <c r="A1556" s="1" t="s">
        <v>4974</v>
      </c>
      <c r="B1556" s="1" t="s">
        <v>4975</v>
      </c>
      <c r="C1556" s="1" t="s">
        <v>4976</v>
      </c>
      <c r="D1556" s="1" t="s">
        <v>4977</v>
      </c>
      <c r="E1556" s="1" t="s">
        <v>178</v>
      </c>
      <c r="F1556" s="1" t="s">
        <v>4970</v>
      </c>
      <c r="G1556" s="1" t="s">
        <v>215</v>
      </c>
      <c r="H1556" s="1">
        <v>1</v>
      </c>
      <c r="I1556" s="1">
        <v>0.15062500000000001</v>
      </c>
      <c r="K1556" s="1" t="s">
        <v>181</v>
      </c>
    </row>
    <row r="1557" spans="1:11" x14ac:dyDescent="0.25">
      <c r="A1557" s="1" t="s">
        <v>4978</v>
      </c>
      <c r="B1557" s="1" t="s">
        <v>4975</v>
      </c>
      <c r="C1557" s="1" t="s">
        <v>4979</v>
      </c>
      <c r="D1557" s="1" t="s">
        <v>4980</v>
      </c>
      <c r="E1557" s="1" t="s">
        <v>178</v>
      </c>
      <c r="F1557" s="1" t="s">
        <v>4970</v>
      </c>
      <c r="G1557" s="1" t="s">
        <v>215</v>
      </c>
      <c r="H1557" s="1">
        <v>1</v>
      </c>
      <c r="I1557" s="1">
        <v>0.15062500000000001</v>
      </c>
      <c r="K1557" s="1" t="s">
        <v>181</v>
      </c>
    </row>
    <row r="1558" spans="1:11" x14ac:dyDescent="0.25">
      <c r="A1558" s="1" t="s">
        <v>4981</v>
      </c>
      <c r="B1558" s="1" t="s">
        <v>4982</v>
      </c>
      <c r="D1558" s="1" t="s">
        <v>4983</v>
      </c>
      <c r="E1558" s="1" t="s">
        <v>209</v>
      </c>
      <c r="F1558" s="1" t="s">
        <v>4970</v>
      </c>
      <c r="G1558" s="1" t="s">
        <v>574</v>
      </c>
      <c r="H1558" s="1">
        <v>1</v>
      </c>
      <c r="I1558" s="1">
        <v>0.15062500000000001</v>
      </c>
      <c r="K1558" s="1" t="s">
        <v>181</v>
      </c>
    </row>
    <row r="1559" spans="1:11" x14ac:dyDescent="0.25">
      <c r="A1559" s="1" t="s">
        <v>4984</v>
      </c>
      <c r="B1559" s="1" t="s">
        <v>4985</v>
      </c>
      <c r="D1559" s="1" t="s">
        <v>4986</v>
      </c>
      <c r="E1559" s="1" t="s">
        <v>209</v>
      </c>
      <c r="F1559" s="1" t="s">
        <v>4970</v>
      </c>
      <c r="G1559" s="1" t="s">
        <v>574</v>
      </c>
      <c r="H1559" s="1">
        <v>1</v>
      </c>
      <c r="I1559" s="1">
        <v>0.15062500000000001</v>
      </c>
      <c r="K1559" s="1" t="s">
        <v>181</v>
      </c>
    </row>
    <row r="1560" spans="1:11" x14ac:dyDescent="0.25">
      <c r="A1560" s="1" t="s">
        <v>4987</v>
      </c>
      <c r="B1560" s="1" t="s">
        <v>4988</v>
      </c>
      <c r="D1560" s="1" t="s">
        <v>4989</v>
      </c>
      <c r="E1560" s="1" t="s">
        <v>209</v>
      </c>
      <c r="F1560" s="1" t="s">
        <v>4970</v>
      </c>
      <c r="G1560" s="1" t="s">
        <v>215</v>
      </c>
      <c r="H1560" s="1">
        <v>1</v>
      </c>
      <c r="I1560" s="1">
        <v>0.15062500000000001</v>
      </c>
      <c r="K1560" s="1" t="s">
        <v>181</v>
      </c>
    </row>
    <row r="1561" spans="1:11" x14ac:dyDescent="0.25">
      <c r="A1561" s="1" t="s">
        <v>4990</v>
      </c>
      <c r="B1561" s="1" t="s">
        <v>4991</v>
      </c>
      <c r="D1561" s="1" t="s">
        <v>4992</v>
      </c>
      <c r="E1561" s="1" t="s">
        <v>209</v>
      </c>
      <c r="F1561" s="1" t="s">
        <v>4970</v>
      </c>
      <c r="G1561" s="1" t="s">
        <v>215</v>
      </c>
      <c r="H1561" s="1">
        <v>1</v>
      </c>
      <c r="I1561" s="1">
        <v>0.15062500000000001</v>
      </c>
      <c r="K1561" s="1" t="s">
        <v>181</v>
      </c>
    </row>
    <row r="1562" spans="1:11" x14ac:dyDescent="0.25">
      <c r="A1562" s="1" t="s">
        <v>4993</v>
      </c>
      <c r="B1562" s="1" t="s">
        <v>4994</v>
      </c>
      <c r="D1562" s="1" t="s">
        <v>4995</v>
      </c>
      <c r="E1562" s="1" t="s">
        <v>209</v>
      </c>
      <c r="F1562" s="1" t="s">
        <v>4970</v>
      </c>
      <c r="G1562" s="1" t="s">
        <v>215</v>
      </c>
      <c r="H1562" s="1">
        <v>1</v>
      </c>
      <c r="I1562" s="1">
        <v>0.15062500000000001</v>
      </c>
      <c r="K1562" s="1" t="s">
        <v>181</v>
      </c>
    </row>
    <row r="1563" spans="1:11" x14ac:dyDescent="0.25">
      <c r="A1563" s="1" t="s">
        <v>4996</v>
      </c>
      <c r="B1563" s="1" t="s">
        <v>4997</v>
      </c>
      <c r="D1563" s="1" t="s">
        <v>4998</v>
      </c>
      <c r="E1563" s="1" t="s">
        <v>209</v>
      </c>
      <c r="F1563" s="1" t="s">
        <v>4970</v>
      </c>
      <c r="G1563" s="1" t="s">
        <v>215</v>
      </c>
      <c r="H1563" s="1">
        <v>1</v>
      </c>
      <c r="I1563" s="1">
        <v>0.15062500000000001</v>
      </c>
      <c r="K1563" s="1" t="s">
        <v>181</v>
      </c>
    </row>
    <row r="1564" spans="1:11" x14ac:dyDescent="0.25">
      <c r="A1564" s="1" t="s">
        <v>4999</v>
      </c>
      <c r="B1564" s="1" t="s">
        <v>5000</v>
      </c>
      <c r="D1564" s="1" t="s">
        <v>5001</v>
      </c>
      <c r="E1564" s="1" t="s">
        <v>209</v>
      </c>
      <c r="F1564" s="1" t="s">
        <v>4970</v>
      </c>
      <c r="G1564" s="1" t="s">
        <v>574</v>
      </c>
      <c r="H1564" s="1">
        <v>1</v>
      </c>
      <c r="I1564" s="1">
        <v>0.15062500000000001</v>
      </c>
      <c r="K1564" s="1" t="s">
        <v>181</v>
      </c>
    </row>
    <row r="1565" spans="1:11" x14ac:dyDescent="0.25">
      <c r="A1565" s="1" t="s">
        <v>5002</v>
      </c>
      <c r="B1565" s="1" t="s">
        <v>5003</v>
      </c>
      <c r="D1565" s="1" t="s">
        <v>5004</v>
      </c>
      <c r="E1565" s="1" t="s">
        <v>209</v>
      </c>
      <c r="F1565" s="1" t="s">
        <v>4970</v>
      </c>
      <c r="G1565" s="1" t="s">
        <v>574</v>
      </c>
      <c r="H1565" s="1">
        <v>1</v>
      </c>
      <c r="I1565" s="1">
        <v>0.15062500000000001</v>
      </c>
      <c r="K1565" s="1" t="s">
        <v>181</v>
      </c>
    </row>
    <row r="1566" spans="1:11" x14ac:dyDescent="0.25">
      <c r="A1566" s="1" t="s">
        <v>5005</v>
      </c>
      <c r="B1566" s="1" t="s">
        <v>5006</v>
      </c>
      <c r="D1566" s="1" t="s">
        <v>5007</v>
      </c>
      <c r="E1566" s="1" t="s">
        <v>209</v>
      </c>
      <c r="F1566" s="1" t="s">
        <v>4970</v>
      </c>
      <c r="G1566" s="1" t="s">
        <v>574</v>
      </c>
      <c r="H1566" s="1">
        <v>1</v>
      </c>
      <c r="I1566" s="1">
        <v>0.15062500000000001</v>
      </c>
      <c r="K1566" s="1" t="s">
        <v>181</v>
      </c>
    </row>
    <row r="1567" spans="1:11" x14ac:dyDescent="0.25">
      <c r="A1567" s="1" t="s">
        <v>5008</v>
      </c>
      <c r="B1567" s="1" t="s">
        <v>5009</v>
      </c>
      <c r="D1567" s="1" t="s">
        <v>5010</v>
      </c>
      <c r="E1567" s="1" t="s">
        <v>209</v>
      </c>
      <c r="F1567" s="1" t="s">
        <v>4970</v>
      </c>
      <c r="G1567" s="1" t="s">
        <v>574</v>
      </c>
      <c r="H1567" s="1">
        <v>1</v>
      </c>
      <c r="I1567" s="1">
        <v>0.15062500000000001</v>
      </c>
      <c r="K1567" s="1" t="s">
        <v>181</v>
      </c>
    </row>
    <row r="1568" spans="1:11" x14ac:dyDescent="0.25">
      <c r="A1568" s="1" t="s">
        <v>5011</v>
      </c>
      <c r="B1568" s="1" t="s">
        <v>5012</v>
      </c>
      <c r="D1568" s="1" t="s">
        <v>5013</v>
      </c>
      <c r="E1568" s="1" t="s">
        <v>209</v>
      </c>
      <c r="F1568" s="1" t="s">
        <v>4970</v>
      </c>
      <c r="G1568" s="1" t="s">
        <v>574</v>
      </c>
      <c r="H1568" s="1">
        <v>1</v>
      </c>
      <c r="I1568" s="1">
        <v>0.15062500000000001</v>
      </c>
      <c r="K1568" s="1" t="s">
        <v>181</v>
      </c>
    </row>
    <row r="1569" spans="1:11" x14ac:dyDescent="0.25">
      <c r="A1569" s="1" t="s">
        <v>5014</v>
      </c>
      <c r="B1569" s="1" t="s">
        <v>5015</v>
      </c>
      <c r="D1569" s="1" t="s">
        <v>5016</v>
      </c>
      <c r="E1569" s="1" t="s">
        <v>209</v>
      </c>
      <c r="F1569" s="1" t="s">
        <v>5017</v>
      </c>
      <c r="G1569" s="1" t="s">
        <v>5018</v>
      </c>
      <c r="H1569" s="1">
        <v>0.1</v>
      </c>
      <c r="I1569" s="1">
        <v>0.1</v>
      </c>
      <c r="J1569" s="1">
        <v>0.54231426694542506</v>
      </c>
      <c r="K1569" s="1" t="s">
        <v>181</v>
      </c>
    </row>
    <row r="1570" spans="1:11" x14ac:dyDescent="0.25">
      <c r="A1570" s="1" t="s">
        <v>5019</v>
      </c>
      <c r="B1570" s="1" t="s">
        <v>5020</v>
      </c>
      <c r="D1570" s="1" t="s">
        <v>5021</v>
      </c>
      <c r="E1570" s="1" t="s">
        <v>209</v>
      </c>
      <c r="F1570" s="1" t="s">
        <v>5017</v>
      </c>
      <c r="G1570" s="1" t="s">
        <v>5018</v>
      </c>
      <c r="H1570" s="1">
        <v>0.1</v>
      </c>
      <c r="I1570" s="1">
        <v>0.1</v>
      </c>
      <c r="J1570" s="1">
        <v>0.65151071227637636</v>
      </c>
      <c r="K1570" s="1" t="s">
        <v>181</v>
      </c>
    </row>
    <row r="1571" spans="1:11" x14ac:dyDescent="0.25">
      <c r="A1571" s="1" t="s">
        <v>155</v>
      </c>
      <c r="B1571" s="1" t="s">
        <v>5022</v>
      </c>
      <c r="D1571" s="1" t="s">
        <v>5023</v>
      </c>
      <c r="E1571" s="1" t="s">
        <v>209</v>
      </c>
      <c r="F1571" s="1" t="s">
        <v>5017</v>
      </c>
      <c r="G1571" s="1" t="s">
        <v>5018</v>
      </c>
      <c r="H1571" s="1">
        <v>0.1</v>
      </c>
      <c r="I1571" s="1">
        <v>0.1</v>
      </c>
      <c r="J1571" s="1">
        <v>0.63983487859514421</v>
      </c>
      <c r="K1571" s="1" t="s">
        <v>181</v>
      </c>
    </row>
    <row r="1572" spans="1:11" x14ac:dyDescent="0.25">
      <c r="A1572" s="1" t="s">
        <v>5024</v>
      </c>
      <c r="B1572" s="1" t="s">
        <v>5025</v>
      </c>
      <c r="D1572" s="1" t="s">
        <v>5026</v>
      </c>
      <c r="E1572" s="1" t="s">
        <v>209</v>
      </c>
      <c r="F1572" s="1" t="s">
        <v>5017</v>
      </c>
      <c r="G1572" s="1" t="s">
        <v>5018</v>
      </c>
      <c r="H1572" s="1">
        <v>0.1</v>
      </c>
      <c r="I1572" s="1">
        <v>0.1</v>
      </c>
      <c r="J1572" s="1">
        <v>0.6005554517577224</v>
      </c>
      <c r="K1572" s="1" t="s">
        <v>181</v>
      </c>
    </row>
    <row r="1573" spans="1:11" x14ac:dyDescent="0.25">
      <c r="A1573" s="1" t="s">
        <v>5027</v>
      </c>
      <c r="B1573" s="1" t="s">
        <v>5028</v>
      </c>
      <c r="D1573" s="1" t="s">
        <v>5029</v>
      </c>
      <c r="E1573" s="1" t="s">
        <v>209</v>
      </c>
      <c r="F1573" s="1" t="s">
        <v>5017</v>
      </c>
      <c r="G1573" s="1" t="s">
        <v>5018</v>
      </c>
      <c r="H1573" s="1">
        <v>0.1</v>
      </c>
      <c r="I1573" s="1">
        <v>0.1</v>
      </c>
      <c r="J1573" s="1">
        <v>0.88968952386365852</v>
      </c>
      <c r="K1573" s="1" t="s">
        <v>181</v>
      </c>
    </row>
    <row r="1574" spans="1:11" x14ac:dyDescent="0.25">
      <c r="A1574" s="1" t="s">
        <v>5030</v>
      </c>
      <c r="B1574" s="1" t="s">
        <v>5031</v>
      </c>
      <c r="D1574" s="1" t="s">
        <v>5032</v>
      </c>
      <c r="E1574" s="1" t="s">
        <v>209</v>
      </c>
      <c r="F1574" s="1" t="s">
        <v>5017</v>
      </c>
      <c r="G1574" s="1" t="s">
        <v>5018</v>
      </c>
      <c r="H1574" s="1">
        <v>0.1</v>
      </c>
      <c r="I1574" s="1">
        <v>0.1</v>
      </c>
      <c r="J1574" s="1">
        <v>0.84327420096441652</v>
      </c>
      <c r="K1574" s="1" t="s">
        <v>181</v>
      </c>
    </row>
    <row r="1575" spans="1:11" x14ac:dyDescent="0.25">
      <c r="A1575" s="1" t="s">
        <v>5033</v>
      </c>
      <c r="B1575" s="1" t="s">
        <v>5034</v>
      </c>
      <c r="D1575" s="1" t="s">
        <v>5035</v>
      </c>
      <c r="E1575" s="1" t="s">
        <v>209</v>
      </c>
      <c r="F1575" s="1" t="s">
        <v>5017</v>
      </c>
      <c r="G1575" s="1" t="s">
        <v>5018</v>
      </c>
      <c r="H1575" s="1">
        <v>0.1</v>
      </c>
      <c r="I1575" s="1">
        <v>0.1</v>
      </c>
      <c r="J1575" s="1">
        <v>0.67480727803179186</v>
      </c>
      <c r="K1575" s="1" t="s">
        <v>181</v>
      </c>
    </row>
    <row r="1576" spans="1:11" x14ac:dyDescent="0.25">
      <c r="A1576" s="1" t="s">
        <v>145</v>
      </c>
      <c r="B1576" s="1" t="s">
        <v>5036</v>
      </c>
      <c r="D1576" s="1" t="s">
        <v>5037</v>
      </c>
      <c r="E1576" s="1" t="s">
        <v>209</v>
      </c>
      <c r="F1576" s="1" t="s">
        <v>5017</v>
      </c>
      <c r="G1576" s="1" t="s">
        <v>5018</v>
      </c>
      <c r="H1576" s="1">
        <v>0.1</v>
      </c>
      <c r="I1576" s="1">
        <v>0.1</v>
      </c>
      <c r="J1576" s="1">
        <v>0.58227949624451092</v>
      </c>
      <c r="K1576" s="1" t="s">
        <v>181</v>
      </c>
    </row>
    <row r="1577" spans="1:11" x14ac:dyDescent="0.25">
      <c r="A1577" s="1" t="s">
        <v>5038</v>
      </c>
      <c r="B1577" s="1" t="s">
        <v>5039</v>
      </c>
      <c r="D1577" s="1" t="s">
        <v>5040</v>
      </c>
      <c r="E1577" s="1" t="s">
        <v>209</v>
      </c>
      <c r="F1577" s="1" t="s">
        <v>5017</v>
      </c>
      <c r="G1577" s="1" t="s">
        <v>5018</v>
      </c>
      <c r="H1577" s="1">
        <v>0.1</v>
      </c>
      <c r="I1577" s="1">
        <v>0.1</v>
      </c>
      <c r="J1577" s="1">
        <v>0.83059551597778558</v>
      </c>
      <c r="K1577" s="1" t="s">
        <v>181</v>
      </c>
    </row>
    <row r="1578" spans="1:11" x14ac:dyDescent="0.25">
      <c r="A1578" s="1" t="s">
        <v>5041</v>
      </c>
      <c r="B1578" s="1" t="s">
        <v>5042</v>
      </c>
      <c r="D1578" s="1" t="s">
        <v>5043</v>
      </c>
      <c r="E1578" s="1" t="s">
        <v>209</v>
      </c>
      <c r="F1578" s="1" t="s">
        <v>5017</v>
      </c>
      <c r="G1578" s="1" t="s">
        <v>5018</v>
      </c>
      <c r="H1578" s="1">
        <v>0.1</v>
      </c>
      <c r="I1578" s="1">
        <v>0.1</v>
      </c>
      <c r="J1578" s="1">
        <v>0.65622484167656103</v>
      </c>
      <c r="K1578" s="1" t="s">
        <v>181</v>
      </c>
    </row>
    <row r="1579" spans="1:11" x14ac:dyDescent="0.25">
      <c r="A1579" s="1" t="s">
        <v>63</v>
      </c>
      <c r="B1579" s="1" t="s">
        <v>5044</v>
      </c>
      <c r="D1579" s="1" t="s">
        <v>5045</v>
      </c>
      <c r="E1579" s="1" t="s">
        <v>209</v>
      </c>
      <c r="F1579" s="1" t="s">
        <v>5017</v>
      </c>
      <c r="G1579" s="1" t="s">
        <v>5018</v>
      </c>
      <c r="H1579" s="1">
        <v>0.1</v>
      </c>
      <c r="I1579" s="1">
        <v>0.1</v>
      </c>
      <c r="J1579" s="1">
        <v>0.93697902662478594</v>
      </c>
      <c r="K1579" s="1" t="s">
        <v>181</v>
      </c>
    </row>
    <row r="1580" spans="1:11" x14ac:dyDescent="0.25">
      <c r="A1580" s="1" t="s">
        <v>5046</v>
      </c>
      <c r="B1580" s="1" t="s">
        <v>5047</v>
      </c>
      <c r="D1580" s="1" t="s">
        <v>5048</v>
      </c>
      <c r="E1580" s="1" t="s">
        <v>209</v>
      </c>
      <c r="F1580" s="1" t="s">
        <v>5017</v>
      </c>
      <c r="G1580" s="1" t="s">
        <v>5018</v>
      </c>
      <c r="H1580" s="1">
        <v>0.1</v>
      </c>
      <c r="I1580" s="1">
        <v>0.1</v>
      </c>
      <c r="J1580" s="1">
        <v>0.54210619201521382</v>
      </c>
      <c r="K1580" s="1" t="s">
        <v>181</v>
      </c>
    </row>
    <row r="1581" spans="1:11" x14ac:dyDescent="0.25">
      <c r="A1581" s="1" t="s">
        <v>5049</v>
      </c>
      <c r="B1581" s="1" t="s">
        <v>5050</v>
      </c>
      <c r="D1581" s="1" t="s">
        <v>5051</v>
      </c>
      <c r="E1581" s="1" t="s">
        <v>209</v>
      </c>
      <c r="F1581" s="1" t="s">
        <v>5017</v>
      </c>
      <c r="G1581" s="1" t="s">
        <v>5018</v>
      </c>
      <c r="H1581" s="1">
        <v>0.1</v>
      </c>
      <c r="I1581" s="1">
        <v>0.1</v>
      </c>
      <c r="J1581" s="1">
        <v>0.55595229101634625</v>
      </c>
      <c r="K1581" s="1" t="s">
        <v>181</v>
      </c>
    </row>
    <row r="1582" spans="1:11" x14ac:dyDescent="0.25">
      <c r="A1582" s="1" t="s">
        <v>5052</v>
      </c>
      <c r="B1582" s="1" t="s">
        <v>5053</v>
      </c>
      <c r="D1582" s="1" t="s">
        <v>5054</v>
      </c>
      <c r="E1582" s="1" t="s">
        <v>209</v>
      </c>
      <c r="F1582" s="1" t="s">
        <v>5017</v>
      </c>
      <c r="G1582" s="1" t="s">
        <v>5018</v>
      </c>
      <c r="H1582" s="1">
        <v>0.1</v>
      </c>
      <c r="I1582" s="1">
        <v>0.1</v>
      </c>
      <c r="J1582" s="1">
        <v>0.59248991951985885</v>
      </c>
      <c r="K1582" s="1" t="s">
        <v>181</v>
      </c>
    </row>
    <row r="1583" spans="1:11" x14ac:dyDescent="0.25">
      <c r="A1583" s="1" t="s">
        <v>5055</v>
      </c>
      <c r="B1583" s="1" t="s">
        <v>5056</v>
      </c>
      <c r="D1583" s="1" t="s">
        <v>5057</v>
      </c>
      <c r="E1583" s="1" t="s">
        <v>209</v>
      </c>
      <c r="F1583" s="1" t="s">
        <v>5017</v>
      </c>
      <c r="G1583" s="1" t="s">
        <v>5018</v>
      </c>
      <c r="H1583" s="1">
        <v>0.1</v>
      </c>
      <c r="I1583" s="1">
        <v>0.1</v>
      </c>
      <c r="J1583" s="1">
        <v>0.52781998926966112</v>
      </c>
      <c r="K1583" s="1" t="s">
        <v>181</v>
      </c>
    </row>
    <row r="1584" spans="1:11" x14ac:dyDescent="0.25">
      <c r="A1584" s="1" t="s">
        <v>5058</v>
      </c>
      <c r="B1584" s="1" t="s">
        <v>5059</v>
      </c>
      <c r="D1584" s="1" t="s">
        <v>5060</v>
      </c>
      <c r="E1584" s="1" t="s">
        <v>209</v>
      </c>
      <c r="F1584" s="1" t="s">
        <v>5017</v>
      </c>
      <c r="G1584" s="1" t="s">
        <v>5018</v>
      </c>
      <c r="H1584" s="1">
        <v>0.1</v>
      </c>
      <c r="I1584" s="1">
        <v>0.1</v>
      </c>
      <c r="J1584" s="1">
        <v>0.81318541542986511</v>
      </c>
      <c r="K1584" s="1" t="s">
        <v>181</v>
      </c>
    </row>
    <row r="1585" spans="1:11" x14ac:dyDescent="0.25">
      <c r="A1585" s="1" t="s">
        <v>5061</v>
      </c>
      <c r="B1585" s="1" t="s">
        <v>5062</v>
      </c>
      <c r="D1585" s="1" t="s">
        <v>5063</v>
      </c>
      <c r="E1585" s="1" t="s">
        <v>209</v>
      </c>
      <c r="F1585" s="1" t="s">
        <v>5017</v>
      </c>
      <c r="G1585" s="1" t="s">
        <v>5018</v>
      </c>
      <c r="H1585" s="1">
        <v>0.1</v>
      </c>
      <c r="I1585" s="1">
        <v>0.1</v>
      </c>
      <c r="J1585" s="1">
        <v>0.77544007825151051</v>
      </c>
      <c r="K1585" s="1" t="s">
        <v>181</v>
      </c>
    </row>
    <row r="1586" spans="1:11" x14ac:dyDescent="0.25">
      <c r="A1586" s="1" t="s">
        <v>5064</v>
      </c>
      <c r="B1586" s="1" t="s">
        <v>5065</v>
      </c>
      <c r="D1586" s="1" t="s">
        <v>5066</v>
      </c>
      <c r="E1586" s="1" t="s">
        <v>209</v>
      </c>
      <c r="F1586" s="1" t="s">
        <v>5017</v>
      </c>
      <c r="G1586" s="1" t="s">
        <v>5018</v>
      </c>
      <c r="H1586" s="1">
        <v>0.1</v>
      </c>
      <c r="I1586" s="1">
        <v>0.1</v>
      </c>
      <c r="J1586" s="1">
        <v>0.7250996407272241</v>
      </c>
      <c r="K1586" s="1" t="s">
        <v>181</v>
      </c>
    </row>
    <row r="1587" spans="1:11" x14ac:dyDescent="0.25">
      <c r="A1587" s="1" t="s">
        <v>5067</v>
      </c>
      <c r="B1587" s="1" t="s">
        <v>5068</v>
      </c>
      <c r="D1587" s="1" t="s">
        <v>5069</v>
      </c>
      <c r="E1587" s="1" t="s">
        <v>209</v>
      </c>
      <c r="F1587" s="1" t="s">
        <v>5017</v>
      </c>
      <c r="G1587" s="1" t="s">
        <v>5018</v>
      </c>
      <c r="H1587" s="1">
        <v>0.1</v>
      </c>
      <c r="I1587" s="1">
        <v>0.1</v>
      </c>
      <c r="J1587" s="1">
        <v>0.54898574497356911</v>
      </c>
      <c r="K1587" s="1" t="s">
        <v>181</v>
      </c>
    </row>
    <row r="1588" spans="1:11" x14ac:dyDescent="0.25">
      <c r="A1588" s="1" t="s">
        <v>5070</v>
      </c>
      <c r="B1588" s="1" t="s">
        <v>5071</v>
      </c>
      <c r="D1588" s="1" t="s">
        <v>5072</v>
      </c>
      <c r="E1588" s="1" t="s">
        <v>209</v>
      </c>
      <c r="F1588" s="1" t="s">
        <v>5017</v>
      </c>
      <c r="G1588" s="1" t="s">
        <v>5018</v>
      </c>
      <c r="H1588" s="1">
        <v>0.1</v>
      </c>
      <c r="I1588" s="1">
        <v>0.1</v>
      </c>
      <c r="J1588" s="1">
        <v>0.62956630105955802</v>
      </c>
      <c r="K1588" s="1" t="s">
        <v>181</v>
      </c>
    </row>
    <row r="1589" spans="1:11" x14ac:dyDescent="0.25">
      <c r="A1589" s="1" t="s">
        <v>5073</v>
      </c>
      <c r="B1589" s="1" t="s">
        <v>5074</v>
      </c>
      <c r="D1589" s="1" t="s">
        <v>5075</v>
      </c>
      <c r="E1589" s="1" t="s">
        <v>209</v>
      </c>
      <c r="F1589" s="1" t="s">
        <v>5017</v>
      </c>
      <c r="G1589" s="1" t="s">
        <v>5018</v>
      </c>
      <c r="H1589" s="1">
        <v>0.1</v>
      </c>
      <c r="I1589" s="1">
        <v>0.1</v>
      </c>
      <c r="J1589" s="1">
        <v>0.53367355335364941</v>
      </c>
      <c r="K1589" s="1" t="s">
        <v>181</v>
      </c>
    </row>
    <row r="1590" spans="1:11" x14ac:dyDescent="0.25">
      <c r="A1590" s="1" t="s">
        <v>5076</v>
      </c>
      <c r="B1590" s="1" t="s">
        <v>5077</v>
      </c>
      <c r="D1590" s="1" t="s">
        <v>5078</v>
      </c>
      <c r="E1590" s="1" t="s">
        <v>209</v>
      </c>
      <c r="F1590" s="1" t="s">
        <v>5017</v>
      </c>
      <c r="G1590" s="1" t="s">
        <v>5018</v>
      </c>
      <c r="H1590" s="1">
        <v>0.1</v>
      </c>
      <c r="I1590" s="1">
        <v>0.1</v>
      </c>
      <c r="J1590" s="1">
        <v>0.73945810604017503</v>
      </c>
      <c r="K1590" s="1" t="s">
        <v>181</v>
      </c>
    </row>
    <row r="1591" spans="1:11" x14ac:dyDescent="0.25">
      <c r="A1591" s="1" t="s">
        <v>5079</v>
      </c>
      <c r="B1591" s="1" t="s">
        <v>5080</v>
      </c>
      <c r="D1591" s="1" t="s">
        <v>5081</v>
      </c>
      <c r="E1591" s="1" t="s">
        <v>209</v>
      </c>
      <c r="F1591" s="1" t="s">
        <v>5017</v>
      </c>
      <c r="G1591" s="1" t="s">
        <v>5018</v>
      </c>
      <c r="H1591" s="1">
        <v>0.1</v>
      </c>
      <c r="I1591" s="1">
        <v>0.1</v>
      </c>
      <c r="J1591" s="1">
        <v>0.79870401202525354</v>
      </c>
      <c r="K1591" s="1" t="s">
        <v>181</v>
      </c>
    </row>
    <row r="1592" spans="1:11" x14ac:dyDescent="0.25">
      <c r="A1592" s="1" t="s">
        <v>5082</v>
      </c>
      <c r="B1592" s="1" t="s">
        <v>5083</v>
      </c>
      <c r="D1592" s="1" t="s">
        <v>5084</v>
      </c>
      <c r="E1592" s="1" t="s">
        <v>209</v>
      </c>
      <c r="F1592" s="1" t="s">
        <v>5017</v>
      </c>
      <c r="G1592" s="1" t="s">
        <v>5018</v>
      </c>
      <c r="H1592" s="1">
        <v>0.1</v>
      </c>
      <c r="I1592" s="1">
        <v>0.1</v>
      </c>
      <c r="J1592" s="1">
        <v>0.65071866746995699</v>
      </c>
      <c r="K1592" s="1" t="s">
        <v>181</v>
      </c>
    </row>
    <row r="1593" spans="1:11" x14ac:dyDescent="0.25">
      <c r="A1593" s="1" t="s">
        <v>5085</v>
      </c>
      <c r="B1593" s="1" t="s">
        <v>5086</v>
      </c>
      <c r="D1593" s="1" t="s">
        <v>5087</v>
      </c>
      <c r="E1593" s="1" t="s">
        <v>209</v>
      </c>
      <c r="F1593" s="1" t="s">
        <v>5017</v>
      </c>
      <c r="G1593" s="1" t="s">
        <v>5018</v>
      </c>
      <c r="H1593" s="1">
        <v>0.1</v>
      </c>
      <c r="I1593" s="1">
        <v>0.1</v>
      </c>
      <c r="J1593" s="1">
        <v>0.8251786295358432</v>
      </c>
      <c r="K1593" s="1" t="s">
        <v>181</v>
      </c>
    </row>
    <row r="1594" spans="1:11" x14ac:dyDescent="0.25">
      <c r="A1594" s="1" t="s">
        <v>5088</v>
      </c>
      <c r="B1594" s="1" t="s">
        <v>5089</v>
      </c>
      <c r="D1594" s="1" t="s">
        <v>5090</v>
      </c>
      <c r="E1594" s="1" t="s">
        <v>209</v>
      </c>
      <c r="F1594" s="1" t="s">
        <v>5017</v>
      </c>
      <c r="G1594" s="1" t="s">
        <v>5018</v>
      </c>
      <c r="H1594" s="1">
        <v>0.1</v>
      </c>
      <c r="I1594" s="1">
        <v>0.1</v>
      </c>
      <c r="J1594" s="1">
        <v>0.7115628075583299</v>
      </c>
      <c r="K1594" s="1" t="s">
        <v>181</v>
      </c>
    </row>
    <row r="1595" spans="1:11" x14ac:dyDescent="0.25">
      <c r="A1595" s="1" t="s">
        <v>5091</v>
      </c>
      <c r="B1595" s="1" t="s">
        <v>5092</v>
      </c>
      <c r="D1595" s="1" t="s">
        <v>5093</v>
      </c>
      <c r="E1595" s="1" t="s">
        <v>209</v>
      </c>
      <c r="F1595" s="1" t="s">
        <v>5017</v>
      </c>
      <c r="G1595" s="1" t="s">
        <v>5018</v>
      </c>
      <c r="H1595" s="1">
        <v>0.1</v>
      </c>
      <c r="I1595" s="1">
        <v>0.1</v>
      </c>
      <c r="J1595" s="1">
        <v>0.6913130784588889</v>
      </c>
      <c r="K1595" s="1" t="s">
        <v>181</v>
      </c>
    </row>
    <row r="1596" spans="1:11" x14ac:dyDescent="0.25">
      <c r="A1596" s="1" t="s">
        <v>5094</v>
      </c>
      <c r="B1596" s="1" t="s">
        <v>5095</v>
      </c>
      <c r="D1596" s="1" t="s">
        <v>5096</v>
      </c>
      <c r="E1596" s="1" t="s">
        <v>209</v>
      </c>
      <c r="F1596" s="1" t="s">
        <v>5017</v>
      </c>
      <c r="G1596" s="1" t="s">
        <v>5018</v>
      </c>
      <c r="H1596" s="1">
        <v>0.1</v>
      </c>
      <c r="I1596" s="1">
        <v>0.1</v>
      </c>
      <c r="J1596" s="1">
        <v>0.74845253567320513</v>
      </c>
      <c r="K1596" s="1" t="s">
        <v>181</v>
      </c>
    </row>
    <row r="1597" spans="1:11" x14ac:dyDescent="0.25">
      <c r="A1597" s="1" t="s">
        <v>5097</v>
      </c>
      <c r="B1597" s="1" t="s">
        <v>5098</v>
      </c>
      <c r="D1597" s="1" t="s">
        <v>5099</v>
      </c>
      <c r="E1597" s="1" t="s">
        <v>209</v>
      </c>
      <c r="F1597" s="1" t="s">
        <v>5017</v>
      </c>
      <c r="G1597" s="1" t="s">
        <v>5018</v>
      </c>
      <c r="H1597" s="1">
        <v>0.1</v>
      </c>
      <c r="I1597" s="1">
        <v>0.1</v>
      </c>
      <c r="J1597" s="1">
        <v>0.67533606301660842</v>
      </c>
      <c r="K1597" s="1" t="s">
        <v>181</v>
      </c>
    </row>
    <row r="1598" spans="1:11" x14ac:dyDescent="0.25">
      <c r="A1598" s="1" t="s">
        <v>5100</v>
      </c>
      <c r="B1598" s="1" t="s">
        <v>5101</v>
      </c>
      <c r="D1598" s="1" t="s">
        <v>5102</v>
      </c>
      <c r="E1598" s="1" t="s">
        <v>209</v>
      </c>
      <c r="F1598" s="1" t="s">
        <v>5017</v>
      </c>
      <c r="G1598" s="1" t="s">
        <v>5018</v>
      </c>
      <c r="H1598" s="1">
        <v>0.1</v>
      </c>
      <c r="I1598" s="1">
        <v>0.1</v>
      </c>
      <c r="J1598" s="1">
        <v>0.52087690806929177</v>
      </c>
      <c r="K1598" s="1" t="s">
        <v>181</v>
      </c>
    </row>
    <row r="1599" spans="1:11" x14ac:dyDescent="0.25">
      <c r="A1599" s="1" t="s">
        <v>5103</v>
      </c>
      <c r="B1599" s="1" t="s">
        <v>5104</v>
      </c>
      <c r="D1599" s="1" t="s">
        <v>5105</v>
      </c>
      <c r="E1599" s="1" t="s">
        <v>209</v>
      </c>
      <c r="F1599" s="1" t="s">
        <v>5017</v>
      </c>
      <c r="G1599" s="1" t="s">
        <v>5018</v>
      </c>
      <c r="H1599" s="1">
        <v>0.1</v>
      </c>
      <c r="I1599" s="1">
        <v>0.1</v>
      </c>
      <c r="J1599" s="1">
        <v>0.40866925458298092</v>
      </c>
      <c r="K1599" s="1" t="s">
        <v>181</v>
      </c>
    </row>
    <row r="1600" spans="1:11" x14ac:dyDescent="0.25">
      <c r="A1600" s="1" t="s">
        <v>5106</v>
      </c>
      <c r="B1600" s="1" t="s">
        <v>5107</v>
      </c>
      <c r="D1600" s="1" t="s">
        <v>5108</v>
      </c>
      <c r="E1600" s="1" t="s">
        <v>209</v>
      </c>
      <c r="F1600" s="1" t="s">
        <v>5017</v>
      </c>
      <c r="G1600" s="1" t="s">
        <v>5018</v>
      </c>
      <c r="H1600" s="1">
        <v>0.1</v>
      </c>
      <c r="I1600" s="1">
        <v>0.1</v>
      </c>
      <c r="J1600" s="1">
        <v>0.76200126015996428</v>
      </c>
      <c r="K1600" s="1" t="s">
        <v>181</v>
      </c>
    </row>
    <row r="1601" spans="1:11" x14ac:dyDescent="0.25">
      <c r="A1601" s="1" t="s">
        <v>5109</v>
      </c>
      <c r="B1601" s="1" t="s">
        <v>5110</v>
      </c>
      <c r="D1601" s="1" t="s">
        <v>5111</v>
      </c>
      <c r="E1601" s="1" t="s">
        <v>209</v>
      </c>
      <c r="F1601" s="1" t="s">
        <v>5017</v>
      </c>
      <c r="G1601" s="1" t="s">
        <v>5018</v>
      </c>
      <c r="H1601" s="1">
        <v>0.1</v>
      </c>
      <c r="I1601" s="1">
        <v>0.1</v>
      </c>
      <c r="J1601" s="1">
        <v>0.67265617339563277</v>
      </c>
      <c r="K1601" s="1" t="s">
        <v>181</v>
      </c>
    </row>
    <row r="1602" spans="1:11" x14ac:dyDescent="0.25">
      <c r="A1602" s="1" t="s">
        <v>5112</v>
      </c>
      <c r="B1602" s="1" t="s">
        <v>5113</v>
      </c>
      <c r="D1602" s="1" t="s">
        <v>5114</v>
      </c>
      <c r="E1602" s="1" t="s">
        <v>209</v>
      </c>
      <c r="F1602" s="1" t="s">
        <v>5017</v>
      </c>
      <c r="G1602" s="1" t="s">
        <v>5018</v>
      </c>
      <c r="H1602" s="1">
        <v>0.1</v>
      </c>
      <c r="I1602" s="1">
        <v>0.1</v>
      </c>
      <c r="J1602" s="1">
        <v>0.71553116482128531</v>
      </c>
      <c r="K1602" s="1" t="s">
        <v>181</v>
      </c>
    </row>
    <row r="1603" spans="1:11" x14ac:dyDescent="0.25">
      <c r="A1603" s="1" t="s">
        <v>5115</v>
      </c>
      <c r="B1603" s="1" t="s">
        <v>5116</v>
      </c>
      <c r="D1603" s="1" t="s">
        <v>5117</v>
      </c>
      <c r="E1603" s="1" t="s">
        <v>209</v>
      </c>
      <c r="F1603" s="1" t="s">
        <v>5017</v>
      </c>
      <c r="G1603" s="1" t="s">
        <v>5018</v>
      </c>
      <c r="H1603" s="1">
        <v>0.1</v>
      </c>
      <c r="I1603" s="1">
        <v>0.1</v>
      </c>
      <c r="J1603" s="1">
        <v>0.44165676119138086</v>
      </c>
      <c r="K1603" s="1" t="s">
        <v>181</v>
      </c>
    </row>
    <row r="1604" spans="1:11" x14ac:dyDescent="0.25">
      <c r="A1604" s="1" t="s">
        <v>5118</v>
      </c>
      <c r="B1604" s="1" t="s">
        <v>5119</v>
      </c>
      <c r="D1604" s="1" t="s">
        <v>5120</v>
      </c>
      <c r="E1604" s="1" t="s">
        <v>209</v>
      </c>
      <c r="F1604" s="1" t="s">
        <v>5017</v>
      </c>
      <c r="G1604" s="1" t="s">
        <v>5018</v>
      </c>
      <c r="H1604" s="1">
        <v>0.1</v>
      </c>
      <c r="I1604" s="1">
        <v>0.1</v>
      </c>
      <c r="J1604" s="1">
        <v>0.91666764282404167</v>
      </c>
      <c r="K1604" s="1" t="s">
        <v>181</v>
      </c>
    </row>
    <row r="1605" spans="1:11" x14ac:dyDescent="0.25">
      <c r="A1605" s="1" t="s">
        <v>5121</v>
      </c>
      <c r="B1605" s="1" t="s">
        <v>5122</v>
      </c>
      <c r="D1605" s="1" t="s">
        <v>5123</v>
      </c>
      <c r="E1605" s="1" t="s">
        <v>209</v>
      </c>
      <c r="F1605" s="1" t="s">
        <v>5017</v>
      </c>
      <c r="G1605" s="1" t="s">
        <v>5018</v>
      </c>
      <c r="H1605" s="1">
        <v>0.1</v>
      </c>
      <c r="I1605" s="1">
        <v>0.1</v>
      </c>
      <c r="J1605" s="1">
        <v>0.66914950577498999</v>
      </c>
      <c r="K1605" s="1" t="s">
        <v>181</v>
      </c>
    </row>
    <row r="1606" spans="1:11" x14ac:dyDescent="0.25">
      <c r="A1606" s="1" t="s">
        <v>5124</v>
      </c>
      <c r="B1606" s="1" t="s">
        <v>5125</v>
      </c>
      <c r="D1606" s="1" t="s">
        <v>5126</v>
      </c>
      <c r="E1606" s="1" t="s">
        <v>209</v>
      </c>
      <c r="F1606" s="1" t="s">
        <v>5017</v>
      </c>
      <c r="G1606" s="1" t="s">
        <v>5018</v>
      </c>
      <c r="H1606" s="1">
        <v>0.1</v>
      </c>
      <c r="I1606" s="1">
        <v>0.1</v>
      </c>
      <c r="J1606" s="1">
        <v>0.76262348213645459</v>
      </c>
      <c r="K1606" s="1" t="s">
        <v>181</v>
      </c>
    </row>
    <row r="1607" spans="1:11" x14ac:dyDescent="0.25">
      <c r="A1607" s="1" t="s">
        <v>5127</v>
      </c>
      <c r="B1607" s="1" t="s">
        <v>5128</v>
      </c>
      <c r="D1607" s="1" t="s">
        <v>5129</v>
      </c>
      <c r="E1607" s="1" t="s">
        <v>209</v>
      </c>
      <c r="F1607" s="1" t="s">
        <v>5017</v>
      </c>
      <c r="G1607" s="1" t="s">
        <v>5018</v>
      </c>
      <c r="H1607" s="1">
        <v>0.1</v>
      </c>
      <c r="I1607" s="1">
        <v>0.1</v>
      </c>
      <c r="J1607" s="1">
        <v>0.85594775468979567</v>
      </c>
      <c r="K1607" s="1" t="s">
        <v>181</v>
      </c>
    </row>
    <row r="1608" spans="1:11" x14ac:dyDescent="0.25">
      <c r="A1608" s="1" t="s">
        <v>5130</v>
      </c>
      <c r="B1608" s="1" t="s">
        <v>5131</v>
      </c>
      <c r="D1608" s="1" t="s">
        <v>5132</v>
      </c>
      <c r="E1608" s="1" t="s">
        <v>209</v>
      </c>
      <c r="F1608" s="1" t="s">
        <v>5017</v>
      </c>
      <c r="G1608" s="1" t="s">
        <v>5018</v>
      </c>
      <c r="H1608" s="1">
        <v>0.1</v>
      </c>
      <c r="I1608" s="1">
        <v>0.1</v>
      </c>
      <c r="J1608" s="1">
        <v>0.70932797323746466</v>
      </c>
      <c r="K1608" s="1" t="s">
        <v>181</v>
      </c>
    </row>
    <row r="1609" spans="1:11" x14ac:dyDescent="0.25">
      <c r="A1609" s="1" t="s">
        <v>5133</v>
      </c>
      <c r="B1609" s="1" t="s">
        <v>5134</v>
      </c>
      <c r="D1609" s="1" t="s">
        <v>5135</v>
      </c>
      <c r="E1609" s="1" t="s">
        <v>209</v>
      </c>
      <c r="F1609" s="1" t="s">
        <v>5017</v>
      </c>
      <c r="G1609" s="1" t="s">
        <v>5018</v>
      </c>
      <c r="H1609" s="1">
        <v>0.1</v>
      </c>
      <c r="I1609" s="1">
        <v>0.1</v>
      </c>
      <c r="J1609" s="1">
        <v>0.74962512155372696</v>
      </c>
      <c r="K1609" s="1" t="s">
        <v>181</v>
      </c>
    </row>
    <row r="1610" spans="1:11" x14ac:dyDescent="0.25">
      <c r="A1610" s="1" t="s">
        <v>5136</v>
      </c>
      <c r="B1610" s="1" t="s">
        <v>5137</v>
      </c>
      <c r="D1610" s="1" t="s">
        <v>5138</v>
      </c>
      <c r="E1610" s="1" t="s">
        <v>209</v>
      </c>
      <c r="F1610" s="1" t="s">
        <v>5017</v>
      </c>
      <c r="G1610" s="1" t="s">
        <v>5018</v>
      </c>
      <c r="H1610" s="1">
        <v>0.1</v>
      </c>
      <c r="I1610" s="1">
        <v>0.1</v>
      </c>
      <c r="J1610" s="1">
        <v>0.74006179615764056</v>
      </c>
      <c r="K1610" s="1" t="s">
        <v>181</v>
      </c>
    </row>
    <row r="1611" spans="1:11" x14ac:dyDescent="0.25">
      <c r="A1611" s="1" t="s">
        <v>5139</v>
      </c>
      <c r="B1611" s="1" t="s">
        <v>5140</v>
      </c>
      <c r="D1611" s="1" t="s">
        <v>5141</v>
      </c>
      <c r="E1611" s="1" t="s">
        <v>209</v>
      </c>
      <c r="F1611" s="1" t="s">
        <v>5017</v>
      </c>
      <c r="G1611" s="1" t="s">
        <v>5018</v>
      </c>
      <c r="H1611" s="1">
        <v>0.1</v>
      </c>
      <c r="I1611" s="1">
        <v>0.1</v>
      </c>
      <c r="J1611" s="1">
        <v>0.73812160951530215</v>
      </c>
      <c r="K1611" s="1" t="s">
        <v>181</v>
      </c>
    </row>
    <row r="1612" spans="1:11" x14ac:dyDescent="0.25">
      <c r="A1612" s="1" t="s">
        <v>5142</v>
      </c>
      <c r="B1612" s="1" t="s">
        <v>5143</v>
      </c>
      <c r="D1612" s="1" t="s">
        <v>5144</v>
      </c>
      <c r="E1612" s="1" t="s">
        <v>209</v>
      </c>
      <c r="F1612" s="1" t="s">
        <v>5017</v>
      </c>
      <c r="G1612" s="1" t="s">
        <v>5018</v>
      </c>
      <c r="H1612" s="1">
        <v>0.1</v>
      </c>
      <c r="I1612" s="1">
        <v>0.1</v>
      </c>
      <c r="J1612" s="1">
        <v>0.68086456909085302</v>
      </c>
      <c r="K1612" s="1" t="s">
        <v>181</v>
      </c>
    </row>
    <row r="1613" spans="1:11" x14ac:dyDescent="0.25">
      <c r="A1613" s="1" t="s">
        <v>5145</v>
      </c>
      <c r="B1613" s="1" t="s">
        <v>5146</v>
      </c>
      <c r="D1613" s="1" t="s">
        <v>5147</v>
      </c>
      <c r="E1613" s="1" t="s">
        <v>209</v>
      </c>
      <c r="F1613" s="1" t="s">
        <v>5017</v>
      </c>
      <c r="G1613" s="1" t="s">
        <v>5018</v>
      </c>
      <c r="H1613" s="1">
        <v>0.1</v>
      </c>
      <c r="I1613" s="1">
        <v>0.1</v>
      </c>
      <c r="J1613" s="1">
        <v>0.67826874145836102</v>
      </c>
      <c r="K1613" s="1" t="s">
        <v>181</v>
      </c>
    </row>
    <row r="1614" spans="1:11" x14ac:dyDescent="0.25">
      <c r="A1614" s="1" t="s">
        <v>5148</v>
      </c>
      <c r="B1614" s="1" t="s">
        <v>5149</v>
      </c>
      <c r="D1614" s="1" t="s">
        <v>5150</v>
      </c>
      <c r="E1614" s="1" t="s">
        <v>209</v>
      </c>
      <c r="F1614" s="1" t="s">
        <v>5017</v>
      </c>
      <c r="G1614" s="1" t="s">
        <v>5018</v>
      </c>
      <c r="H1614" s="1">
        <v>0.1</v>
      </c>
      <c r="I1614" s="1">
        <v>0.1</v>
      </c>
      <c r="J1614" s="1">
        <v>0.74080677498629388</v>
      </c>
      <c r="K1614" s="1" t="s">
        <v>181</v>
      </c>
    </row>
    <row r="1615" spans="1:11" x14ac:dyDescent="0.25">
      <c r="A1615" s="1" t="s">
        <v>5151</v>
      </c>
      <c r="B1615" s="1" t="s">
        <v>5152</v>
      </c>
      <c r="D1615" s="1" t="s">
        <v>5153</v>
      </c>
      <c r="E1615" s="1" t="s">
        <v>209</v>
      </c>
      <c r="F1615" s="1" t="s">
        <v>5017</v>
      </c>
      <c r="G1615" s="1" t="s">
        <v>5018</v>
      </c>
      <c r="H1615" s="1">
        <v>0.1</v>
      </c>
      <c r="I1615" s="1">
        <v>0.1</v>
      </c>
      <c r="J1615" s="1">
        <v>0.78387859531894111</v>
      </c>
      <c r="K1615" s="1" t="s">
        <v>181</v>
      </c>
    </row>
    <row r="1616" spans="1:11" x14ac:dyDescent="0.25">
      <c r="A1616" s="1" t="s">
        <v>5154</v>
      </c>
      <c r="B1616" s="1" t="s">
        <v>5155</v>
      </c>
      <c r="D1616" s="1" t="s">
        <v>5156</v>
      </c>
      <c r="E1616" s="1" t="s">
        <v>209</v>
      </c>
      <c r="F1616" s="1" t="s">
        <v>5017</v>
      </c>
      <c r="G1616" s="1" t="s">
        <v>5018</v>
      </c>
      <c r="H1616" s="1">
        <v>0.1</v>
      </c>
      <c r="I1616" s="1">
        <v>0.1</v>
      </c>
      <c r="J1616" s="1">
        <v>0.79475862971676847</v>
      </c>
      <c r="K1616" s="1" t="s">
        <v>181</v>
      </c>
    </row>
    <row r="1617" spans="1:11" x14ac:dyDescent="0.25">
      <c r="A1617" s="1" t="s">
        <v>5157</v>
      </c>
      <c r="B1617" s="1" t="s">
        <v>5158</v>
      </c>
      <c r="D1617" s="1" t="s">
        <v>5159</v>
      </c>
      <c r="E1617" s="1" t="s">
        <v>209</v>
      </c>
      <c r="F1617" s="1" t="s">
        <v>5017</v>
      </c>
      <c r="G1617" s="1" t="s">
        <v>5018</v>
      </c>
      <c r="H1617" s="1">
        <v>0.1</v>
      </c>
      <c r="I1617" s="1">
        <v>0.1</v>
      </c>
      <c r="J1617" s="1">
        <v>0.70923338642070921</v>
      </c>
      <c r="K1617" s="1" t="s">
        <v>181</v>
      </c>
    </row>
    <row r="1618" spans="1:11" x14ac:dyDescent="0.25">
      <c r="A1618" s="1" t="s">
        <v>5160</v>
      </c>
      <c r="B1618" s="1" t="s">
        <v>5161</v>
      </c>
      <c r="D1618" s="1" t="s">
        <v>5162</v>
      </c>
      <c r="E1618" s="1" t="s">
        <v>209</v>
      </c>
      <c r="F1618" s="1" t="s">
        <v>5017</v>
      </c>
      <c r="G1618" s="1" t="s">
        <v>5018</v>
      </c>
      <c r="H1618" s="1">
        <v>0.1</v>
      </c>
      <c r="I1618" s="1">
        <v>0.1</v>
      </c>
      <c r="J1618" s="1">
        <v>0.61135089728700043</v>
      </c>
      <c r="K1618" s="1" t="s">
        <v>181</v>
      </c>
    </row>
    <row r="1619" spans="1:11" x14ac:dyDescent="0.25">
      <c r="A1619" s="1" t="s">
        <v>5163</v>
      </c>
      <c r="B1619" s="1" t="s">
        <v>5164</v>
      </c>
      <c r="D1619" s="1" t="s">
        <v>5165</v>
      </c>
      <c r="E1619" s="1" t="s">
        <v>209</v>
      </c>
      <c r="F1619" s="1" t="s">
        <v>5017</v>
      </c>
      <c r="G1619" s="1" t="s">
        <v>5018</v>
      </c>
      <c r="H1619" s="1">
        <v>0.1</v>
      </c>
      <c r="I1619" s="1">
        <v>0.1</v>
      </c>
      <c r="J1619" s="1">
        <v>0.81686997288719632</v>
      </c>
      <c r="K1619" s="1" t="s">
        <v>181</v>
      </c>
    </row>
    <row r="1620" spans="1:11" x14ac:dyDescent="0.25">
      <c r="A1620" s="1" t="s">
        <v>5166</v>
      </c>
      <c r="B1620" s="1" t="s">
        <v>5167</v>
      </c>
      <c r="D1620" s="1" t="s">
        <v>5168</v>
      </c>
      <c r="E1620" s="1" t="s">
        <v>209</v>
      </c>
      <c r="F1620" s="1" t="s">
        <v>5017</v>
      </c>
      <c r="G1620" s="1" t="s">
        <v>5018</v>
      </c>
      <c r="H1620" s="1">
        <v>0.1</v>
      </c>
      <c r="I1620" s="1">
        <v>0.1</v>
      </c>
      <c r="J1620" s="1">
        <v>0.66131611349210884</v>
      </c>
      <c r="K1620" s="1" t="s">
        <v>181</v>
      </c>
    </row>
    <row r="1621" spans="1:11" x14ac:dyDescent="0.25">
      <c r="A1621" s="1" t="s">
        <v>5169</v>
      </c>
      <c r="B1621" s="1" t="s">
        <v>5170</v>
      </c>
      <c r="D1621" s="1" t="s">
        <v>5171</v>
      </c>
      <c r="E1621" s="1" t="s">
        <v>209</v>
      </c>
      <c r="F1621" s="1" t="s">
        <v>5017</v>
      </c>
      <c r="G1621" s="1" t="s">
        <v>5018</v>
      </c>
      <c r="H1621" s="1">
        <v>0.1</v>
      </c>
      <c r="I1621" s="1">
        <v>0.1</v>
      </c>
      <c r="J1621" s="1">
        <v>0.86376861681874761</v>
      </c>
      <c r="K1621" s="1" t="s">
        <v>181</v>
      </c>
    </row>
    <row r="1622" spans="1:11" x14ac:dyDescent="0.25">
      <c r="A1622" s="1" t="s">
        <v>5172</v>
      </c>
      <c r="B1622" s="1" t="s">
        <v>5173</v>
      </c>
      <c r="D1622" s="1" t="s">
        <v>5174</v>
      </c>
      <c r="E1622" s="1" t="s">
        <v>209</v>
      </c>
      <c r="F1622" s="1" t="s">
        <v>5017</v>
      </c>
      <c r="G1622" s="1" t="s">
        <v>5018</v>
      </c>
      <c r="H1622" s="1">
        <v>0.1</v>
      </c>
      <c r="I1622" s="1">
        <v>0.1</v>
      </c>
      <c r="J1622" s="1">
        <v>0.88415990568792502</v>
      </c>
      <c r="K1622" s="1" t="s">
        <v>181</v>
      </c>
    </row>
    <row r="1623" spans="1:11" x14ac:dyDescent="0.25">
      <c r="A1623" s="1" t="s">
        <v>5175</v>
      </c>
      <c r="B1623" s="1" t="s">
        <v>5176</v>
      </c>
      <c r="D1623" s="1" t="s">
        <v>5177</v>
      </c>
      <c r="E1623" s="1" t="s">
        <v>209</v>
      </c>
      <c r="F1623" s="1" t="s">
        <v>5017</v>
      </c>
      <c r="G1623" s="1" t="s">
        <v>5018</v>
      </c>
      <c r="H1623" s="1">
        <v>0.1</v>
      </c>
      <c r="I1623" s="1">
        <v>0.1</v>
      </c>
      <c r="J1623" s="1">
        <v>0.90849441216462856</v>
      </c>
      <c r="K1623" s="1" t="s">
        <v>181</v>
      </c>
    </row>
    <row r="1624" spans="1:11" x14ac:dyDescent="0.25">
      <c r="A1624" s="1" t="s">
        <v>5178</v>
      </c>
      <c r="B1624" s="1" t="s">
        <v>5179</v>
      </c>
      <c r="D1624" s="1" t="s">
        <v>5180</v>
      </c>
      <c r="E1624" s="1" t="s">
        <v>209</v>
      </c>
      <c r="F1624" s="1" t="s">
        <v>5017</v>
      </c>
      <c r="G1624" s="1" t="s">
        <v>5018</v>
      </c>
      <c r="H1624" s="1">
        <v>0.1</v>
      </c>
      <c r="I1624" s="1">
        <v>0.1</v>
      </c>
      <c r="J1624" s="1">
        <v>0.50350786840038841</v>
      </c>
      <c r="K1624" s="1" t="s">
        <v>181</v>
      </c>
    </row>
    <row r="1625" spans="1:11" x14ac:dyDescent="0.25">
      <c r="A1625" s="1" t="s">
        <v>5181</v>
      </c>
      <c r="B1625" s="1" t="s">
        <v>5182</v>
      </c>
      <c r="D1625" s="1" t="s">
        <v>5183</v>
      </c>
      <c r="E1625" s="1" t="s">
        <v>209</v>
      </c>
      <c r="F1625" s="1" t="s">
        <v>5017</v>
      </c>
      <c r="G1625" s="1" t="s">
        <v>5018</v>
      </c>
      <c r="H1625" s="1">
        <v>0.1</v>
      </c>
      <c r="I1625" s="1">
        <v>0.1</v>
      </c>
      <c r="J1625" s="1">
        <v>0.6274244297416508</v>
      </c>
      <c r="K1625" s="1" t="s">
        <v>181</v>
      </c>
    </row>
    <row r="1626" spans="1:11" x14ac:dyDescent="0.25">
      <c r="A1626" s="1" t="s">
        <v>5184</v>
      </c>
      <c r="B1626" s="1" t="s">
        <v>5185</v>
      </c>
      <c r="D1626" s="1" t="s">
        <v>5186</v>
      </c>
      <c r="E1626" s="1" t="s">
        <v>209</v>
      </c>
      <c r="F1626" s="1" t="s">
        <v>5017</v>
      </c>
      <c r="G1626" s="1" t="s">
        <v>5018</v>
      </c>
      <c r="H1626" s="1">
        <v>0.1</v>
      </c>
      <c r="I1626" s="1">
        <v>0.1</v>
      </c>
      <c r="J1626" s="1">
        <v>0.52676350652556136</v>
      </c>
      <c r="K1626" s="1" t="s">
        <v>181</v>
      </c>
    </row>
    <row r="1627" spans="1:11" x14ac:dyDescent="0.25">
      <c r="A1627" s="1" t="s">
        <v>27</v>
      </c>
      <c r="B1627" s="1" t="s">
        <v>5187</v>
      </c>
      <c r="D1627" s="1" t="s">
        <v>5188</v>
      </c>
      <c r="E1627" s="1" t="s">
        <v>209</v>
      </c>
      <c r="F1627" s="1" t="s">
        <v>5017</v>
      </c>
      <c r="G1627" s="1" t="s">
        <v>5018</v>
      </c>
      <c r="H1627" s="1">
        <v>0.1</v>
      </c>
      <c r="I1627" s="1">
        <v>0.1</v>
      </c>
      <c r="J1627" s="1">
        <v>0.76441693546479428</v>
      </c>
      <c r="K1627" s="1" t="s">
        <v>181</v>
      </c>
    </row>
    <row r="1628" spans="1:11" x14ac:dyDescent="0.25">
      <c r="A1628" s="1" t="s">
        <v>5189</v>
      </c>
      <c r="B1628" s="1" t="s">
        <v>5190</v>
      </c>
      <c r="D1628" s="1" t="s">
        <v>5191</v>
      </c>
      <c r="E1628" s="1" t="s">
        <v>209</v>
      </c>
      <c r="F1628" s="1" t="s">
        <v>5017</v>
      </c>
      <c r="G1628" s="1" t="s">
        <v>5018</v>
      </c>
      <c r="H1628" s="1">
        <v>0.1</v>
      </c>
      <c r="I1628" s="1">
        <v>0.1</v>
      </c>
      <c r="J1628" s="1">
        <v>0.57190549788895395</v>
      </c>
      <c r="K1628" s="1" t="s">
        <v>181</v>
      </c>
    </row>
    <row r="1629" spans="1:11" x14ac:dyDescent="0.25">
      <c r="A1629" s="1" t="s">
        <v>103</v>
      </c>
      <c r="B1629" s="1" t="s">
        <v>5192</v>
      </c>
      <c r="D1629" s="1" t="s">
        <v>5193</v>
      </c>
      <c r="E1629" s="1" t="s">
        <v>209</v>
      </c>
      <c r="F1629" s="1" t="s">
        <v>5017</v>
      </c>
      <c r="G1629" s="1" t="s">
        <v>5018</v>
      </c>
      <c r="H1629" s="1">
        <v>0.1</v>
      </c>
      <c r="I1629" s="1">
        <v>0.1</v>
      </c>
      <c r="J1629" s="1">
        <v>0.73236360053131022</v>
      </c>
      <c r="K1629" s="1" t="s">
        <v>181</v>
      </c>
    </row>
    <row r="1630" spans="1:11" x14ac:dyDescent="0.25">
      <c r="A1630" s="1" t="s">
        <v>5194</v>
      </c>
      <c r="B1630" s="1" t="s">
        <v>5195</v>
      </c>
      <c r="D1630" s="1" t="s">
        <v>5196</v>
      </c>
      <c r="E1630" s="1" t="s">
        <v>209</v>
      </c>
      <c r="F1630" s="1" t="s">
        <v>5017</v>
      </c>
      <c r="G1630" s="1" t="s">
        <v>5018</v>
      </c>
      <c r="H1630" s="1">
        <v>0.1</v>
      </c>
      <c r="I1630" s="1">
        <v>0.1</v>
      </c>
      <c r="J1630" s="1">
        <v>0.60458695965899178</v>
      </c>
      <c r="K1630" s="1" t="s">
        <v>181</v>
      </c>
    </row>
    <row r="1631" spans="1:11" x14ac:dyDescent="0.25">
      <c r="A1631" s="1" t="s">
        <v>5197</v>
      </c>
      <c r="B1631" s="1" t="s">
        <v>5198</v>
      </c>
      <c r="D1631" s="1" t="s">
        <v>5199</v>
      </c>
      <c r="E1631" s="1" t="s">
        <v>209</v>
      </c>
      <c r="F1631" s="1" t="s">
        <v>5017</v>
      </c>
      <c r="G1631" s="1" t="s">
        <v>5018</v>
      </c>
      <c r="H1631" s="1">
        <v>0.1</v>
      </c>
      <c r="I1631" s="1">
        <v>0.1</v>
      </c>
      <c r="J1631" s="1">
        <v>0.6015155990933666</v>
      </c>
      <c r="K1631" s="1" t="s">
        <v>181</v>
      </c>
    </row>
    <row r="1632" spans="1:11" x14ac:dyDescent="0.25">
      <c r="A1632" s="1" t="s">
        <v>5200</v>
      </c>
      <c r="B1632" s="1" t="s">
        <v>5201</v>
      </c>
      <c r="D1632" s="1" t="s">
        <v>5202</v>
      </c>
      <c r="E1632" s="1" t="s">
        <v>209</v>
      </c>
      <c r="F1632" s="1" t="s">
        <v>5017</v>
      </c>
      <c r="G1632" s="1" t="s">
        <v>5018</v>
      </c>
      <c r="H1632" s="1">
        <v>0.1</v>
      </c>
      <c r="I1632" s="1">
        <v>0.1</v>
      </c>
      <c r="J1632" s="1">
        <v>0.55639874852611049</v>
      </c>
      <c r="K1632" s="1" t="s">
        <v>181</v>
      </c>
    </row>
    <row r="1633" spans="1:11" x14ac:dyDescent="0.25">
      <c r="A1633" s="1" t="s">
        <v>5203</v>
      </c>
      <c r="B1633" s="1" t="s">
        <v>5204</v>
      </c>
      <c r="D1633" s="1" t="s">
        <v>5205</v>
      </c>
      <c r="E1633" s="1" t="s">
        <v>209</v>
      </c>
      <c r="F1633" s="1" t="s">
        <v>5017</v>
      </c>
      <c r="G1633" s="1" t="s">
        <v>5018</v>
      </c>
      <c r="H1633" s="1">
        <v>0.1</v>
      </c>
      <c r="I1633" s="1">
        <v>0.1</v>
      </c>
      <c r="J1633" s="1">
        <v>0.74647140229132436</v>
      </c>
      <c r="K1633" s="1" t="s">
        <v>181</v>
      </c>
    </row>
    <row r="1634" spans="1:11" x14ac:dyDescent="0.25">
      <c r="A1634" s="1" t="s">
        <v>5206</v>
      </c>
      <c r="B1634" s="1" t="s">
        <v>5207</v>
      </c>
      <c r="D1634" s="1" t="s">
        <v>5208</v>
      </c>
      <c r="E1634" s="1" t="s">
        <v>209</v>
      </c>
      <c r="F1634" s="1" t="s">
        <v>5017</v>
      </c>
      <c r="G1634" s="1" t="s">
        <v>5018</v>
      </c>
      <c r="H1634" s="1">
        <v>0.1</v>
      </c>
      <c r="I1634" s="1">
        <v>0.1</v>
      </c>
      <c r="J1634" s="1">
        <v>0.55634270457210444</v>
      </c>
      <c r="K1634" s="1" t="s">
        <v>181</v>
      </c>
    </row>
    <row r="1635" spans="1:11" x14ac:dyDescent="0.25">
      <c r="A1635" s="1" t="s">
        <v>5209</v>
      </c>
      <c r="B1635" s="1" t="s">
        <v>5210</v>
      </c>
      <c r="D1635" s="1" t="s">
        <v>5211</v>
      </c>
      <c r="E1635" s="1" t="s">
        <v>209</v>
      </c>
      <c r="F1635" s="1" t="s">
        <v>5017</v>
      </c>
      <c r="G1635" s="1" t="s">
        <v>5018</v>
      </c>
      <c r="H1635" s="1">
        <v>0.1</v>
      </c>
      <c r="I1635" s="1">
        <v>0.1</v>
      </c>
      <c r="J1635" s="1">
        <v>0.85769147316759142</v>
      </c>
      <c r="K1635" s="1" t="s">
        <v>181</v>
      </c>
    </row>
    <row r="1636" spans="1:11" x14ac:dyDescent="0.25">
      <c r="A1636" s="1" t="s">
        <v>5212</v>
      </c>
      <c r="B1636" s="1" t="s">
        <v>5213</v>
      </c>
      <c r="D1636" s="1" t="s">
        <v>5214</v>
      </c>
      <c r="E1636" s="1" t="s">
        <v>209</v>
      </c>
      <c r="F1636" s="1" t="s">
        <v>5017</v>
      </c>
      <c r="G1636" s="1" t="s">
        <v>5018</v>
      </c>
      <c r="H1636" s="1">
        <v>0.1</v>
      </c>
      <c r="I1636" s="1">
        <v>0.1</v>
      </c>
      <c r="J1636" s="1">
        <v>0.92408234299236269</v>
      </c>
      <c r="K1636" s="1" t="s">
        <v>181</v>
      </c>
    </row>
    <row r="1637" spans="1:11" x14ac:dyDescent="0.25">
      <c r="A1637" s="1" t="s">
        <v>5215</v>
      </c>
      <c r="B1637" s="1" t="s">
        <v>5216</v>
      </c>
      <c r="D1637" s="1" t="s">
        <v>5217</v>
      </c>
      <c r="E1637" s="1" t="s">
        <v>209</v>
      </c>
      <c r="F1637" s="1" t="s">
        <v>5017</v>
      </c>
      <c r="G1637" s="1" t="s">
        <v>5018</v>
      </c>
      <c r="H1637" s="1">
        <v>0.1</v>
      </c>
      <c r="I1637" s="1">
        <v>0.1</v>
      </c>
      <c r="J1637" s="1">
        <v>0.9346749420960434</v>
      </c>
      <c r="K1637" s="1" t="s">
        <v>181</v>
      </c>
    </row>
    <row r="1638" spans="1:11" x14ac:dyDescent="0.25">
      <c r="A1638" s="1" t="s">
        <v>5218</v>
      </c>
      <c r="B1638" s="1" t="s">
        <v>5219</v>
      </c>
      <c r="D1638" s="1" t="s">
        <v>5220</v>
      </c>
      <c r="E1638" s="1" t="s">
        <v>209</v>
      </c>
      <c r="F1638" s="1" t="s">
        <v>5017</v>
      </c>
      <c r="G1638" s="1" t="s">
        <v>5018</v>
      </c>
      <c r="H1638" s="1">
        <v>0.1</v>
      </c>
      <c r="I1638" s="1">
        <v>0.1</v>
      </c>
      <c r="J1638" s="1">
        <v>0.87112400407682378</v>
      </c>
      <c r="K1638" s="1" t="s">
        <v>181</v>
      </c>
    </row>
    <row r="1639" spans="1:11" x14ac:dyDescent="0.25">
      <c r="A1639" s="1" t="s">
        <v>5221</v>
      </c>
      <c r="B1639" s="1" t="s">
        <v>5222</v>
      </c>
      <c r="D1639" s="1" t="s">
        <v>5223</v>
      </c>
      <c r="E1639" s="1" t="s">
        <v>209</v>
      </c>
      <c r="F1639" s="1" t="s">
        <v>5017</v>
      </c>
      <c r="G1639" s="1" t="s">
        <v>5018</v>
      </c>
      <c r="H1639" s="1">
        <v>0.1</v>
      </c>
      <c r="I1639" s="1">
        <v>0.1</v>
      </c>
      <c r="J1639" s="1">
        <v>0.53621193019357927</v>
      </c>
      <c r="K1639" s="1" t="s">
        <v>181</v>
      </c>
    </row>
    <row r="1640" spans="1:11" x14ac:dyDescent="0.25">
      <c r="A1640" s="1" t="s">
        <v>5224</v>
      </c>
      <c r="B1640" s="1" t="s">
        <v>5225</v>
      </c>
      <c r="D1640" s="1" t="s">
        <v>5226</v>
      </c>
      <c r="E1640" s="1" t="s">
        <v>209</v>
      </c>
      <c r="F1640" s="1" t="s">
        <v>5017</v>
      </c>
      <c r="G1640" s="1" t="s">
        <v>5018</v>
      </c>
      <c r="H1640" s="1">
        <v>0.1</v>
      </c>
      <c r="I1640" s="1">
        <v>0.1</v>
      </c>
      <c r="J1640" s="1">
        <v>0.67945411143232437</v>
      </c>
      <c r="K1640" s="1" t="s">
        <v>181</v>
      </c>
    </row>
    <row r="1641" spans="1:11" x14ac:dyDescent="0.25">
      <c r="A1641" s="1" t="s">
        <v>5227</v>
      </c>
      <c r="B1641" s="1" t="s">
        <v>5228</v>
      </c>
      <c r="D1641" s="1" t="s">
        <v>5229</v>
      </c>
      <c r="E1641" s="1" t="s">
        <v>209</v>
      </c>
      <c r="F1641" s="1" t="s">
        <v>5017</v>
      </c>
      <c r="G1641" s="1" t="s">
        <v>5018</v>
      </c>
      <c r="H1641" s="1">
        <v>0.1</v>
      </c>
      <c r="I1641" s="1">
        <v>0.1</v>
      </c>
      <c r="J1641" s="1">
        <v>0.62948817463953866</v>
      </c>
      <c r="K1641" s="1" t="s">
        <v>181</v>
      </c>
    </row>
    <row r="1642" spans="1:11" x14ac:dyDescent="0.25">
      <c r="A1642" s="1" t="s">
        <v>5230</v>
      </c>
      <c r="B1642" s="1" t="s">
        <v>5231</v>
      </c>
      <c r="D1642" s="1" t="s">
        <v>5232</v>
      </c>
      <c r="E1642" s="1" t="s">
        <v>209</v>
      </c>
      <c r="F1642" s="1" t="s">
        <v>5017</v>
      </c>
      <c r="G1642" s="1" t="s">
        <v>5018</v>
      </c>
      <c r="H1642" s="1">
        <v>0.1</v>
      </c>
      <c r="I1642" s="1">
        <v>0.1</v>
      </c>
      <c r="J1642" s="1">
        <v>0.58458522958233006</v>
      </c>
      <c r="K1642" s="1" t="s">
        <v>181</v>
      </c>
    </row>
    <row r="1643" spans="1:11" x14ac:dyDescent="0.25">
      <c r="A1643" s="1" t="s">
        <v>5233</v>
      </c>
      <c r="B1643" s="1" t="s">
        <v>5234</v>
      </c>
      <c r="D1643" s="1" t="s">
        <v>5235</v>
      </c>
      <c r="E1643" s="1" t="s">
        <v>209</v>
      </c>
      <c r="F1643" s="1" t="s">
        <v>5017</v>
      </c>
      <c r="G1643" s="1" t="s">
        <v>5018</v>
      </c>
      <c r="H1643" s="1">
        <v>0.1</v>
      </c>
      <c r="I1643" s="1">
        <v>0.1</v>
      </c>
      <c r="J1643" s="1">
        <v>0.89452497856050106</v>
      </c>
      <c r="K1643" s="1" t="s">
        <v>181</v>
      </c>
    </row>
    <row r="1644" spans="1:11" x14ac:dyDescent="0.25">
      <c r="A1644" s="1" t="s">
        <v>5236</v>
      </c>
      <c r="B1644" s="1" t="s">
        <v>5237</v>
      </c>
      <c r="D1644" s="1" t="s">
        <v>5238</v>
      </c>
      <c r="E1644" s="1" t="s">
        <v>209</v>
      </c>
      <c r="F1644" s="1" t="s">
        <v>5017</v>
      </c>
      <c r="G1644" s="1" t="s">
        <v>5018</v>
      </c>
      <c r="H1644" s="1">
        <v>0.1</v>
      </c>
      <c r="I1644" s="1">
        <v>0.1</v>
      </c>
      <c r="J1644" s="1">
        <v>0.88657248963850022</v>
      </c>
      <c r="K1644" s="1" t="s">
        <v>181</v>
      </c>
    </row>
    <row r="1645" spans="1:11" x14ac:dyDescent="0.25">
      <c r="A1645" s="1" t="s">
        <v>5239</v>
      </c>
      <c r="B1645" s="1" t="s">
        <v>5240</v>
      </c>
      <c r="D1645" s="1" t="s">
        <v>5241</v>
      </c>
      <c r="E1645" s="1" t="s">
        <v>209</v>
      </c>
      <c r="F1645" s="1" t="s">
        <v>5017</v>
      </c>
      <c r="G1645" s="1" t="s">
        <v>5018</v>
      </c>
      <c r="H1645" s="1">
        <v>0.1</v>
      </c>
      <c r="I1645" s="1">
        <v>0.1</v>
      </c>
      <c r="J1645" s="1">
        <v>0.7865593281640838</v>
      </c>
      <c r="K1645" s="1" t="s">
        <v>181</v>
      </c>
    </row>
    <row r="1646" spans="1:11" x14ac:dyDescent="0.25">
      <c r="A1646" s="1" t="s">
        <v>5242</v>
      </c>
      <c r="B1646" s="1" t="s">
        <v>5243</v>
      </c>
      <c r="D1646" s="1" t="s">
        <v>5244</v>
      </c>
      <c r="E1646" s="1" t="s">
        <v>209</v>
      </c>
      <c r="F1646" s="1" t="s">
        <v>5017</v>
      </c>
      <c r="G1646" s="1" t="s">
        <v>5018</v>
      </c>
      <c r="H1646" s="1">
        <v>0.1</v>
      </c>
      <c r="I1646" s="1">
        <v>0.1</v>
      </c>
      <c r="J1646" s="1">
        <v>0.78696089374942757</v>
      </c>
      <c r="K1646" s="1" t="s">
        <v>181</v>
      </c>
    </row>
    <row r="1647" spans="1:11" x14ac:dyDescent="0.25">
      <c r="A1647" s="1" t="s">
        <v>5245</v>
      </c>
      <c r="B1647" s="1" t="s">
        <v>5246</v>
      </c>
      <c r="D1647" s="1" t="s">
        <v>5247</v>
      </c>
      <c r="E1647" s="1" t="s">
        <v>209</v>
      </c>
      <c r="F1647" s="1" t="s">
        <v>5017</v>
      </c>
      <c r="G1647" s="1" t="s">
        <v>5018</v>
      </c>
      <c r="H1647" s="1">
        <v>0.1</v>
      </c>
      <c r="I1647" s="1">
        <v>0.1</v>
      </c>
      <c r="J1647" s="1">
        <v>0.67964137459885998</v>
      </c>
      <c r="K1647" s="1" t="s">
        <v>181</v>
      </c>
    </row>
    <row r="1648" spans="1:11" x14ac:dyDescent="0.25">
      <c r="A1648" s="1" t="s">
        <v>5248</v>
      </c>
      <c r="B1648" s="1" t="s">
        <v>5249</v>
      </c>
      <c r="D1648" s="1" t="s">
        <v>5250</v>
      </c>
      <c r="E1648" s="1" t="s">
        <v>209</v>
      </c>
      <c r="F1648" s="1" t="s">
        <v>5017</v>
      </c>
      <c r="G1648" s="1" t="s">
        <v>5018</v>
      </c>
      <c r="H1648" s="1">
        <v>0.1</v>
      </c>
      <c r="I1648" s="1">
        <v>0.1</v>
      </c>
      <c r="J1648" s="1">
        <v>0.50509310411981301</v>
      </c>
      <c r="K1648" s="1" t="s">
        <v>181</v>
      </c>
    </row>
    <row r="1649" spans="1:11" x14ac:dyDescent="0.25">
      <c r="A1649" s="1" t="s">
        <v>5251</v>
      </c>
      <c r="B1649" s="1" t="s">
        <v>5252</v>
      </c>
      <c r="D1649" s="1" t="s">
        <v>5253</v>
      </c>
      <c r="E1649" s="1" t="s">
        <v>209</v>
      </c>
      <c r="F1649" s="1" t="s">
        <v>5017</v>
      </c>
      <c r="G1649" s="1" t="s">
        <v>5018</v>
      </c>
      <c r="H1649" s="1">
        <v>0.1</v>
      </c>
      <c r="I1649" s="1">
        <v>0.1</v>
      </c>
      <c r="J1649" s="1">
        <v>0.75876505324438503</v>
      </c>
      <c r="K1649" s="1" t="s">
        <v>181</v>
      </c>
    </row>
    <row r="1650" spans="1:11" x14ac:dyDescent="0.25">
      <c r="A1650" s="1" t="s">
        <v>5254</v>
      </c>
      <c r="B1650" s="1" t="s">
        <v>5255</v>
      </c>
      <c r="D1650" s="1" t="s">
        <v>5256</v>
      </c>
      <c r="E1650" s="1" t="s">
        <v>209</v>
      </c>
      <c r="F1650" s="1" t="s">
        <v>5017</v>
      </c>
      <c r="G1650" s="1" t="s">
        <v>5018</v>
      </c>
      <c r="H1650" s="1">
        <v>0.1</v>
      </c>
      <c r="I1650" s="1">
        <v>0.1</v>
      </c>
      <c r="J1650" s="1">
        <v>0.78333349941012975</v>
      </c>
      <c r="K1650" s="1" t="s">
        <v>181</v>
      </c>
    </row>
    <row r="1651" spans="1:11" x14ac:dyDescent="0.25">
      <c r="A1651" s="1" t="s">
        <v>5257</v>
      </c>
      <c r="B1651" s="1" t="s">
        <v>5258</v>
      </c>
      <c r="D1651" s="1" t="s">
        <v>5259</v>
      </c>
      <c r="E1651" s="1" t="s">
        <v>209</v>
      </c>
      <c r="F1651" s="1" t="s">
        <v>5017</v>
      </c>
      <c r="G1651" s="1" t="s">
        <v>5018</v>
      </c>
      <c r="H1651" s="1">
        <v>0.1</v>
      </c>
      <c r="I1651" s="1">
        <v>0.1</v>
      </c>
      <c r="J1651" s="1">
        <v>0.55910501420916758</v>
      </c>
      <c r="K1651" s="1" t="s">
        <v>181</v>
      </c>
    </row>
    <row r="1652" spans="1:11" x14ac:dyDescent="0.25">
      <c r="A1652" s="1" t="s">
        <v>5260</v>
      </c>
      <c r="B1652" s="1" t="s">
        <v>5261</v>
      </c>
      <c r="D1652" s="1" t="s">
        <v>5262</v>
      </c>
      <c r="E1652" s="1" t="s">
        <v>209</v>
      </c>
      <c r="F1652" s="1" t="s">
        <v>5017</v>
      </c>
      <c r="G1652" s="1" t="s">
        <v>5018</v>
      </c>
      <c r="H1652" s="1">
        <v>0.1</v>
      </c>
      <c r="I1652" s="1">
        <v>0.1</v>
      </c>
      <c r="J1652" s="1">
        <v>0.65803887404987682</v>
      </c>
      <c r="K1652" s="1" t="s">
        <v>181</v>
      </c>
    </row>
    <row r="1653" spans="1:11" x14ac:dyDescent="0.25">
      <c r="A1653" s="1" t="s">
        <v>5263</v>
      </c>
      <c r="B1653" s="1" t="s">
        <v>5264</v>
      </c>
      <c r="D1653" s="1" t="s">
        <v>5265</v>
      </c>
      <c r="E1653" s="1" t="s">
        <v>209</v>
      </c>
      <c r="F1653" s="1" t="s">
        <v>5017</v>
      </c>
      <c r="G1653" s="1" t="s">
        <v>5018</v>
      </c>
      <c r="H1653" s="1">
        <v>0.1</v>
      </c>
      <c r="I1653" s="1">
        <v>0.1</v>
      </c>
      <c r="J1653" s="1">
        <v>0.66744038386124338</v>
      </c>
      <c r="K1653" s="1" t="s">
        <v>181</v>
      </c>
    </row>
    <row r="1654" spans="1:11" x14ac:dyDescent="0.25">
      <c r="A1654" s="1" t="s">
        <v>5266</v>
      </c>
      <c r="B1654" s="1" t="s">
        <v>5267</v>
      </c>
      <c r="D1654" s="1" t="s">
        <v>5268</v>
      </c>
      <c r="E1654" s="1" t="s">
        <v>209</v>
      </c>
      <c r="F1654" s="1" t="s">
        <v>5017</v>
      </c>
      <c r="G1654" s="1" t="s">
        <v>5018</v>
      </c>
      <c r="H1654" s="1">
        <v>0.1</v>
      </c>
      <c r="I1654" s="1">
        <v>0.1</v>
      </c>
      <c r="J1654" s="1">
        <v>0.60623597701708432</v>
      </c>
      <c r="K1654" s="1" t="s">
        <v>181</v>
      </c>
    </row>
    <row r="1655" spans="1:11" x14ac:dyDescent="0.25">
      <c r="A1655" s="1" t="s">
        <v>5269</v>
      </c>
      <c r="B1655" s="1" t="s">
        <v>5270</v>
      </c>
      <c r="D1655" s="1" t="s">
        <v>5271</v>
      </c>
      <c r="E1655" s="1" t="s">
        <v>209</v>
      </c>
      <c r="F1655" s="1" t="s">
        <v>5017</v>
      </c>
      <c r="G1655" s="1" t="s">
        <v>5018</v>
      </c>
      <c r="H1655" s="1">
        <v>0.1</v>
      </c>
      <c r="I1655" s="1">
        <v>0.1</v>
      </c>
      <c r="J1655" s="1">
        <v>0.8401623836831672</v>
      </c>
      <c r="K1655" s="1" t="s">
        <v>181</v>
      </c>
    </row>
    <row r="1656" spans="1:11" x14ac:dyDescent="0.25">
      <c r="A1656" s="1" t="s">
        <v>5272</v>
      </c>
      <c r="B1656" s="1" t="s">
        <v>5273</v>
      </c>
      <c r="D1656" s="1" t="s">
        <v>5274</v>
      </c>
      <c r="E1656" s="1" t="s">
        <v>209</v>
      </c>
      <c r="F1656" s="1" t="s">
        <v>5017</v>
      </c>
      <c r="G1656" s="1" t="s">
        <v>5018</v>
      </c>
      <c r="H1656" s="1">
        <v>0.1</v>
      </c>
      <c r="I1656" s="1">
        <v>0.1</v>
      </c>
      <c r="J1656" s="1">
        <v>0.56267974577498137</v>
      </c>
      <c r="K1656" s="1" t="s">
        <v>181</v>
      </c>
    </row>
    <row r="1657" spans="1:11" x14ac:dyDescent="0.25">
      <c r="A1657" s="1" t="s">
        <v>5275</v>
      </c>
      <c r="B1657" s="1" t="s">
        <v>5276</v>
      </c>
      <c r="D1657" s="1" t="s">
        <v>5277</v>
      </c>
      <c r="E1657" s="1" t="s">
        <v>209</v>
      </c>
      <c r="F1657" s="1" t="s">
        <v>5017</v>
      </c>
      <c r="G1657" s="1" t="s">
        <v>5018</v>
      </c>
      <c r="H1657" s="1">
        <v>0.1</v>
      </c>
      <c r="I1657" s="1">
        <v>0.1</v>
      </c>
      <c r="J1657" s="1">
        <v>0.50955326906542497</v>
      </c>
      <c r="K1657" s="1" t="s">
        <v>181</v>
      </c>
    </row>
    <row r="1658" spans="1:11" x14ac:dyDescent="0.25">
      <c r="A1658" s="1" t="s">
        <v>5278</v>
      </c>
      <c r="B1658" s="1" t="s">
        <v>5279</v>
      </c>
      <c r="D1658" s="1" t="s">
        <v>5280</v>
      </c>
      <c r="E1658" s="1" t="s">
        <v>209</v>
      </c>
      <c r="F1658" s="1" t="s">
        <v>5017</v>
      </c>
      <c r="G1658" s="1" t="s">
        <v>5018</v>
      </c>
      <c r="H1658" s="1">
        <v>0.1</v>
      </c>
      <c r="I1658" s="1">
        <v>0.1</v>
      </c>
      <c r="J1658" s="1">
        <v>0.72288246877314677</v>
      </c>
      <c r="K1658" s="1" t="s">
        <v>181</v>
      </c>
    </row>
    <row r="1659" spans="1:11" x14ac:dyDescent="0.25">
      <c r="A1659" s="1" t="s">
        <v>5281</v>
      </c>
      <c r="B1659" s="1" t="s">
        <v>5282</v>
      </c>
      <c r="D1659" s="1" t="s">
        <v>5283</v>
      </c>
      <c r="E1659" s="1" t="s">
        <v>209</v>
      </c>
      <c r="F1659" s="1" t="s">
        <v>5017</v>
      </c>
      <c r="G1659" s="1" t="s">
        <v>5018</v>
      </c>
      <c r="H1659" s="1">
        <v>0.1</v>
      </c>
      <c r="I1659" s="1">
        <v>0.1</v>
      </c>
      <c r="J1659" s="1">
        <v>0.69555622788303395</v>
      </c>
      <c r="K1659" s="1" t="s">
        <v>181</v>
      </c>
    </row>
    <row r="1660" spans="1:11" x14ac:dyDescent="0.25">
      <c r="A1660" s="1" t="s">
        <v>5284</v>
      </c>
      <c r="B1660" s="1" t="s">
        <v>5285</v>
      </c>
      <c r="D1660" s="1" t="s">
        <v>5286</v>
      </c>
      <c r="E1660" s="1" t="s">
        <v>209</v>
      </c>
      <c r="F1660" s="1" t="s">
        <v>5017</v>
      </c>
      <c r="G1660" s="1" t="s">
        <v>5018</v>
      </c>
      <c r="H1660" s="1">
        <v>0.1</v>
      </c>
      <c r="I1660" s="1">
        <v>0.1</v>
      </c>
      <c r="J1660" s="1">
        <v>0.70682896216452673</v>
      </c>
      <c r="K1660" s="1" t="s">
        <v>181</v>
      </c>
    </row>
    <row r="1661" spans="1:11" x14ac:dyDescent="0.25">
      <c r="A1661" s="1" t="s">
        <v>5287</v>
      </c>
      <c r="B1661" s="1" t="s">
        <v>5288</v>
      </c>
      <c r="D1661" s="1" t="s">
        <v>5289</v>
      </c>
      <c r="E1661" s="1" t="s">
        <v>209</v>
      </c>
      <c r="F1661" s="1" t="s">
        <v>5017</v>
      </c>
      <c r="G1661" s="1" t="s">
        <v>5018</v>
      </c>
      <c r="H1661" s="1">
        <v>0.1</v>
      </c>
      <c r="I1661" s="1">
        <v>0.1</v>
      </c>
      <c r="J1661" s="1">
        <v>0.68990156256149371</v>
      </c>
      <c r="K1661" s="1" t="s">
        <v>181</v>
      </c>
    </row>
    <row r="1662" spans="1:11" x14ac:dyDescent="0.25">
      <c r="A1662" s="1" t="s">
        <v>5290</v>
      </c>
      <c r="B1662" s="1" t="s">
        <v>5291</v>
      </c>
      <c r="D1662" s="1" t="s">
        <v>5292</v>
      </c>
      <c r="E1662" s="1" t="s">
        <v>209</v>
      </c>
      <c r="F1662" s="1" t="s">
        <v>5017</v>
      </c>
      <c r="G1662" s="1" t="s">
        <v>5018</v>
      </c>
      <c r="H1662" s="1">
        <v>0.1</v>
      </c>
      <c r="I1662" s="1">
        <v>0.1</v>
      </c>
      <c r="J1662" s="1">
        <v>0.56667153293103811</v>
      </c>
      <c r="K1662" s="1" t="s">
        <v>181</v>
      </c>
    </row>
    <row r="1663" spans="1:11" x14ac:dyDescent="0.25">
      <c r="A1663" s="1" t="s">
        <v>5293</v>
      </c>
      <c r="B1663" s="1" t="s">
        <v>5294</v>
      </c>
      <c r="D1663" s="1" t="s">
        <v>5295</v>
      </c>
      <c r="E1663" s="1" t="s">
        <v>209</v>
      </c>
      <c r="F1663" s="1" t="s">
        <v>5017</v>
      </c>
      <c r="G1663" s="1" t="s">
        <v>5018</v>
      </c>
      <c r="H1663" s="1">
        <v>0.1</v>
      </c>
      <c r="I1663" s="1">
        <v>0.1</v>
      </c>
      <c r="J1663" s="1">
        <v>0.68002399043559858</v>
      </c>
      <c r="K1663" s="1" t="s">
        <v>181</v>
      </c>
    </row>
    <row r="1664" spans="1:11" x14ac:dyDescent="0.25">
      <c r="A1664" s="1" t="s">
        <v>5296</v>
      </c>
      <c r="B1664" s="1" t="s">
        <v>5297</v>
      </c>
      <c r="D1664" s="1" t="s">
        <v>5298</v>
      </c>
      <c r="E1664" s="1" t="s">
        <v>209</v>
      </c>
      <c r="F1664" s="1" t="s">
        <v>5017</v>
      </c>
      <c r="G1664" s="1" t="s">
        <v>5018</v>
      </c>
      <c r="H1664" s="1">
        <v>0.1</v>
      </c>
      <c r="I1664" s="1">
        <v>0.1</v>
      </c>
      <c r="J1664" s="1">
        <v>0.84258712802581881</v>
      </c>
      <c r="K1664" s="1" t="s">
        <v>181</v>
      </c>
    </row>
    <row r="1665" spans="1:11" x14ac:dyDescent="0.25">
      <c r="A1665" s="1" t="s">
        <v>5299</v>
      </c>
      <c r="B1665" s="1" t="s">
        <v>5300</v>
      </c>
      <c r="D1665" s="1" t="s">
        <v>5301</v>
      </c>
      <c r="E1665" s="1" t="s">
        <v>209</v>
      </c>
      <c r="F1665" s="1" t="s">
        <v>5017</v>
      </c>
      <c r="G1665" s="1" t="s">
        <v>5018</v>
      </c>
      <c r="H1665" s="1">
        <v>0.1</v>
      </c>
      <c r="I1665" s="1">
        <v>0.1</v>
      </c>
      <c r="J1665" s="1">
        <v>0.92576958197656833</v>
      </c>
      <c r="K1665" s="1" t="s">
        <v>181</v>
      </c>
    </row>
    <row r="1666" spans="1:11" x14ac:dyDescent="0.25">
      <c r="A1666" s="1" t="s">
        <v>5302</v>
      </c>
      <c r="B1666" s="1" t="s">
        <v>5303</v>
      </c>
      <c r="D1666" s="1" t="s">
        <v>5304</v>
      </c>
      <c r="E1666" s="1" t="s">
        <v>209</v>
      </c>
      <c r="F1666" s="1" t="s">
        <v>5017</v>
      </c>
      <c r="G1666" s="1" t="s">
        <v>5018</v>
      </c>
      <c r="H1666" s="1">
        <v>0.1</v>
      </c>
      <c r="I1666" s="1">
        <v>0.1</v>
      </c>
      <c r="J1666" s="1">
        <v>0.71006310016835139</v>
      </c>
      <c r="K1666" s="1" t="s">
        <v>181</v>
      </c>
    </row>
    <row r="1667" spans="1:11" x14ac:dyDescent="0.25">
      <c r="A1667" s="1" t="s">
        <v>5305</v>
      </c>
      <c r="B1667" s="1" t="s">
        <v>5306</v>
      </c>
      <c r="D1667" s="1" t="s">
        <v>5307</v>
      </c>
      <c r="E1667" s="1" t="s">
        <v>209</v>
      </c>
      <c r="F1667" s="1" t="s">
        <v>5017</v>
      </c>
      <c r="G1667" s="1" t="s">
        <v>5018</v>
      </c>
      <c r="H1667" s="1">
        <v>0.1</v>
      </c>
      <c r="I1667" s="1">
        <v>0.1</v>
      </c>
      <c r="J1667" s="1">
        <v>0.76918476453637941</v>
      </c>
      <c r="K1667" s="1" t="s">
        <v>181</v>
      </c>
    </row>
    <row r="1668" spans="1:11" x14ac:dyDescent="0.25">
      <c r="A1668" s="1" t="s">
        <v>5308</v>
      </c>
      <c r="B1668" s="1" t="s">
        <v>5309</v>
      </c>
      <c r="D1668" s="1" t="s">
        <v>5310</v>
      </c>
      <c r="E1668" s="1" t="s">
        <v>209</v>
      </c>
      <c r="F1668" s="1" t="s">
        <v>5017</v>
      </c>
      <c r="G1668" s="1" t="s">
        <v>5018</v>
      </c>
      <c r="H1668" s="1">
        <v>0.1</v>
      </c>
      <c r="I1668" s="1">
        <v>0.1</v>
      </c>
      <c r="J1668" s="1">
        <v>0.76880005877487512</v>
      </c>
      <c r="K1668" s="1" t="s">
        <v>181</v>
      </c>
    </row>
    <row r="1669" spans="1:11" x14ac:dyDescent="0.25">
      <c r="A1669" s="1" t="s">
        <v>5311</v>
      </c>
      <c r="B1669" s="1" t="s">
        <v>5312</v>
      </c>
      <c r="D1669" s="1" t="s">
        <v>5313</v>
      </c>
      <c r="E1669" s="1" t="s">
        <v>209</v>
      </c>
      <c r="F1669" s="1" t="s">
        <v>5017</v>
      </c>
      <c r="G1669" s="1" t="s">
        <v>5018</v>
      </c>
      <c r="H1669" s="1">
        <v>0.1</v>
      </c>
      <c r="I1669" s="1">
        <v>0.1</v>
      </c>
      <c r="J1669" s="1">
        <v>0.77390884459234233</v>
      </c>
      <c r="K1669" s="1" t="s">
        <v>181</v>
      </c>
    </row>
    <row r="1670" spans="1:11" x14ac:dyDescent="0.25">
      <c r="A1670" s="1" t="s">
        <v>5314</v>
      </c>
      <c r="B1670" s="1" t="s">
        <v>5315</v>
      </c>
      <c r="D1670" s="1" t="s">
        <v>5316</v>
      </c>
      <c r="E1670" s="1" t="s">
        <v>209</v>
      </c>
      <c r="F1670" s="1" t="s">
        <v>5017</v>
      </c>
      <c r="G1670" s="1" t="s">
        <v>5018</v>
      </c>
      <c r="H1670" s="1">
        <v>0.1</v>
      </c>
      <c r="I1670" s="1">
        <v>0.1</v>
      </c>
      <c r="J1670" s="1">
        <v>0.73756672810074331</v>
      </c>
      <c r="K1670" s="1" t="s">
        <v>181</v>
      </c>
    </row>
    <row r="1671" spans="1:11" x14ac:dyDescent="0.25">
      <c r="A1671" s="1" t="s">
        <v>5317</v>
      </c>
      <c r="B1671" s="1" t="s">
        <v>5318</v>
      </c>
      <c r="D1671" s="1" t="s">
        <v>5319</v>
      </c>
      <c r="E1671" s="1" t="s">
        <v>209</v>
      </c>
      <c r="F1671" s="1" t="s">
        <v>5017</v>
      </c>
      <c r="G1671" s="1" t="s">
        <v>5018</v>
      </c>
      <c r="H1671" s="1">
        <v>0.1</v>
      </c>
      <c r="I1671" s="1">
        <v>0.1</v>
      </c>
      <c r="J1671" s="1">
        <v>0.69939235440378045</v>
      </c>
      <c r="K1671" s="1" t="s">
        <v>181</v>
      </c>
    </row>
    <row r="1672" spans="1:11" x14ac:dyDescent="0.25">
      <c r="A1672" s="1" t="s">
        <v>5320</v>
      </c>
      <c r="B1672" s="1" t="s">
        <v>5321</v>
      </c>
      <c r="D1672" s="1" t="s">
        <v>5322</v>
      </c>
      <c r="E1672" s="1" t="s">
        <v>209</v>
      </c>
      <c r="F1672" s="1" t="s">
        <v>5017</v>
      </c>
      <c r="G1672" s="1" t="s">
        <v>5018</v>
      </c>
      <c r="H1672" s="1">
        <v>0.1</v>
      </c>
      <c r="I1672" s="1">
        <v>0.1</v>
      </c>
      <c r="J1672" s="1">
        <v>0.83894510489898777</v>
      </c>
      <c r="K1672" s="1" t="s">
        <v>181</v>
      </c>
    </row>
    <row r="1673" spans="1:11" x14ac:dyDescent="0.25">
      <c r="A1673" s="1" t="s">
        <v>5323</v>
      </c>
      <c r="B1673" s="1" t="s">
        <v>5324</v>
      </c>
      <c r="D1673" s="1" t="s">
        <v>5325</v>
      </c>
      <c r="E1673" s="1" t="s">
        <v>209</v>
      </c>
      <c r="F1673" s="1" t="s">
        <v>5017</v>
      </c>
      <c r="G1673" s="1" t="s">
        <v>5018</v>
      </c>
      <c r="H1673" s="1">
        <v>0.1</v>
      </c>
      <c r="I1673" s="1">
        <v>0.1</v>
      </c>
      <c r="J1673" s="1">
        <v>0.6660217013247286</v>
      </c>
      <c r="K1673" s="1" t="s">
        <v>181</v>
      </c>
    </row>
    <row r="1674" spans="1:11" x14ac:dyDescent="0.25">
      <c r="A1674" s="1" t="s">
        <v>5326</v>
      </c>
      <c r="B1674" s="1" t="s">
        <v>5327</v>
      </c>
      <c r="D1674" s="1" t="s">
        <v>5328</v>
      </c>
      <c r="E1674" s="1" t="s">
        <v>209</v>
      </c>
      <c r="F1674" s="1" t="s">
        <v>5017</v>
      </c>
      <c r="G1674" s="1" t="s">
        <v>5018</v>
      </c>
      <c r="H1674" s="1">
        <v>0.1</v>
      </c>
      <c r="I1674" s="1">
        <v>0.1</v>
      </c>
      <c r="J1674" s="1">
        <v>0.77987545928353708</v>
      </c>
      <c r="K1674" s="1" t="s">
        <v>181</v>
      </c>
    </row>
    <row r="1675" spans="1:11" x14ac:dyDescent="0.25">
      <c r="A1675" s="1" t="s">
        <v>5329</v>
      </c>
      <c r="B1675" s="1" t="s">
        <v>5330</v>
      </c>
      <c r="D1675" s="1" t="s">
        <v>5331</v>
      </c>
      <c r="E1675" s="1" t="s">
        <v>209</v>
      </c>
      <c r="F1675" s="1" t="s">
        <v>5017</v>
      </c>
      <c r="G1675" s="1" t="s">
        <v>5018</v>
      </c>
      <c r="H1675" s="1">
        <v>0.1</v>
      </c>
      <c r="I1675" s="1">
        <v>0.1</v>
      </c>
      <c r="J1675" s="1">
        <v>0.76977538513185884</v>
      </c>
      <c r="K1675" s="1" t="s">
        <v>181</v>
      </c>
    </row>
    <row r="1676" spans="1:11" x14ac:dyDescent="0.25">
      <c r="A1676" s="1" t="s">
        <v>5332</v>
      </c>
      <c r="B1676" s="1" t="s">
        <v>5333</v>
      </c>
      <c r="D1676" s="1" t="s">
        <v>5334</v>
      </c>
      <c r="E1676" s="1" t="s">
        <v>209</v>
      </c>
      <c r="F1676" s="1" t="s">
        <v>5017</v>
      </c>
      <c r="G1676" s="1" t="s">
        <v>5018</v>
      </c>
      <c r="H1676" s="1">
        <v>0.1</v>
      </c>
      <c r="I1676" s="1">
        <v>0.1</v>
      </c>
      <c r="J1676" s="1">
        <v>0.72700293958950823</v>
      </c>
      <c r="K1676" s="1" t="s">
        <v>181</v>
      </c>
    </row>
    <row r="1677" spans="1:11" x14ac:dyDescent="0.25">
      <c r="A1677" s="1" t="s">
        <v>5335</v>
      </c>
      <c r="B1677" s="1" t="s">
        <v>5336</v>
      </c>
      <c r="D1677" s="1" t="s">
        <v>5337</v>
      </c>
      <c r="E1677" s="1" t="s">
        <v>209</v>
      </c>
      <c r="F1677" s="1" t="s">
        <v>5017</v>
      </c>
      <c r="G1677" s="1" t="s">
        <v>5018</v>
      </c>
      <c r="H1677" s="1">
        <v>0.1</v>
      </c>
      <c r="I1677" s="1">
        <v>0.1</v>
      </c>
      <c r="J1677" s="1">
        <v>0.83754963287778217</v>
      </c>
      <c r="K1677" s="1" t="s">
        <v>181</v>
      </c>
    </row>
    <row r="1678" spans="1:11" x14ac:dyDescent="0.25">
      <c r="A1678" s="1" t="s">
        <v>61</v>
      </c>
      <c r="B1678" s="1" t="s">
        <v>5338</v>
      </c>
      <c r="D1678" s="1" t="s">
        <v>5339</v>
      </c>
      <c r="E1678" s="1" t="s">
        <v>209</v>
      </c>
      <c r="F1678" s="1" t="s">
        <v>5017</v>
      </c>
      <c r="G1678" s="1" t="s">
        <v>5018</v>
      </c>
      <c r="H1678" s="1">
        <v>0.1</v>
      </c>
      <c r="I1678" s="1">
        <v>0.1</v>
      </c>
      <c r="J1678" s="1">
        <v>0.97474883067091311</v>
      </c>
      <c r="K1678" s="1" t="s">
        <v>181</v>
      </c>
    </row>
    <row r="1679" spans="1:11" x14ac:dyDescent="0.25">
      <c r="A1679" s="1" t="s">
        <v>5340</v>
      </c>
      <c r="B1679" s="1" t="s">
        <v>5341</v>
      </c>
      <c r="D1679" s="1" t="s">
        <v>5342</v>
      </c>
      <c r="E1679" s="1" t="s">
        <v>209</v>
      </c>
      <c r="F1679" s="1" t="s">
        <v>5017</v>
      </c>
      <c r="G1679" s="1" t="s">
        <v>5018</v>
      </c>
      <c r="H1679" s="1">
        <v>0.1</v>
      </c>
      <c r="I1679" s="1">
        <v>0.1</v>
      </c>
      <c r="J1679" s="1">
        <v>0.60383315812331395</v>
      </c>
      <c r="K1679" s="1" t="s">
        <v>181</v>
      </c>
    </row>
    <row r="1680" spans="1:11" x14ac:dyDescent="0.25">
      <c r="A1680" s="1" t="s">
        <v>5343</v>
      </c>
      <c r="B1680" s="1" t="s">
        <v>5344</v>
      </c>
      <c r="D1680" s="1" t="s">
        <v>5345</v>
      </c>
      <c r="E1680" s="1" t="s">
        <v>209</v>
      </c>
      <c r="F1680" s="1" t="s">
        <v>5017</v>
      </c>
      <c r="G1680" s="1" t="s">
        <v>5018</v>
      </c>
      <c r="H1680" s="1">
        <v>0.1</v>
      </c>
      <c r="I1680" s="1">
        <v>0.1</v>
      </c>
      <c r="J1680" s="1">
        <v>0.62751221615576047</v>
      </c>
      <c r="K1680" s="1" t="s">
        <v>181</v>
      </c>
    </row>
    <row r="1681" spans="1:11" x14ac:dyDescent="0.25">
      <c r="A1681" s="1" t="s">
        <v>101</v>
      </c>
      <c r="B1681" s="1" t="s">
        <v>5346</v>
      </c>
      <c r="D1681" s="1" t="s">
        <v>5347</v>
      </c>
      <c r="E1681" s="1" t="s">
        <v>209</v>
      </c>
      <c r="F1681" s="1" t="s">
        <v>5017</v>
      </c>
      <c r="G1681" s="1" t="s">
        <v>5018</v>
      </c>
      <c r="H1681" s="1">
        <v>0.1</v>
      </c>
      <c r="I1681" s="1">
        <v>0.1</v>
      </c>
      <c r="J1681" s="1">
        <v>0.66276776549399663</v>
      </c>
      <c r="K1681" s="1" t="s">
        <v>181</v>
      </c>
    </row>
    <row r="1682" spans="1:11" x14ac:dyDescent="0.25">
      <c r="A1682" s="1" t="s">
        <v>5348</v>
      </c>
      <c r="B1682" s="1" t="s">
        <v>5349</v>
      </c>
      <c r="D1682" s="1" t="s">
        <v>5350</v>
      </c>
      <c r="E1682" s="1" t="s">
        <v>209</v>
      </c>
      <c r="F1682" s="1" t="s">
        <v>5017</v>
      </c>
      <c r="G1682" s="1" t="s">
        <v>5018</v>
      </c>
      <c r="H1682" s="1">
        <v>0.1</v>
      </c>
      <c r="I1682" s="1">
        <v>0.1</v>
      </c>
      <c r="J1682" s="1">
        <v>0.60194495120270974</v>
      </c>
      <c r="K1682" s="1" t="s">
        <v>181</v>
      </c>
    </row>
    <row r="1683" spans="1:11" x14ac:dyDescent="0.25">
      <c r="A1683" s="1" t="s">
        <v>5351</v>
      </c>
      <c r="B1683" s="1" t="s">
        <v>5352</v>
      </c>
      <c r="D1683" s="1" t="s">
        <v>5353</v>
      </c>
      <c r="E1683" s="1" t="s">
        <v>209</v>
      </c>
      <c r="F1683" s="1" t="s">
        <v>5017</v>
      </c>
      <c r="G1683" s="1" t="s">
        <v>5018</v>
      </c>
      <c r="H1683" s="1">
        <v>0.1</v>
      </c>
      <c r="I1683" s="1">
        <v>0.1</v>
      </c>
      <c r="J1683" s="1">
        <v>0.6755113316618977</v>
      </c>
      <c r="K1683" s="1" t="s">
        <v>181</v>
      </c>
    </row>
    <row r="1684" spans="1:11" x14ac:dyDescent="0.25">
      <c r="A1684" s="1" t="s">
        <v>5354</v>
      </c>
      <c r="B1684" s="1" t="s">
        <v>5355</v>
      </c>
      <c r="D1684" s="1" t="s">
        <v>5356</v>
      </c>
      <c r="E1684" s="1" t="s">
        <v>209</v>
      </c>
      <c r="F1684" s="1" t="s">
        <v>5017</v>
      </c>
      <c r="G1684" s="1" t="s">
        <v>5018</v>
      </c>
      <c r="H1684" s="1">
        <v>0.1</v>
      </c>
      <c r="I1684" s="1">
        <v>0.1</v>
      </c>
      <c r="J1684" s="1">
        <v>0.83272432893214099</v>
      </c>
      <c r="K1684" s="1" t="s">
        <v>181</v>
      </c>
    </row>
    <row r="1685" spans="1:11" x14ac:dyDescent="0.25">
      <c r="A1685" s="1" t="s">
        <v>5357</v>
      </c>
      <c r="B1685" s="1" t="s">
        <v>5358</v>
      </c>
      <c r="D1685" s="1" t="s">
        <v>5359</v>
      </c>
      <c r="E1685" s="1" t="s">
        <v>209</v>
      </c>
      <c r="F1685" s="1" t="s">
        <v>5017</v>
      </c>
      <c r="G1685" s="1" t="s">
        <v>5018</v>
      </c>
      <c r="H1685" s="1">
        <v>0.1</v>
      </c>
      <c r="I1685" s="1">
        <v>0.1</v>
      </c>
      <c r="J1685" s="1">
        <v>0.73298359779473765</v>
      </c>
      <c r="K1685" s="1" t="s">
        <v>181</v>
      </c>
    </row>
    <row r="1686" spans="1:11" x14ac:dyDescent="0.25">
      <c r="A1686" s="1" t="s">
        <v>5360</v>
      </c>
      <c r="B1686" s="1" t="s">
        <v>5361</v>
      </c>
      <c r="D1686" s="1" t="s">
        <v>5362</v>
      </c>
      <c r="E1686" s="1" t="s">
        <v>209</v>
      </c>
      <c r="F1686" s="1" t="s">
        <v>5017</v>
      </c>
      <c r="G1686" s="1" t="s">
        <v>5018</v>
      </c>
      <c r="H1686" s="1">
        <v>0.1</v>
      </c>
      <c r="I1686" s="1">
        <v>0.1</v>
      </c>
      <c r="J1686" s="1">
        <v>0.76617846069513151</v>
      </c>
      <c r="K1686" s="1" t="s">
        <v>181</v>
      </c>
    </row>
    <row r="1687" spans="1:11" x14ac:dyDescent="0.25">
      <c r="A1687" s="1" t="s">
        <v>5363</v>
      </c>
      <c r="B1687" s="1" t="s">
        <v>5364</v>
      </c>
      <c r="D1687" s="1" t="s">
        <v>5365</v>
      </c>
      <c r="E1687" s="1" t="s">
        <v>209</v>
      </c>
      <c r="F1687" s="1" t="s">
        <v>5017</v>
      </c>
      <c r="G1687" s="1" t="s">
        <v>5018</v>
      </c>
      <c r="H1687" s="1">
        <v>0.1</v>
      </c>
      <c r="I1687" s="1">
        <v>0.1</v>
      </c>
      <c r="J1687" s="1">
        <v>0.66759528579484928</v>
      </c>
      <c r="K1687" s="1" t="s">
        <v>181</v>
      </c>
    </row>
    <row r="1688" spans="1:11" x14ac:dyDescent="0.25">
      <c r="A1688" s="1" t="s">
        <v>5366</v>
      </c>
      <c r="B1688" s="1" t="s">
        <v>5367</v>
      </c>
      <c r="D1688" s="1" t="s">
        <v>5368</v>
      </c>
      <c r="E1688" s="1" t="s">
        <v>209</v>
      </c>
      <c r="F1688" s="1" t="s">
        <v>5017</v>
      </c>
      <c r="G1688" s="1" t="s">
        <v>5018</v>
      </c>
      <c r="H1688" s="1">
        <v>0.1</v>
      </c>
      <c r="I1688" s="1">
        <v>0.1</v>
      </c>
      <c r="J1688" s="1">
        <v>0.36312508038473629</v>
      </c>
      <c r="K1688" s="1" t="s">
        <v>181</v>
      </c>
    </row>
    <row r="1689" spans="1:11" x14ac:dyDescent="0.25">
      <c r="A1689" s="1" t="s">
        <v>5369</v>
      </c>
      <c r="B1689" s="1" t="s">
        <v>5370</v>
      </c>
      <c r="D1689" s="1" t="s">
        <v>5371</v>
      </c>
      <c r="E1689" s="1" t="s">
        <v>209</v>
      </c>
      <c r="F1689" s="1" t="s">
        <v>5017</v>
      </c>
      <c r="G1689" s="1" t="s">
        <v>5018</v>
      </c>
      <c r="H1689" s="1">
        <v>0.1</v>
      </c>
      <c r="I1689" s="1">
        <v>0.1</v>
      </c>
      <c r="J1689" s="1">
        <v>0.70167967684887511</v>
      </c>
      <c r="K1689" s="1" t="s">
        <v>181</v>
      </c>
    </row>
    <row r="1690" spans="1:11" x14ac:dyDescent="0.25">
      <c r="A1690" s="1" t="s">
        <v>5372</v>
      </c>
      <c r="B1690" s="1" t="s">
        <v>5373</v>
      </c>
      <c r="D1690" s="1" t="s">
        <v>5374</v>
      </c>
      <c r="E1690" s="1" t="s">
        <v>209</v>
      </c>
      <c r="F1690" s="1" t="s">
        <v>5017</v>
      </c>
      <c r="G1690" s="1" t="s">
        <v>5018</v>
      </c>
      <c r="H1690" s="1">
        <v>0.1</v>
      </c>
      <c r="I1690" s="1">
        <v>0.1</v>
      </c>
      <c r="J1690" s="1">
        <v>0.44812375834845969</v>
      </c>
      <c r="K1690" s="1" t="s">
        <v>181</v>
      </c>
    </row>
    <row r="1691" spans="1:11" x14ac:dyDescent="0.25">
      <c r="A1691" s="1" t="s">
        <v>5375</v>
      </c>
      <c r="B1691" s="1" t="s">
        <v>5376</v>
      </c>
      <c r="D1691" s="1" t="s">
        <v>5377</v>
      </c>
      <c r="E1691" s="1" t="s">
        <v>209</v>
      </c>
      <c r="F1691" s="1" t="s">
        <v>5017</v>
      </c>
      <c r="G1691" s="1" t="s">
        <v>5018</v>
      </c>
      <c r="H1691" s="1">
        <v>0.1</v>
      </c>
      <c r="I1691" s="1">
        <v>0.1</v>
      </c>
      <c r="J1691" s="1">
        <v>0.38463845040591782</v>
      </c>
      <c r="K1691" s="1" t="s">
        <v>181</v>
      </c>
    </row>
    <row r="1692" spans="1:11" x14ac:dyDescent="0.25">
      <c r="A1692" s="1" t="s">
        <v>5378</v>
      </c>
      <c r="B1692" s="1" t="s">
        <v>5379</v>
      </c>
      <c r="D1692" s="1" t="s">
        <v>5380</v>
      </c>
      <c r="E1692" s="1" t="s">
        <v>209</v>
      </c>
      <c r="F1692" s="1" t="s">
        <v>5017</v>
      </c>
      <c r="G1692" s="1" t="s">
        <v>5018</v>
      </c>
      <c r="H1692" s="1">
        <v>0.1</v>
      </c>
      <c r="I1692" s="1">
        <v>0.1</v>
      </c>
      <c r="J1692" s="1">
        <v>0.37376440193217808</v>
      </c>
      <c r="K1692" s="1" t="s">
        <v>181</v>
      </c>
    </row>
    <row r="1693" spans="1:11" x14ac:dyDescent="0.25">
      <c r="A1693" s="1" t="s">
        <v>5381</v>
      </c>
      <c r="B1693" s="1" t="s">
        <v>5382</v>
      </c>
      <c r="D1693" s="1" t="s">
        <v>5383</v>
      </c>
      <c r="E1693" s="1" t="s">
        <v>209</v>
      </c>
      <c r="F1693" s="1" t="s">
        <v>5017</v>
      </c>
      <c r="G1693" s="1" t="s">
        <v>5018</v>
      </c>
      <c r="H1693" s="1">
        <v>0.1</v>
      </c>
      <c r="I1693" s="1">
        <v>0.1</v>
      </c>
      <c r="J1693" s="1">
        <v>0.48172502783107618</v>
      </c>
      <c r="K1693" s="1" t="s">
        <v>181</v>
      </c>
    </row>
    <row r="1694" spans="1:11" x14ac:dyDescent="0.25">
      <c r="A1694" s="1" t="s">
        <v>5384</v>
      </c>
      <c r="B1694" s="1" t="s">
        <v>5385</v>
      </c>
      <c r="D1694" s="1" t="s">
        <v>5386</v>
      </c>
      <c r="E1694" s="1" t="s">
        <v>209</v>
      </c>
      <c r="F1694" s="1" t="s">
        <v>5017</v>
      </c>
      <c r="G1694" s="1" t="s">
        <v>5018</v>
      </c>
      <c r="H1694" s="1">
        <v>0.1</v>
      </c>
      <c r="I1694" s="1">
        <v>0.1</v>
      </c>
      <c r="J1694" s="1">
        <v>0.7719398384949212</v>
      </c>
      <c r="K1694" s="1" t="s">
        <v>181</v>
      </c>
    </row>
    <row r="1695" spans="1:11" x14ac:dyDescent="0.25">
      <c r="A1695" s="1" t="s">
        <v>5387</v>
      </c>
      <c r="B1695" s="1" t="s">
        <v>5388</v>
      </c>
      <c r="D1695" s="1" t="s">
        <v>5389</v>
      </c>
      <c r="E1695" s="1" t="s">
        <v>209</v>
      </c>
      <c r="F1695" s="1" t="s">
        <v>5017</v>
      </c>
      <c r="G1695" s="1" t="s">
        <v>5018</v>
      </c>
      <c r="H1695" s="1">
        <v>0.1</v>
      </c>
      <c r="I1695" s="1">
        <v>0.1</v>
      </c>
      <c r="J1695" s="1">
        <v>0.58223480978793707</v>
      </c>
      <c r="K1695" s="1" t="s">
        <v>181</v>
      </c>
    </row>
    <row r="1696" spans="1:11" x14ac:dyDescent="0.25">
      <c r="A1696" s="1" t="s">
        <v>5390</v>
      </c>
      <c r="B1696" s="1" t="s">
        <v>5391</v>
      </c>
      <c r="D1696" s="1" t="s">
        <v>5392</v>
      </c>
      <c r="E1696" s="1" t="s">
        <v>209</v>
      </c>
      <c r="F1696" s="1" t="s">
        <v>5017</v>
      </c>
      <c r="G1696" s="1" t="s">
        <v>5018</v>
      </c>
      <c r="H1696" s="1">
        <v>0.1</v>
      </c>
      <c r="I1696" s="1">
        <v>0.1</v>
      </c>
      <c r="J1696" s="1">
        <v>0.56077622883866152</v>
      </c>
      <c r="K1696" s="1" t="s">
        <v>181</v>
      </c>
    </row>
    <row r="1697" spans="1:11" x14ac:dyDescent="0.25">
      <c r="A1697" s="1" t="s">
        <v>5393</v>
      </c>
      <c r="B1697" s="1" t="s">
        <v>5394</v>
      </c>
      <c r="D1697" s="1" t="s">
        <v>5395</v>
      </c>
      <c r="E1697" s="1" t="s">
        <v>209</v>
      </c>
      <c r="F1697" s="1" t="s">
        <v>5017</v>
      </c>
      <c r="G1697" s="1" t="s">
        <v>5018</v>
      </c>
      <c r="H1697" s="1">
        <v>0.1</v>
      </c>
      <c r="I1697" s="1">
        <v>0.1</v>
      </c>
      <c r="J1697" s="1">
        <v>0.83013429809684125</v>
      </c>
      <c r="K1697" s="1" t="s">
        <v>181</v>
      </c>
    </row>
    <row r="1698" spans="1:11" x14ac:dyDescent="0.25">
      <c r="A1698" s="1" t="s">
        <v>5396</v>
      </c>
      <c r="B1698" s="1" t="s">
        <v>5397</v>
      </c>
      <c r="D1698" s="1" t="s">
        <v>5398</v>
      </c>
      <c r="E1698" s="1" t="s">
        <v>209</v>
      </c>
      <c r="F1698" s="1" t="s">
        <v>5017</v>
      </c>
      <c r="G1698" s="1" t="s">
        <v>5018</v>
      </c>
      <c r="H1698" s="1">
        <v>0.1</v>
      </c>
      <c r="I1698" s="1">
        <v>0.1</v>
      </c>
      <c r="J1698" s="1">
        <v>0.78956339195416492</v>
      </c>
      <c r="K1698" s="1" t="s">
        <v>181</v>
      </c>
    </row>
    <row r="1699" spans="1:11" x14ac:dyDescent="0.25">
      <c r="A1699" s="1" t="s">
        <v>5399</v>
      </c>
      <c r="B1699" s="1" t="s">
        <v>5400</v>
      </c>
      <c r="D1699" s="1" t="s">
        <v>5401</v>
      </c>
      <c r="E1699" s="1" t="s">
        <v>209</v>
      </c>
      <c r="F1699" s="1" t="s">
        <v>5017</v>
      </c>
      <c r="G1699" s="1" t="s">
        <v>5018</v>
      </c>
      <c r="H1699" s="1">
        <v>0.1</v>
      </c>
      <c r="I1699" s="1">
        <v>0.1</v>
      </c>
      <c r="J1699" s="1">
        <v>0.79417011490636336</v>
      </c>
      <c r="K1699" s="1" t="s">
        <v>181</v>
      </c>
    </row>
    <row r="1700" spans="1:11" x14ac:dyDescent="0.25">
      <c r="A1700" s="1" t="s">
        <v>5402</v>
      </c>
      <c r="B1700" s="1" t="s">
        <v>5403</v>
      </c>
      <c r="D1700" s="1" t="s">
        <v>5404</v>
      </c>
      <c r="E1700" s="1" t="s">
        <v>209</v>
      </c>
      <c r="F1700" s="1" t="s">
        <v>5017</v>
      </c>
      <c r="G1700" s="1" t="s">
        <v>5018</v>
      </c>
      <c r="H1700" s="1">
        <v>0.1</v>
      </c>
      <c r="I1700" s="1">
        <v>0.1</v>
      </c>
      <c r="J1700" s="1">
        <v>0.68165643554137301</v>
      </c>
      <c r="K1700" s="1" t="s">
        <v>181</v>
      </c>
    </row>
    <row r="1701" spans="1:11" x14ac:dyDescent="0.25">
      <c r="A1701" s="1" t="s">
        <v>5405</v>
      </c>
      <c r="B1701" s="1" t="s">
        <v>5406</v>
      </c>
      <c r="D1701" s="1" t="s">
        <v>5407</v>
      </c>
      <c r="E1701" s="1" t="s">
        <v>209</v>
      </c>
      <c r="F1701" s="1" t="s">
        <v>5017</v>
      </c>
      <c r="G1701" s="1" t="s">
        <v>5018</v>
      </c>
      <c r="H1701" s="1">
        <v>0.1</v>
      </c>
      <c r="I1701" s="1">
        <v>0.1</v>
      </c>
      <c r="J1701" s="1">
        <v>0.6442900936852356</v>
      </c>
      <c r="K1701" s="1" t="s">
        <v>181</v>
      </c>
    </row>
    <row r="1702" spans="1:11" x14ac:dyDescent="0.25">
      <c r="A1702" s="1" t="s">
        <v>5408</v>
      </c>
      <c r="B1702" s="1" t="s">
        <v>5409</v>
      </c>
      <c r="D1702" s="1" t="s">
        <v>5410</v>
      </c>
      <c r="E1702" s="1" t="s">
        <v>209</v>
      </c>
      <c r="F1702" s="1" t="s">
        <v>5017</v>
      </c>
      <c r="G1702" s="1" t="s">
        <v>5018</v>
      </c>
      <c r="H1702" s="1">
        <v>0.1</v>
      </c>
      <c r="I1702" s="1">
        <v>0.1</v>
      </c>
      <c r="J1702" s="1">
        <v>0.43726160711814094</v>
      </c>
      <c r="K1702" s="1" t="s">
        <v>181</v>
      </c>
    </row>
    <row r="1703" spans="1:11" x14ac:dyDescent="0.25">
      <c r="A1703" s="1" t="s">
        <v>5411</v>
      </c>
      <c r="B1703" s="1" t="s">
        <v>5412</v>
      </c>
      <c r="D1703" s="1" t="s">
        <v>5413</v>
      </c>
      <c r="E1703" s="1" t="s">
        <v>209</v>
      </c>
      <c r="F1703" s="1" t="s">
        <v>5017</v>
      </c>
      <c r="G1703" s="1" t="s">
        <v>5018</v>
      </c>
      <c r="H1703" s="1">
        <v>0.1</v>
      </c>
      <c r="I1703" s="1">
        <v>0.1</v>
      </c>
      <c r="J1703" s="1">
        <v>0.67124831154575737</v>
      </c>
      <c r="K1703" s="1" t="s">
        <v>181</v>
      </c>
    </row>
    <row r="1704" spans="1:11" x14ac:dyDescent="0.25">
      <c r="A1704" s="1" t="s">
        <v>5414</v>
      </c>
      <c r="B1704" s="1" t="s">
        <v>5415</v>
      </c>
      <c r="D1704" s="1" t="s">
        <v>5416</v>
      </c>
      <c r="E1704" s="1" t="s">
        <v>209</v>
      </c>
      <c r="F1704" s="1" t="s">
        <v>5017</v>
      </c>
      <c r="G1704" s="1" t="s">
        <v>5018</v>
      </c>
      <c r="H1704" s="1">
        <v>0.1</v>
      </c>
      <c r="I1704" s="1">
        <v>0.1</v>
      </c>
      <c r="J1704" s="1">
        <v>0.43540572019383827</v>
      </c>
      <c r="K1704" s="1" t="s">
        <v>181</v>
      </c>
    </row>
    <row r="1705" spans="1:11" x14ac:dyDescent="0.25">
      <c r="A1705" s="1" t="s">
        <v>5417</v>
      </c>
      <c r="B1705" s="1" t="s">
        <v>5418</v>
      </c>
      <c r="D1705" s="1" t="s">
        <v>5419</v>
      </c>
      <c r="E1705" s="1" t="s">
        <v>209</v>
      </c>
      <c r="F1705" s="1" t="s">
        <v>5017</v>
      </c>
      <c r="G1705" s="1" t="s">
        <v>5018</v>
      </c>
      <c r="H1705" s="1">
        <v>0.1</v>
      </c>
      <c r="I1705" s="1">
        <v>0.1</v>
      </c>
      <c r="J1705" s="1">
        <v>0.57852089994282563</v>
      </c>
      <c r="K1705" s="1" t="s">
        <v>181</v>
      </c>
    </row>
    <row r="1706" spans="1:11" x14ac:dyDescent="0.25">
      <c r="A1706" s="1" t="s">
        <v>5420</v>
      </c>
      <c r="B1706" s="1" t="s">
        <v>5421</v>
      </c>
      <c r="D1706" s="1" t="s">
        <v>5422</v>
      </c>
      <c r="E1706" s="1" t="s">
        <v>209</v>
      </c>
      <c r="F1706" s="1" t="s">
        <v>5017</v>
      </c>
      <c r="G1706" s="1" t="s">
        <v>5018</v>
      </c>
      <c r="H1706" s="1">
        <v>0.1</v>
      </c>
      <c r="I1706" s="1">
        <v>0.1</v>
      </c>
      <c r="J1706" s="1">
        <v>1.1558008666191897</v>
      </c>
      <c r="K1706" s="1" t="s">
        <v>181</v>
      </c>
    </row>
    <row r="1707" spans="1:11" x14ac:dyDescent="0.25">
      <c r="A1707" s="1" t="s">
        <v>5423</v>
      </c>
      <c r="B1707" s="1" t="s">
        <v>5424</v>
      </c>
      <c r="D1707" s="1" t="s">
        <v>5425</v>
      </c>
      <c r="E1707" s="1" t="s">
        <v>209</v>
      </c>
      <c r="F1707" s="1" t="s">
        <v>5017</v>
      </c>
      <c r="G1707" s="1" t="s">
        <v>5018</v>
      </c>
      <c r="H1707" s="1">
        <v>0.1</v>
      </c>
      <c r="I1707" s="1">
        <v>0.1</v>
      </c>
      <c r="J1707" s="1">
        <v>0.7828692311797415</v>
      </c>
      <c r="K1707" s="1" t="s">
        <v>181</v>
      </c>
    </row>
    <row r="1708" spans="1:11" x14ac:dyDescent="0.25">
      <c r="A1708" s="1" t="s">
        <v>5426</v>
      </c>
      <c r="B1708" s="1" t="s">
        <v>5427</v>
      </c>
      <c r="D1708" s="1" t="s">
        <v>5428</v>
      </c>
      <c r="E1708" s="1" t="s">
        <v>209</v>
      </c>
      <c r="F1708" s="1" t="s">
        <v>5017</v>
      </c>
      <c r="G1708" s="1" t="s">
        <v>5018</v>
      </c>
      <c r="H1708" s="1">
        <v>0.1</v>
      </c>
      <c r="I1708" s="1">
        <v>0.1</v>
      </c>
      <c r="J1708" s="1">
        <v>0.78719588047790801</v>
      </c>
      <c r="K1708" s="1" t="s">
        <v>181</v>
      </c>
    </row>
    <row r="1709" spans="1:11" x14ac:dyDescent="0.25">
      <c r="A1709" s="1" t="s">
        <v>5429</v>
      </c>
      <c r="B1709" s="1" t="s">
        <v>5430</v>
      </c>
      <c r="D1709" s="1" t="s">
        <v>5431</v>
      </c>
      <c r="E1709" s="1" t="s">
        <v>209</v>
      </c>
      <c r="F1709" s="1" t="s">
        <v>5017</v>
      </c>
      <c r="G1709" s="1" t="s">
        <v>5018</v>
      </c>
      <c r="H1709" s="1">
        <v>0.1</v>
      </c>
      <c r="I1709" s="1">
        <v>0.1</v>
      </c>
      <c r="J1709" s="1">
        <v>0.47799708006845132</v>
      </c>
      <c r="K1709" s="1" t="s">
        <v>181</v>
      </c>
    </row>
    <row r="1710" spans="1:11" x14ac:dyDescent="0.25">
      <c r="A1710" s="1" t="s">
        <v>5432</v>
      </c>
      <c r="B1710" s="1" t="s">
        <v>5433</v>
      </c>
      <c r="D1710" s="1" t="s">
        <v>5434</v>
      </c>
      <c r="E1710" s="1" t="s">
        <v>209</v>
      </c>
      <c r="F1710" s="1" t="s">
        <v>5017</v>
      </c>
      <c r="G1710" s="1" t="s">
        <v>5018</v>
      </c>
      <c r="H1710" s="1">
        <v>0.1</v>
      </c>
      <c r="I1710" s="1">
        <v>0.1</v>
      </c>
      <c r="J1710" s="1">
        <v>0.81160741815077486</v>
      </c>
      <c r="K1710" s="1" t="s">
        <v>181</v>
      </c>
    </row>
    <row r="1711" spans="1:11" x14ac:dyDescent="0.25">
      <c r="A1711" s="1" t="s">
        <v>5435</v>
      </c>
      <c r="B1711" s="1" t="s">
        <v>5436</v>
      </c>
      <c r="D1711" s="1" t="s">
        <v>5437</v>
      </c>
      <c r="E1711" s="1" t="s">
        <v>209</v>
      </c>
      <c r="F1711" s="1" t="s">
        <v>5017</v>
      </c>
      <c r="G1711" s="1" t="s">
        <v>5018</v>
      </c>
      <c r="H1711" s="1">
        <v>0.1</v>
      </c>
      <c r="I1711" s="1">
        <v>0.1</v>
      </c>
      <c r="J1711" s="1">
        <v>0.82080471675480238</v>
      </c>
      <c r="K1711" s="1" t="s">
        <v>181</v>
      </c>
    </row>
    <row r="1712" spans="1:11" x14ac:dyDescent="0.25">
      <c r="A1712" s="1" t="s">
        <v>5438</v>
      </c>
      <c r="B1712" s="1" t="s">
        <v>5439</v>
      </c>
      <c r="D1712" s="1" t="s">
        <v>5440</v>
      </c>
      <c r="E1712" s="1" t="s">
        <v>209</v>
      </c>
      <c r="F1712" s="1" t="s">
        <v>5017</v>
      </c>
      <c r="G1712" s="1" t="s">
        <v>5018</v>
      </c>
      <c r="H1712" s="1">
        <v>0.1</v>
      </c>
      <c r="I1712" s="1">
        <v>0.1</v>
      </c>
      <c r="J1712" s="1">
        <v>0.85926740403822466</v>
      </c>
      <c r="K1712" s="1" t="s">
        <v>181</v>
      </c>
    </row>
    <row r="1713" spans="1:11" x14ac:dyDescent="0.25">
      <c r="A1713" s="1" t="s">
        <v>5441</v>
      </c>
      <c r="B1713" s="1" t="s">
        <v>5442</v>
      </c>
      <c r="D1713" s="1" t="s">
        <v>5443</v>
      </c>
      <c r="E1713" s="1" t="s">
        <v>209</v>
      </c>
      <c r="F1713" s="1" t="s">
        <v>5017</v>
      </c>
      <c r="G1713" s="1" t="s">
        <v>5018</v>
      </c>
      <c r="H1713" s="1">
        <v>0.1</v>
      </c>
      <c r="I1713" s="1">
        <v>0.1</v>
      </c>
      <c r="J1713" s="1">
        <v>0.60605741437702332</v>
      </c>
      <c r="K1713" s="1" t="s">
        <v>181</v>
      </c>
    </row>
    <row r="1714" spans="1:11" x14ac:dyDescent="0.25">
      <c r="A1714" s="1" t="s">
        <v>5444</v>
      </c>
      <c r="B1714" s="1" t="s">
        <v>5445</v>
      </c>
      <c r="D1714" s="1" t="s">
        <v>5446</v>
      </c>
      <c r="E1714" s="1" t="s">
        <v>209</v>
      </c>
      <c r="F1714" s="1" t="s">
        <v>5017</v>
      </c>
      <c r="G1714" s="1" t="s">
        <v>5018</v>
      </c>
      <c r="H1714" s="1">
        <v>0.1</v>
      </c>
      <c r="I1714" s="1">
        <v>0.1</v>
      </c>
      <c r="J1714" s="1">
        <v>0.74070765634795899</v>
      </c>
      <c r="K1714" s="1" t="s">
        <v>181</v>
      </c>
    </row>
    <row r="1715" spans="1:11" x14ac:dyDescent="0.25">
      <c r="A1715" s="1" t="s">
        <v>5447</v>
      </c>
      <c r="B1715" s="1" t="s">
        <v>5448</v>
      </c>
      <c r="D1715" s="1" t="s">
        <v>5449</v>
      </c>
      <c r="E1715" s="1" t="s">
        <v>209</v>
      </c>
      <c r="F1715" s="1" t="s">
        <v>5017</v>
      </c>
      <c r="G1715" s="1" t="s">
        <v>5018</v>
      </c>
      <c r="H1715" s="1">
        <v>0.1</v>
      </c>
      <c r="I1715" s="1">
        <v>0.1</v>
      </c>
      <c r="J1715" s="1">
        <v>0.79040309479547932</v>
      </c>
      <c r="K1715" s="1" t="s">
        <v>181</v>
      </c>
    </row>
    <row r="1716" spans="1:11" x14ac:dyDescent="0.25">
      <c r="A1716" s="1" t="s">
        <v>5450</v>
      </c>
      <c r="B1716" s="1" t="s">
        <v>5451</v>
      </c>
      <c r="D1716" s="1" t="s">
        <v>5452</v>
      </c>
      <c r="E1716" s="1" t="s">
        <v>209</v>
      </c>
      <c r="F1716" s="1" t="s">
        <v>5017</v>
      </c>
      <c r="G1716" s="1" t="s">
        <v>5018</v>
      </c>
      <c r="H1716" s="1">
        <v>0.1</v>
      </c>
      <c r="I1716" s="1">
        <v>0.1</v>
      </c>
      <c r="J1716" s="1">
        <v>0.87867104537772855</v>
      </c>
      <c r="K1716" s="1" t="s">
        <v>181</v>
      </c>
    </row>
    <row r="1717" spans="1:11" x14ac:dyDescent="0.25">
      <c r="A1717" s="1" t="s">
        <v>5453</v>
      </c>
      <c r="B1717" s="1" t="s">
        <v>5454</v>
      </c>
      <c r="D1717" s="1" t="s">
        <v>5455</v>
      </c>
      <c r="E1717" s="1" t="s">
        <v>209</v>
      </c>
      <c r="F1717" s="1" t="s">
        <v>5017</v>
      </c>
      <c r="G1717" s="1" t="s">
        <v>5018</v>
      </c>
      <c r="H1717" s="1">
        <v>0.1</v>
      </c>
      <c r="I1717" s="1">
        <v>0.1</v>
      </c>
      <c r="J1717" s="1">
        <v>0.87899208552026875</v>
      </c>
      <c r="K1717" s="1" t="s">
        <v>181</v>
      </c>
    </row>
    <row r="1718" spans="1:11" x14ac:dyDescent="0.25">
      <c r="A1718" s="1" t="s">
        <v>5456</v>
      </c>
      <c r="B1718" s="1" t="s">
        <v>5457</v>
      </c>
      <c r="D1718" s="1" t="s">
        <v>5458</v>
      </c>
      <c r="E1718" s="1" t="s">
        <v>209</v>
      </c>
      <c r="F1718" s="1" t="s">
        <v>5017</v>
      </c>
      <c r="G1718" s="1" t="s">
        <v>5018</v>
      </c>
      <c r="H1718" s="1">
        <v>0.1</v>
      </c>
      <c r="I1718" s="1">
        <v>0.1</v>
      </c>
      <c r="J1718" s="1">
        <v>0.85196003277802002</v>
      </c>
      <c r="K1718" s="1" t="s">
        <v>181</v>
      </c>
    </row>
    <row r="1719" spans="1:11" x14ac:dyDescent="0.25">
      <c r="A1719" s="1" t="s">
        <v>5459</v>
      </c>
      <c r="B1719" s="1" t="s">
        <v>5460</v>
      </c>
      <c r="D1719" s="1" t="s">
        <v>5461</v>
      </c>
      <c r="E1719" s="1" t="s">
        <v>209</v>
      </c>
      <c r="F1719" s="1" t="s">
        <v>5017</v>
      </c>
      <c r="G1719" s="1" t="s">
        <v>5018</v>
      </c>
      <c r="H1719" s="1">
        <v>0.1</v>
      </c>
      <c r="I1719" s="1">
        <v>0.1</v>
      </c>
      <c r="J1719" s="1">
        <v>0.71735568817146744</v>
      </c>
      <c r="K1719" s="1" t="s">
        <v>181</v>
      </c>
    </row>
    <row r="1720" spans="1:11" x14ac:dyDescent="0.25">
      <c r="A1720" s="1" t="s">
        <v>5462</v>
      </c>
      <c r="B1720" s="1" t="s">
        <v>5463</v>
      </c>
      <c r="D1720" s="1" t="s">
        <v>5464</v>
      </c>
      <c r="E1720" s="1" t="s">
        <v>209</v>
      </c>
      <c r="F1720" s="1" t="s">
        <v>5017</v>
      </c>
      <c r="G1720" s="1" t="s">
        <v>5018</v>
      </c>
      <c r="H1720" s="1">
        <v>0.1</v>
      </c>
      <c r="I1720" s="1">
        <v>0.1</v>
      </c>
      <c r="J1720" s="1">
        <v>0.6544685445644598</v>
      </c>
      <c r="K1720" s="1" t="s">
        <v>181</v>
      </c>
    </row>
    <row r="1721" spans="1:11" x14ac:dyDescent="0.25">
      <c r="A1721" s="1" t="s">
        <v>5465</v>
      </c>
      <c r="B1721" s="1" t="s">
        <v>5466</v>
      </c>
      <c r="D1721" s="1" t="s">
        <v>5467</v>
      </c>
      <c r="E1721" s="1" t="s">
        <v>209</v>
      </c>
      <c r="F1721" s="1" t="s">
        <v>5017</v>
      </c>
      <c r="G1721" s="1" t="s">
        <v>5018</v>
      </c>
      <c r="H1721" s="1">
        <v>0.1</v>
      </c>
      <c r="I1721" s="1">
        <v>0.1</v>
      </c>
      <c r="J1721" s="1">
        <v>0.88279750117087663</v>
      </c>
      <c r="K1721" s="1" t="s">
        <v>181</v>
      </c>
    </row>
    <row r="1722" spans="1:11" x14ac:dyDescent="0.25">
      <c r="A1722" s="1" t="s">
        <v>5468</v>
      </c>
      <c r="B1722" s="1" t="s">
        <v>5469</v>
      </c>
      <c r="D1722" s="1" t="s">
        <v>5470</v>
      </c>
      <c r="E1722" s="1" t="s">
        <v>209</v>
      </c>
      <c r="F1722" s="1" t="s">
        <v>5017</v>
      </c>
      <c r="G1722" s="1" t="s">
        <v>5018</v>
      </c>
      <c r="H1722" s="1">
        <v>0.1</v>
      </c>
      <c r="I1722" s="1">
        <v>0.1</v>
      </c>
      <c r="J1722" s="1">
        <v>0.43916819482972025</v>
      </c>
      <c r="K1722" s="1" t="s">
        <v>181</v>
      </c>
    </row>
    <row r="1723" spans="1:11" x14ac:dyDescent="0.25">
      <c r="A1723" s="1" t="s">
        <v>5471</v>
      </c>
      <c r="B1723" s="1" t="s">
        <v>5472</v>
      </c>
      <c r="D1723" s="1" t="s">
        <v>5473</v>
      </c>
      <c r="E1723" s="1" t="s">
        <v>209</v>
      </c>
      <c r="F1723" s="1" t="s">
        <v>5017</v>
      </c>
      <c r="G1723" s="1" t="s">
        <v>5018</v>
      </c>
      <c r="H1723" s="1">
        <v>0.1</v>
      </c>
      <c r="I1723" s="1">
        <v>0.1</v>
      </c>
      <c r="J1723" s="1">
        <v>0.62240433181206833</v>
      </c>
      <c r="K1723" s="1" t="s">
        <v>181</v>
      </c>
    </row>
    <row r="1724" spans="1:11" x14ac:dyDescent="0.25">
      <c r="A1724" s="1" t="s">
        <v>5474</v>
      </c>
      <c r="B1724" s="1" t="s">
        <v>5475</v>
      </c>
      <c r="D1724" s="1" t="s">
        <v>5476</v>
      </c>
      <c r="E1724" s="1" t="s">
        <v>209</v>
      </c>
      <c r="F1724" s="1" t="s">
        <v>5017</v>
      </c>
      <c r="G1724" s="1" t="s">
        <v>5018</v>
      </c>
      <c r="H1724" s="1">
        <v>0.1</v>
      </c>
      <c r="I1724" s="1">
        <v>0.1</v>
      </c>
      <c r="J1724" s="1">
        <v>0.71707358908182339</v>
      </c>
      <c r="K1724" s="1" t="s">
        <v>181</v>
      </c>
    </row>
    <row r="1725" spans="1:11" x14ac:dyDescent="0.25">
      <c r="A1725" s="1" t="s">
        <v>5477</v>
      </c>
      <c r="B1725" s="1" t="s">
        <v>5478</v>
      </c>
      <c r="D1725" s="1" t="s">
        <v>5479</v>
      </c>
      <c r="E1725" s="1" t="s">
        <v>209</v>
      </c>
      <c r="F1725" s="1" t="s">
        <v>5017</v>
      </c>
      <c r="G1725" s="1" t="s">
        <v>5018</v>
      </c>
      <c r="H1725" s="1">
        <v>0.1</v>
      </c>
      <c r="I1725" s="1">
        <v>0.1</v>
      </c>
      <c r="J1725" s="1">
        <v>0.76508956522681615</v>
      </c>
      <c r="K1725" s="1" t="s">
        <v>181</v>
      </c>
    </row>
    <row r="1726" spans="1:11" x14ac:dyDescent="0.25">
      <c r="A1726" s="1" t="s">
        <v>5480</v>
      </c>
      <c r="B1726" s="1" t="s">
        <v>5481</v>
      </c>
      <c r="D1726" s="1" t="s">
        <v>5482</v>
      </c>
      <c r="E1726" s="1" t="s">
        <v>209</v>
      </c>
      <c r="F1726" s="1" t="s">
        <v>5017</v>
      </c>
      <c r="G1726" s="1" t="s">
        <v>5018</v>
      </c>
      <c r="H1726" s="1">
        <v>0.1</v>
      </c>
      <c r="I1726" s="1">
        <v>0.1</v>
      </c>
      <c r="J1726" s="1">
        <v>0.7515102130252953</v>
      </c>
      <c r="K1726" s="1" t="s">
        <v>181</v>
      </c>
    </row>
    <row r="1727" spans="1:11" x14ac:dyDescent="0.25">
      <c r="A1727" s="1" t="s">
        <v>5483</v>
      </c>
      <c r="B1727" s="1" t="s">
        <v>5484</v>
      </c>
      <c r="D1727" s="1" t="s">
        <v>5485</v>
      </c>
      <c r="E1727" s="1" t="s">
        <v>209</v>
      </c>
      <c r="F1727" s="1" t="s">
        <v>5017</v>
      </c>
      <c r="G1727" s="1" t="s">
        <v>5018</v>
      </c>
      <c r="H1727" s="1">
        <v>0.1</v>
      </c>
      <c r="I1727" s="1">
        <v>0.1</v>
      </c>
      <c r="J1727" s="1">
        <v>0.53105522960836815</v>
      </c>
      <c r="K1727" s="1" t="s">
        <v>181</v>
      </c>
    </row>
    <row r="1728" spans="1:11" x14ac:dyDescent="0.25">
      <c r="A1728" s="1" t="s">
        <v>5486</v>
      </c>
      <c r="B1728" s="1" t="s">
        <v>5487</v>
      </c>
      <c r="D1728" s="1" t="s">
        <v>5488</v>
      </c>
      <c r="E1728" s="1" t="s">
        <v>209</v>
      </c>
      <c r="F1728" s="1" t="s">
        <v>5017</v>
      </c>
      <c r="G1728" s="1" t="s">
        <v>5018</v>
      </c>
      <c r="H1728" s="1">
        <v>0.1</v>
      </c>
      <c r="I1728" s="1">
        <v>0.1</v>
      </c>
      <c r="J1728" s="1">
        <v>0.62161522547221681</v>
      </c>
      <c r="K1728" s="1" t="s">
        <v>181</v>
      </c>
    </row>
    <row r="1729" spans="1:11" x14ac:dyDescent="0.25">
      <c r="A1729" s="1" t="s">
        <v>5489</v>
      </c>
      <c r="B1729" s="1" t="s">
        <v>5490</v>
      </c>
      <c r="D1729" s="1" t="s">
        <v>5491</v>
      </c>
      <c r="E1729" s="1" t="s">
        <v>209</v>
      </c>
      <c r="F1729" s="1" t="s">
        <v>5017</v>
      </c>
      <c r="G1729" s="1" t="s">
        <v>5018</v>
      </c>
      <c r="H1729" s="1">
        <v>0.1</v>
      </c>
      <c r="I1729" s="1">
        <v>0.1</v>
      </c>
      <c r="J1729" s="1">
        <v>0.65669374295949279</v>
      </c>
      <c r="K1729" s="1" t="s">
        <v>181</v>
      </c>
    </row>
    <row r="1730" spans="1:11" x14ac:dyDescent="0.25">
      <c r="A1730" s="1" t="s">
        <v>5492</v>
      </c>
      <c r="B1730" s="1" t="s">
        <v>5493</v>
      </c>
      <c r="D1730" s="1" t="s">
        <v>5494</v>
      </c>
      <c r="E1730" s="1" t="s">
        <v>209</v>
      </c>
      <c r="F1730" s="1" t="s">
        <v>5017</v>
      </c>
      <c r="G1730" s="1" t="s">
        <v>5018</v>
      </c>
      <c r="H1730" s="1">
        <v>0.1</v>
      </c>
      <c r="I1730" s="1">
        <v>0.1</v>
      </c>
      <c r="J1730" s="1">
        <v>0.64136642581313474</v>
      </c>
      <c r="K1730" s="1" t="s">
        <v>181</v>
      </c>
    </row>
    <row r="1731" spans="1:11" x14ac:dyDescent="0.25">
      <c r="A1731" s="1" t="s">
        <v>5495</v>
      </c>
      <c r="B1731" s="1" t="s">
        <v>5496</v>
      </c>
      <c r="D1731" s="1" t="s">
        <v>5497</v>
      </c>
      <c r="E1731" s="1" t="s">
        <v>209</v>
      </c>
      <c r="F1731" s="1" t="s">
        <v>5017</v>
      </c>
      <c r="G1731" s="1" t="s">
        <v>5018</v>
      </c>
      <c r="H1731" s="1">
        <v>0.1</v>
      </c>
      <c r="I1731" s="1">
        <v>0.1</v>
      </c>
      <c r="J1731" s="1">
        <v>0.73136725997302199</v>
      </c>
      <c r="K1731" s="1" t="s">
        <v>181</v>
      </c>
    </row>
    <row r="1732" spans="1:11" x14ac:dyDescent="0.25">
      <c r="A1732" s="1" t="s">
        <v>5498</v>
      </c>
      <c r="B1732" s="1" t="s">
        <v>5499</v>
      </c>
      <c r="D1732" s="1" t="s">
        <v>5500</v>
      </c>
      <c r="E1732" s="1" t="s">
        <v>209</v>
      </c>
      <c r="F1732" s="1" t="s">
        <v>5017</v>
      </c>
      <c r="G1732" s="1" t="s">
        <v>5018</v>
      </c>
      <c r="H1732" s="1">
        <v>0.1</v>
      </c>
      <c r="I1732" s="1">
        <v>0.1</v>
      </c>
      <c r="J1732" s="1">
        <v>0.93590563435044327</v>
      </c>
      <c r="K1732" s="1" t="s">
        <v>181</v>
      </c>
    </row>
    <row r="1733" spans="1:11" x14ac:dyDescent="0.25">
      <c r="A1733" s="1" t="s">
        <v>5501</v>
      </c>
      <c r="B1733" s="1" t="s">
        <v>5502</v>
      </c>
      <c r="D1733" s="1" t="s">
        <v>5503</v>
      </c>
      <c r="E1733" s="1" t="s">
        <v>209</v>
      </c>
      <c r="F1733" s="1" t="s">
        <v>5017</v>
      </c>
      <c r="G1733" s="1" t="s">
        <v>5018</v>
      </c>
      <c r="H1733" s="1">
        <v>0.1</v>
      </c>
      <c r="I1733" s="1">
        <v>0.1</v>
      </c>
      <c r="J1733" s="1">
        <v>0.77058391304770457</v>
      </c>
      <c r="K1733" s="1" t="s">
        <v>181</v>
      </c>
    </row>
    <row r="1734" spans="1:11" x14ac:dyDescent="0.25">
      <c r="A1734" s="1" t="s">
        <v>5504</v>
      </c>
      <c r="B1734" s="1" t="s">
        <v>5505</v>
      </c>
      <c r="D1734" s="1" t="s">
        <v>5506</v>
      </c>
      <c r="E1734" s="1" t="s">
        <v>209</v>
      </c>
      <c r="F1734" s="1" t="s">
        <v>5017</v>
      </c>
      <c r="G1734" s="1" t="s">
        <v>5018</v>
      </c>
      <c r="H1734" s="1">
        <v>0.1</v>
      </c>
      <c r="I1734" s="1">
        <v>0.1</v>
      </c>
      <c r="K1734" s="1" t="s">
        <v>181</v>
      </c>
    </row>
    <row r="1735" spans="1:11" x14ac:dyDescent="0.25">
      <c r="A1735" s="1" t="s">
        <v>5507</v>
      </c>
      <c r="B1735" s="1" t="s">
        <v>5508</v>
      </c>
      <c r="D1735" s="1" t="s">
        <v>5509</v>
      </c>
      <c r="E1735" s="1" t="s">
        <v>209</v>
      </c>
      <c r="F1735" s="1" t="s">
        <v>5017</v>
      </c>
      <c r="G1735" s="1" t="s">
        <v>5018</v>
      </c>
      <c r="H1735" s="1">
        <v>0.1</v>
      </c>
      <c r="I1735" s="1">
        <v>0.1</v>
      </c>
      <c r="J1735" s="1">
        <v>0.44503435871082148</v>
      </c>
      <c r="K1735" s="1" t="s">
        <v>181</v>
      </c>
    </row>
    <row r="1736" spans="1:11" x14ac:dyDescent="0.25">
      <c r="A1736" s="1" t="s">
        <v>5510</v>
      </c>
      <c r="B1736" s="1" t="s">
        <v>5511</v>
      </c>
      <c r="D1736" s="1" t="s">
        <v>5512</v>
      </c>
      <c r="E1736" s="1" t="s">
        <v>209</v>
      </c>
      <c r="F1736" s="1" t="s">
        <v>5017</v>
      </c>
      <c r="G1736" s="1" t="s">
        <v>5018</v>
      </c>
      <c r="H1736" s="1">
        <v>0.1</v>
      </c>
      <c r="I1736" s="1">
        <v>0.1</v>
      </c>
      <c r="J1736" s="1">
        <v>0.7551615158535786</v>
      </c>
      <c r="K1736" s="1" t="s">
        <v>181</v>
      </c>
    </row>
    <row r="1737" spans="1:11" x14ac:dyDescent="0.25">
      <c r="A1737" s="1" t="s">
        <v>5513</v>
      </c>
      <c r="B1737" s="1" t="s">
        <v>5514</v>
      </c>
      <c r="D1737" s="1" t="s">
        <v>5515</v>
      </c>
      <c r="E1737" s="1" t="s">
        <v>209</v>
      </c>
      <c r="F1737" s="1" t="s">
        <v>5017</v>
      </c>
      <c r="G1737" s="1" t="s">
        <v>5018</v>
      </c>
      <c r="H1737" s="1">
        <v>0.1</v>
      </c>
      <c r="I1737" s="1">
        <v>0.1</v>
      </c>
      <c r="J1737" s="1">
        <v>0.84870478294751683</v>
      </c>
      <c r="K1737" s="1" t="s">
        <v>181</v>
      </c>
    </row>
    <row r="1738" spans="1:11" x14ac:dyDescent="0.25">
      <c r="A1738" s="1" t="s">
        <v>5516</v>
      </c>
      <c r="B1738" s="1" t="s">
        <v>5517</v>
      </c>
      <c r="D1738" s="1" t="s">
        <v>5518</v>
      </c>
      <c r="E1738" s="1" t="s">
        <v>209</v>
      </c>
      <c r="F1738" s="1" t="s">
        <v>5017</v>
      </c>
      <c r="G1738" s="1" t="s">
        <v>5018</v>
      </c>
      <c r="H1738" s="1">
        <v>0.1</v>
      </c>
      <c r="I1738" s="1">
        <v>0.1</v>
      </c>
      <c r="J1738" s="1">
        <v>0.81675068637656267</v>
      </c>
      <c r="K1738" s="1" t="s">
        <v>181</v>
      </c>
    </row>
    <row r="1739" spans="1:11" x14ac:dyDescent="0.25">
      <c r="A1739" s="1" t="s">
        <v>5519</v>
      </c>
      <c r="B1739" s="1" t="s">
        <v>5520</v>
      </c>
      <c r="D1739" s="1" t="s">
        <v>5521</v>
      </c>
      <c r="E1739" s="1" t="s">
        <v>209</v>
      </c>
      <c r="F1739" s="1" t="s">
        <v>5017</v>
      </c>
      <c r="G1739" s="1" t="s">
        <v>5018</v>
      </c>
      <c r="H1739" s="1">
        <v>0.1</v>
      </c>
      <c r="I1739" s="1">
        <v>0.1</v>
      </c>
      <c r="J1739" s="1">
        <v>0.81268892527319014</v>
      </c>
      <c r="K1739" s="1" t="s">
        <v>181</v>
      </c>
    </row>
    <row r="1740" spans="1:11" x14ac:dyDescent="0.25">
      <c r="A1740" s="1" t="s">
        <v>5522</v>
      </c>
      <c r="B1740" s="1" t="s">
        <v>5523</v>
      </c>
      <c r="D1740" s="1" t="s">
        <v>5524</v>
      </c>
      <c r="E1740" s="1" t="s">
        <v>209</v>
      </c>
      <c r="F1740" s="1" t="s">
        <v>5017</v>
      </c>
      <c r="G1740" s="1" t="s">
        <v>5018</v>
      </c>
      <c r="H1740" s="1">
        <v>0.1</v>
      </c>
      <c r="I1740" s="1">
        <v>0.1</v>
      </c>
      <c r="J1740" s="1">
        <v>0.79988952541179315</v>
      </c>
      <c r="K1740" s="1" t="s">
        <v>181</v>
      </c>
    </row>
    <row r="1741" spans="1:11" x14ac:dyDescent="0.25">
      <c r="A1741" s="1" t="s">
        <v>5525</v>
      </c>
      <c r="B1741" s="1" t="s">
        <v>5526</v>
      </c>
      <c r="D1741" s="1" t="s">
        <v>5527</v>
      </c>
      <c r="E1741" s="1" t="s">
        <v>209</v>
      </c>
      <c r="F1741" s="1" t="s">
        <v>5017</v>
      </c>
      <c r="G1741" s="1" t="s">
        <v>5018</v>
      </c>
      <c r="H1741" s="1">
        <v>0.1</v>
      </c>
      <c r="I1741" s="1">
        <v>0.1</v>
      </c>
      <c r="J1741" s="1">
        <v>0.77787205269367277</v>
      </c>
      <c r="K1741" s="1" t="s">
        <v>181</v>
      </c>
    </row>
    <row r="1742" spans="1:11" x14ac:dyDescent="0.25">
      <c r="A1742" s="1" t="s">
        <v>5528</v>
      </c>
      <c r="B1742" s="1" t="s">
        <v>5529</v>
      </c>
      <c r="D1742" s="1" t="s">
        <v>5530</v>
      </c>
      <c r="E1742" s="1" t="s">
        <v>209</v>
      </c>
      <c r="F1742" s="1" t="s">
        <v>5017</v>
      </c>
      <c r="G1742" s="1" t="s">
        <v>5018</v>
      </c>
      <c r="H1742" s="1">
        <v>0.1</v>
      </c>
      <c r="I1742" s="1">
        <v>0.1</v>
      </c>
      <c r="J1742" s="1">
        <v>0.90804439892430944</v>
      </c>
      <c r="K1742" s="1" t="s">
        <v>181</v>
      </c>
    </row>
    <row r="1743" spans="1:11" x14ac:dyDescent="0.25">
      <c r="A1743" s="1" t="s">
        <v>5531</v>
      </c>
      <c r="B1743" s="1" t="s">
        <v>5532</v>
      </c>
      <c r="D1743" s="1" t="s">
        <v>5533</v>
      </c>
      <c r="E1743" s="1" t="s">
        <v>209</v>
      </c>
      <c r="F1743" s="1" t="s">
        <v>5017</v>
      </c>
      <c r="G1743" s="1" t="s">
        <v>5018</v>
      </c>
      <c r="H1743" s="1">
        <v>0.1</v>
      </c>
      <c r="I1743" s="1">
        <v>0.1</v>
      </c>
      <c r="J1743" s="1">
        <v>0.80063439864197872</v>
      </c>
      <c r="K1743" s="1" t="s">
        <v>181</v>
      </c>
    </row>
    <row r="1744" spans="1:11" x14ac:dyDescent="0.25">
      <c r="A1744" s="1" t="s">
        <v>5534</v>
      </c>
      <c r="B1744" s="1" t="s">
        <v>5535</v>
      </c>
      <c r="D1744" s="1" t="s">
        <v>5536</v>
      </c>
      <c r="E1744" s="1" t="s">
        <v>209</v>
      </c>
      <c r="F1744" s="1" t="s">
        <v>5017</v>
      </c>
      <c r="G1744" s="1" t="s">
        <v>5018</v>
      </c>
      <c r="H1744" s="1">
        <v>0.1</v>
      </c>
      <c r="I1744" s="1">
        <v>0.1</v>
      </c>
      <c r="J1744" s="1">
        <v>0.87211197446041089</v>
      </c>
      <c r="K1744" s="1" t="s">
        <v>181</v>
      </c>
    </row>
    <row r="1745" spans="1:11" x14ac:dyDescent="0.25">
      <c r="A1745" s="1" t="s">
        <v>5537</v>
      </c>
      <c r="B1745" s="1" t="s">
        <v>5538</v>
      </c>
      <c r="D1745" s="1" t="s">
        <v>5539</v>
      </c>
      <c r="E1745" s="1" t="s">
        <v>209</v>
      </c>
      <c r="F1745" s="1" t="s">
        <v>5017</v>
      </c>
      <c r="G1745" s="1" t="s">
        <v>5018</v>
      </c>
      <c r="H1745" s="1">
        <v>0.1</v>
      </c>
      <c r="I1745" s="1">
        <v>0.1</v>
      </c>
      <c r="J1745" s="1">
        <v>0.45012631179505208</v>
      </c>
      <c r="K1745" s="1" t="s">
        <v>181</v>
      </c>
    </row>
    <row r="1746" spans="1:11" x14ac:dyDescent="0.25">
      <c r="A1746" s="1" t="s">
        <v>5540</v>
      </c>
      <c r="B1746" s="1" t="s">
        <v>5541</v>
      </c>
      <c r="D1746" s="1" t="s">
        <v>5542</v>
      </c>
      <c r="E1746" s="1" t="s">
        <v>209</v>
      </c>
      <c r="F1746" s="1" t="s">
        <v>5017</v>
      </c>
      <c r="G1746" s="1" t="s">
        <v>5018</v>
      </c>
      <c r="H1746" s="1">
        <v>0.1</v>
      </c>
      <c r="I1746" s="1">
        <v>0.1</v>
      </c>
      <c r="J1746" s="1">
        <v>0.67991449971599927</v>
      </c>
      <c r="K1746" s="1" t="s">
        <v>181</v>
      </c>
    </row>
    <row r="1747" spans="1:11" x14ac:dyDescent="0.25">
      <c r="A1747" s="1" t="s">
        <v>5543</v>
      </c>
      <c r="B1747" s="1" t="s">
        <v>5544</v>
      </c>
      <c r="D1747" s="1" t="s">
        <v>5545</v>
      </c>
      <c r="E1747" s="1" t="s">
        <v>209</v>
      </c>
      <c r="F1747" s="1" t="s">
        <v>5017</v>
      </c>
      <c r="G1747" s="1" t="s">
        <v>5018</v>
      </c>
      <c r="H1747" s="1">
        <v>0.1</v>
      </c>
      <c r="I1747" s="1">
        <v>0.1</v>
      </c>
      <c r="J1747" s="1">
        <v>0.62469605745841228</v>
      </c>
      <c r="K1747" s="1" t="s">
        <v>181</v>
      </c>
    </row>
    <row r="1748" spans="1:11" x14ac:dyDescent="0.25">
      <c r="A1748" s="1" t="s">
        <v>5546</v>
      </c>
      <c r="B1748" s="1" t="s">
        <v>5547</v>
      </c>
      <c r="D1748" s="1" t="s">
        <v>5548</v>
      </c>
      <c r="E1748" s="1" t="s">
        <v>209</v>
      </c>
      <c r="F1748" s="1" t="s">
        <v>5017</v>
      </c>
      <c r="G1748" s="1" t="s">
        <v>5018</v>
      </c>
      <c r="H1748" s="1">
        <v>0.1</v>
      </c>
      <c r="I1748" s="1">
        <v>0.1</v>
      </c>
      <c r="J1748" s="1">
        <v>0.50562695895874488</v>
      </c>
      <c r="K1748" s="1" t="s">
        <v>181</v>
      </c>
    </row>
    <row r="1749" spans="1:11" x14ac:dyDescent="0.25">
      <c r="A1749" s="1" t="s">
        <v>5549</v>
      </c>
      <c r="B1749" s="1" t="s">
        <v>5550</v>
      </c>
      <c r="D1749" s="1" t="s">
        <v>5551</v>
      </c>
      <c r="E1749" s="1" t="s">
        <v>209</v>
      </c>
      <c r="F1749" s="1" t="s">
        <v>5017</v>
      </c>
      <c r="G1749" s="1" t="s">
        <v>5018</v>
      </c>
      <c r="H1749" s="1">
        <v>0.1</v>
      </c>
      <c r="I1749" s="1">
        <v>0.1</v>
      </c>
      <c r="J1749" s="1">
        <v>0.72989522774544191</v>
      </c>
      <c r="K1749" s="1" t="s">
        <v>181</v>
      </c>
    </row>
    <row r="1750" spans="1:11" x14ac:dyDescent="0.25">
      <c r="A1750" s="1" t="s">
        <v>5552</v>
      </c>
      <c r="B1750" s="1" t="s">
        <v>5553</v>
      </c>
      <c r="D1750" s="1" t="s">
        <v>5554</v>
      </c>
      <c r="E1750" s="1" t="s">
        <v>209</v>
      </c>
      <c r="F1750" s="1" t="s">
        <v>5017</v>
      </c>
      <c r="G1750" s="1" t="s">
        <v>5018</v>
      </c>
      <c r="H1750" s="1">
        <v>0.1</v>
      </c>
      <c r="I1750" s="1">
        <v>0.1</v>
      </c>
      <c r="J1750" s="1">
        <v>0.84219601423834889</v>
      </c>
      <c r="K1750" s="1" t="s">
        <v>181</v>
      </c>
    </row>
    <row r="1751" spans="1:11" x14ac:dyDescent="0.25">
      <c r="A1751" s="1" t="s">
        <v>5555</v>
      </c>
      <c r="B1751" s="1" t="s">
        <v>5556</v>
      </c>
      <c r="D1751" s="1" t="s">
        <v>5557</v>
      </c>
      <c r="E1751" s="1" t="s">
        <v>209</v>
      </c>
      <c r="F1751" s="1" t="s">
        <v>5017</v>
      </c>
      <c r="G1751" s="1" t="s">
        <v>5018</v>
      </c>
      <c r="H1751" s="1">
        <v>0.1</v>
      </c>
      <c r="I1751" s="1">
        <v>0.1</v>
      </c>
      <c r="J1751" s="1">
        <v>0.60393231837993999</v>
      </c>
      <c r="K1751" s="1" t="s">
        <v>181</v>
      </c>
    </row>
    <row r="1752" spans="1:11" x14ac:dyDescent="0.25">
      <c r="A1752" s="1" t="s">
        <v>5558</v>
      </c>
      <c r="B1752" s="1" t="s">
        <v>5559</v>
      </c>
      <c r="D1752" s="1" t="s">
        <v>5560</v>
      </c>
      <c r="E1752" s="1" t="s">
        <v>209</v>
      </c>
      <c r="F1752" s="1" t="s">
        <v>5017</v>
      </c>
      <c r="G1752" s="1" t="s">
        <v>5018</v>
      </c>
      <c r="H1752" s="1">
        <v>0.1</v>
      </c>
      <c r="I1752" s="1">
        <v>0.1</v>
      </c>
      <c r="J1752" s="1">
        <v>0.6678347009046347</v>
      </c>
      <c r="K1752" s="1" t="s">
        <v>181</v>
      </c>
    </row>
    <row r="1753" spans="1:11" x14ac:dyDescent="0.25">
      <c r="A1753" s="1" t="s">
        <v>5561</v>
      </c>
      <c r="B1753" s="1" t="s">
        <v>5562</v>
      </c>
      <c r="D1753" s="1" t="s">
        <v>5563</v>
      </c>
      <c r="E1753" s="1" t="s">
        <v>209</v>
      </c>
      <c r="F1753" s="1" t="s">
        <v>5017</v>
      </c>
      <c r="G1753" s="1" t="s">
        <v>5018</v>
      </c>
      <c r="H1753" s="1">
        <v>0.1</v>
      </c>
      <c r="I1753" s="1">
        <v>0.1</v>
      </c>
      <c r="J1753" s="1">
        <v>0.66171704018038247</v>
      </c>
      <c r="K1753" s="1" t="s">
        <v>181</v>
      </c>
    </row>
    <row r="1754" spans="1:11" x14ac:dyDescent="0.25">
      <c r="A1754" s="1" t="s">
        <v>5564</v>
      </c>
      <c r="B1754" s="1" t="s">
        <v>5565</v>
      </c>
      <c r="D1754" s="1" t="s">
        <v>5566</v>
      </c>
      <c r="E1754" s="1" t="s">
        <v>209</v>
      </c>
      <c r="F1754" s="1" t="s">
        <v>5017</v>
      </c>
      <c r="G1754" s="1" t="s">
        <v>5018</v>
      </c>
      <c r="H1754" s="1">
        <v>0.1</v>
      </c>
      <c r="I1754" s="1">
        <v>0.1</v>
      </c>
      <c r="J1754" s="1">
        <v>0.80611458744317421</v>
      </c>
      <c r="K1754" s="1" t="s">
        <v>181</v>
      </c>
    </row>
    <row r="1755" spans="1:11" x14ac:dyDescent="0.25">
      <c r="A1755" s="1" t="s">
        <v>5567</v>
      </c>
      <c r="B1755" s="1" t="s">
        <v>5568</v>
      </c>
      <c r="D1755" s="1" t="s">
        <v>5569</v>
      </c>
      <c r="E1755" s="1" t="s">
        <v>209</v>
      </c>
      <c r="F1755" s="1" t="s">
        <v>5017</v>
      </c>
      <c r="G1755" s="1" t="s">
        <v>5018</v>
      </c>
      <c r="H1755" s="1">
        <v>0.1</v>
      </c>
      <c r="I1755" s="1">
        <v>0.1</v>
      </c>
      <c r="J1755" s="1">
        <v>0.69577759807928286</v>
      </c>
      <c r="K1755" s="1" t="s">
        <v>181</v>
      </c>
    </row>
    <row r="1756" spans="1:11" x14ac:dyDescent="0.25">
      <c r="A1756" s="1" t="s">
        <v>5570</v>
      </c>
      <c r="B1756" s="1" t="s">
        <v>5571</v>
      </c>
      <c r="D1756" s="1" t="s">
        <v>5572</v>
      </c>
      <c r="E1756" s="1" t="s">
        <v>209</v>
      </c>
      <c r="F1756" s="1" t="s">
        <v>5017</v>
      </c>
      <c r="G1756" s="1" t="s">
        <v>5018</v>
      </c>
      <c r="H1756" s="1">
        <v>0.1</v>
      </c>
      <c r="I1756" s="1">
        <v>0.1</v>
      </c>
      <c r="J1756" s="1">
        <v>0.68705719215427596</v>
      </c>
      <c r="K1756" s="1" t="s">
        <v>181</v>
      </c>
    </row>
    <row r="1757" spans="1:11" x14ac:dyDescent="0.25">
      <c r="A1757" s="1" t="s">
        <v>5573</v>
      </c>
      <c r="B1757" s="1" t="s">
        <v>5574</v>
      </c>
      <c r="D1757" s="1" t="s">
        <v>5575</v>
      </c>
      <c r="E1757" s="1" t="s">
        <v>209</v>
      </c>
      <c r="F1757" s="1" t="s">
        <v>5017</v>
      </c>
      <c r="G1757" s="1" t="s">
        <v>5018</v>
      </c>
      <c r="H1757" s="1">
        <v>0.1</v>
      </c>
      <c r="I1757" s="1">
        <v>0.1</v>
      </c>
      <c r="J1757" s="1">
        <v>0.87149156182155885</v>
      </c>
      <c r="K1757" s="1" t="s">
        <v>181</v>
      </c>
    </row>
    <row r="1758" spans="1:11" x14ac:dyDescent="0.25">
      <c r="A1758" s="1" t="s">
        <v>5576</v>
      </c>
      <c r="B1758" s="1" t="s">
        <v>5577</v>
      </c>
      <c r="D1758" s="1" t="s">
        <v>5578</v>
      </c>
      <c r="E1758" s="1" t="s">
        <v>209</v>
      </c>
      <c r="F1758" s="1" t="s">
        <v>5017</v>
      </c>
      <c r="G1758" s="1" t="s">
        <v>5018</v>
      </c>
      <c r="H1758" s="1">
        <v>0.1</v>
      </c>
      <c r="I1758" s="1">
        <v>0.1</v>
      </c>
      <c r="J1758" s="1">
        <v>0.57068029937663345</v>
      </c>
      <c r="K1758" s="1" t="s">
        <v>181</v>
      </c>
    </row>
    <row r="1759" spans="1:11" x14ac:dyDescent="0.25">
      <c r="A1759" s="1" t="s">
        <v>5579</v>
      </c>
      <c r="B1759" s="1" t="s">
        <v>5580</v>
      </c>
      <c r="D1759" s="1" t="s">
        <v>5581</v>
      </c>
      <c r="E1759" s="1" t="s">
        <v>209</v>
      </c>
      <c r="F1759" s="1" t="s">
        <v>5017</v>
      </c>
      <c r="G1759" s="1" t="s">
        <v>5018</v>
      </c>
      <c r="H1759" s="1">
        <v>0.1</v>
      </c>
      <c r="I1759" s="1">
        <v>0.1</v>
      </c>
      <c r="J1759" s="1">
        <v>0.66580669270840065</v>
      </c>
      <c r="K1759" s="1" t="s">
        <v>181</v>
      </c>
    </row>
    <row r="1760" spans="1:11" x14ac:dyDescent="0.25">
      <c r="A1760" s="1" t="s">
        <v>5582</v>
      </c>
      <c r="B1760" s="1" t="s">
        <v>5583</v>
      </c>
      <c r="D1760" s="1" t="s">
        <v>5584</v>
      </c>
      <c r="E1760" s="1" t="s">
        <v>209</v>
      </c>
      <c r="F1760" s="1" t="s">
        <v>5017</v>
      </c>
      <c r="G1760" s="1" t="s">
        <v>5018</v>
      </c>
      <c r="H1760" s="1">
        <v>0.1</v>
      </c>
      <c r="I1760" s="1">
        <v>0.1</v>
      </c>
      <c r="J1760" s="1">
        <v>1.1584305997330775</v>
      </c>
      <c r="K1760" s="1" t="s">
        <v>181</v>
      </c>
    </row>
    <row r="1761" spans="1:11" x14ac:dyDescent="0.25">
      <c r="A1761" s="1" t="s">
        <v>5585</v>
      </c>
      <c r="B1761" s="1" t="s">
        <v>5586</v>
      </c>
      <c r="D1761" s="1" t="s">
        <v>5587</v>
      </c>
      <c r="E1761" s="1" t="s">
        <v>209</v>
      </c>
      <c r="F1761" s="1" t="s">
        <v>5017</v>
      </c>
      <c r="G1761" s="1" t="s">
        <v>5018</v>
      </c>
      <c r="H1761" s="1">
        <v>0.1</v>
      </c>
      <c r="I1761" s="1">
        <v>0.1</v>
      </c>
      <c r="J1761" s="1">
        <v>0.59910256593784417</v>
      </c>
      <c r="K1761" s="1" t="s">
        <v>181</v>
      </c>
    </row>
    <row r="1762" spans="1:11" x14ac:dyDescent="0.25">
      <c r="A1762" s="1" t="s">
        <v>5588</v>
      </c>
      <c r="B1762" s="1" t="s">
        <v>5589</v>
      </c>
      <c r="D1762" s="1" t="s">
        <v>5590</v>
      </c>
      <c r="E1762" s="1" t="s">
        <v>209</v>
      </c>
      <c r="F1762" s="1" t="s">
        <v>5017</v>
      </c>
      <c r="G1762" s="1" t="s">
        <v>5018</v>
      </c>
      <c r="H1762" s="1">
        <v>0.1</v>
      </c>
      <c r="I1762" s="1">
        <v>0.1</v>
      </c>
      <c r="J1762" s="1">
        <v>0.57556897303306653</v>
      </c>
      <c r="K1762" s="1" t="s">
        <v>181</v>
      </c>
    </row>
    <row r="1763" spans="1:11" x14ac:dyDescent="0.25">
      <c r="A1763" s="1" t="s">
        <v>5591</v>
      </c>
      <c r="B1763" s="1" t="s">
        <v>5592</v>
      </c>
      <c r="D1763" s="1" t="s">
        <v>5593</v>
      </c>
      <c r="E1763" s="1" t="s">
        <v>209</v>
      </c>
      <c r="F1763" s="1" t="s">
        <v>5017</v>
      </c>
      <c r="G1763" s="1" t="s">
        <v>5018</v>
      </c>
      <c r="H1763" s="1">
        <v>0.1</v>
      </c>
      <c r="I1763" s="1">
        <v>0.1</v>
      </c>
      <c r="J1763" s="1">
        <v>0.51142014588558882</v>
      </c>
      <c r="K1763" s="1" t="s">
        <v>181</v>
      </c>
    </row>
    <row r="1764" spans="1:11" x14ac:dyDescent="0.25">
      <c r="A1764" s="1" t="s">
        <v>5594</v>
      </c>
      <c r="B1764" s="1" t="s">
        <v>5595</v>
      </c>
      <c r="D1764" s="1" t="s">
        <v>5596</v>
      </c>
      <c r="E1764" s="1" t="s">
        <v>209</v>
      </c>
      <c r="F1764" s="1" t="s">
        <v>5017</v>
      </c>
      <c r="G1764" s="1" t="s">
        <v>5018</v>
      </c>
      <c r="H1764" s="1">
        <v>0.1</v>
      </c>
      <c r="I1764" s="1">
        <v>0.1</v>
      </c>
      <c r="J1764" s="1">
        <v>0.56507624919057342</v>
      </c>
      <c r="K1764" s="1" t="s">
        <v>181</v>
      </c>
    </row>
    <row r="1765" spans="1:11" x14ac:dyDescent="0.25">
      <c r="A1765" s="1" t="s">
        <v>5597</v>
      </c>
      <c r="B1765" s="1" t="s">
        <v>5598</v>
      </c>
      <c r="D1765" s="1" t="s">
        <v>5599</v>
      </c>
      <c r="E1765" s="1" t="s">
        <v>209</v>
      </c>
      <c r="F1765" s="1" t="s">
        <v>5017</v>
      </c>
      <c r="G1765" s="1" t="s">
        <v>5018</v>
      </c>
      <c r="H1765" s="1">
        <v>0.1</v>
      </c>
      <c r="I1765" s="1">
        <v>0.1</v>
      </c>
      <c r="J1765" s="1">
        <v>0.74393539027299638</v>
      </c>
      <c r="K1765" s="1" t="s">
        <v>181</v>
      </c>
    </row>
    <row r="1766" spans="1:11" x14ac:dyDescent="0.25">
      <c r="A1766" s="1" t="s">
        <v>5600</v>
      </c>
      <c r="B1766" s="1" t="s">
        <v>5601</v>
      </c>
      <c r="D1766" s="1" t="s">
        <v>5602</v>
      </c>
      <c r="E1766" s="1" t="s">
        <v>209</v>
      </c>
      <c r="F1766" s="1" t="s">
        <v>5017</v>
      </c>
      <c r="G1766" s="1" t="s">
        <v>5018</v>
      </c>
      <c r="H1766" s="1">
        <v>0.1</v>
      </c>
      <c r="I1766" s="1">
        <v>0.1</v>
      </c>
      <c r="J1766" s="1">
        <v>0.65543432702406401</v>
      </c>
      <c r="K1766" s="1" t="s">
        <v>181</v>
      </c>
    </row>
    <row r="1767" spans="1:11" x14ac:dyDescent="0.25">
      <c r="A1767" s="1" t="s">
        <v>5603</v>
      </c>
      <c r="B1767" s="1" t="s">
        <v>5604</v>
      </c>
      <c r="D1767" s="1" t="s">
        <v>5605</v>
      </c>
      <c r="E1767" s="1" t="s">
        <v>209</v>
      </c>
      <c r="F1767" s="1" t="s">
        <v>5017</v>
      </c>
      <c r="G1767" s="1" t="s">
        <v>5018</v>
      </c>
      <c r="H1767" s="1">
        <v>0.1</v>
      </c>
      <c r="I1767" s="1">
        <v>0.1</v>
      </c>
      <c r="J1767" s="1">
        <v>0.77563950685574778</v>
      </c>
      <c r="K1767" s="1" t="s">
        <v>181</v>
      </c>
    </row>
    <row r="1768" spans="1:11" x14ac:dyDescent="0.25">
      <c r="A1768" s="1" t="s">
        <v>5606</v>
      </c>
      <c r="B1768" s="1" t="s">
        <v>5607</v>
      </c>
      <c r="D1768" s="1" t="s">
        <v>5608</v>
      </c>
      <c r="E1768" s="1" t="s">
        <v>209</v>
      </c>
      <c r="F1768" s="1" t="s">
        <v>5017</v>
      </c>
      <c r="G1768" s="1" t="s">
        <v>5018</v>
      </c>
      <c r="H1768" s="1">
        <v>0.1</v>
      </c>
      <c r="I1768" s="1">
        <v>0.1</v>
      </c>
      <c r="J1768" s="1">
        <v>0.85431956746949511</v>
      </c>
      <c r="K1768" s="1" t="s">
        <v>181</v>
      </c>
    </row>
    <row r="1769" spans="1:11" x14ac:dyDescent="0.25">
      <c r="A1769" s="1" t="s">
        <v>5609</v>
      </c>
      <c r="B1769" s="1" t="s">
        <v>5610</v>
      </c>
      <c r="D1769" s="1" t="s">
        <v>5611</v>
      </c>
      <c r="E1769" s="1" t="s">
        <v>209</v>
      </c>
      <c r="F1769" s="1" t="s">
        <v>5017</v>
      </c>
      <c r="G1769" s="1" t="s">
        <v>5018</v>
      </c>
      <c r="H1769" s="1">
        <v>0.1</v>
      </c>
      <c r="I1769" s="1">
        <v>0.1</v>
      </c>
      <c r="J1769" s="1">
        <v>0.79043332608288897</v>
      </c>
      <c r="K1769" s="1" t="s">
        <v>181</v>
      </c>
    </row>
    <row r="1770" spans="1:11" x14ac:dyDescent="0.25">
      <c r="A1770" s="1" t="s">
        <v>117</v>
      </c>
      <c r="B1770" s="1" t="s">
        <v>5612</v>
      </c>
      <c r="D1770" s="1" t="s">
        <v>5613</v>
      </c>
      <c r="E1770" s="1" t="s">
        <v>209</v>
      </c>
      <c r="F1770" s="1" t="s">
        <v>5017</v>
      </c>
      <c r="G1770" s="1" t="s">
        <v>5018</v>
      </c>
      <c r="H1770" s="1">
        <v>0.1</v>
      </c>
      <c r="I1770" s="1">
        <v>0.1</v>
      </c>
      <c r="J1770" s="1">
        <v>0.66570233150567237</v>
      </c>
      <c r="K1770" s="1" t="s">
        <v>181</v>
      </c>
    </row>
    <row r="1771" spans="1:11" x14ac:dyDescent="0.25">
      <c r="A1771" s="1" t="s">
        <v>5614</v>
      </c>
      <c r="B1771" s="1" t="s">
        <v>5615</v>
      </c>
      <c r="D1771" s="1" t="s">
        <v>5616</v>
      </c>
      <c r="E1771" s="1" t="s">
        <v>209</v>
      </c>
      <c r="F1771" s="1" t="s">
        <v>5017</v>
      </c>
      <c r="G1771" s="1" t="s">
        <v>5018</v>
      </c>
      <c r="H1771" s="1">
        <v>0.1</v>
      </c>
      <c r="I1771" s="1">
        <v>0.1</v>
      </c>
      <c r="J1771" s="1">
        <v>0.53532307867400775</v>
      </c>
      <c r="K1771" s="1" t="s">
        <v>181</v>
      </c>
    </row>
    <row r="1772" spans="1:11" x14ac:dyDescent="0.25">
      <c r="A1772" s="1" t="s">
        <v>5617</v>
      </c>
      <c r="B1772" s="1" t="s">
        <v>5618</v>
      </c>
      <c r="D1772" s="1" t="s">
        <v>5619</v>
      </c>
      <c r="E1772" s="1" t="s">
        <v>209</v>
      </c>
      <c r="F1772" s="1" t="s">
        <v>5017</v>
      </c>
      <c r="G1772" s="1" t="s">
        <v>5018</v>
      </c>
      <c r="H1772" s="1">
        <v>0.1</v>
      </c>
      <c r="I1772" s="1">
        <v>0.1</v>
      </c>
      <c r="J1772" s="1">
        <v>0.60496352474208137</v>
      </c>
      <c r="K1772" s="1" t="s">
        <v>181</v>
      </c>
    </row>
    <row r="1773" spans="1:11" x14ac:dyDescent="0.25">
      <c r="A1773" s="1" t="s">
        <v>5620</v>
      </c>
      <c r="B1773" s="1" t="s">
        <v>5621</v>
      </c>
      <c r="D1773" s="1" t="s">
        <v>5622</v>
      </c>
      <c r="E1773" s="1" t="s">
        <v>209</v>
      </c>
      <c r="F1773" s="1" t="s">
        <v>5017</v>
      </c>
      <c r="G1773" s="1" t="s">
        <v>5018</v>
      </c>
      <c r="H1773" s="1">
        <v>0.1</v>
      </c>
      <c r="I1773" s="1">
        <v>0.1</v>
      </c>
      <c r="J1773" s="1">
        <v>0.68056875717242027</v>
      </c>
      <c r="K1773" s="1" t="s">
        <v>181</v>
      </c>
    </row>
    <row r="1774" spans="1:11" x14ac:dyDescent="0.25">
      <c r="A1774" s="1" t="s">
        <v>5623</v>
      </c>
      <c r="B1774" s="1" t="s">
        <v>5624</v>
      </c>
      <c r="D1774" s="1" t="s">
        <v>5625</v>
      </c>
      <c r="E1774" s="1" t="s">
        <v>209</v>
      </c>
      <c r="F1774" s="1" t="s">
        <v>5017</v>
      </c>
      <c r="G1774" s="1" t="s">
        <v>5018</v>
      </c>
      <c r="H1774" s="1">
        <v>0.1</v>
      </c>
      <c r="I1774" s="1">
        <v>0.1</v>
      </c>
      <c r="J1774" s="1">
        <v>0.62841747477399634</v>
      </c>
      <c r="K1774" s="1" t="s">
        <v>181</v>
      </c>
    </row>
    <row r="1775" spans="1:11" x14ac:dyDescent="0.25">
      <c r="A1775" s="1" t="s">
        <v>5626</v>
      </c>
      <c r="B1775" s="1" t="s">
        <v>5627</v>
      </c>
      <c r="D1775" s="1" t="s">
        <v>5628</v>
      </c>
      <c r="E1775" s="1" t="s">
        <v>209</v>
      </c>
      <c r="F1775" s="1" t="s">
        <v>5017</v>
      </c>
      <c r="G1775" s="1" t="s">
        <v>5018</v>
      </c>
      <c r="H1775" s="1">
        <v>0.1</v>
      </c>
      <c r="I1775" s="1">
        <v>0.1</v>
      </c>
      <c r="J1775" s="1">
        <v>0.67197943051707698</v>
      </c>
      <c r="K1775" s="1" t="s">
        <v>181</v>
      </c>
    </row>
    <row r="1776" spans="1:11" x14ac:dyDescent="0.25">
      <c r="A1776" s="1" t="s">
        <v>5629</v>
      </c>
      <c r="B1776" s="1" t="s">
        <v>5630</v>
      </c>
      <c r="D1776" s="1" t="s">
        <v>5631</v>
      </c>
      <c r="E1776" s="1" t="s">
        <v>209</v>
      </c>
      <c r="F1776" s="1" t="s">
        <v>5017</v>
      </c>
      <c r="G1776" s="1" t="s">
        <v>5018</v>
      </c>
      <c r="H1776" s="1">
        <v>0.1</v>
      </c>
      <c r="I1776" s="1">
        <v>0.1</v>
      </c>
      <c r="J1776" s="1">
        <v>0.50384910629952029</v>
      </c>
      <c r="K1776" s="1" t="s">
        <v>181</v>
      </c>
    </row>
    <row r="1777" spans="1:11" x14ac:dyDescent="0.25">
      <c r="A1777" s="1" t="s">
        <v>5632</v>
      </c>
      <c r="B1777" s="1" t="s">
        <v>5633</v>
      </c>
      <c r="D1777" s="1" t="s">
        <v>5634</v>
      </c>
      <c r="E1777" s="1" t="s">
        <v>209</v>
      </c>
      <c r="F1777" s="1" t="s">
        <v>5017</v>
      </c>
      <c r="G1777" s="1" t="s">
        <v>5018</v>
      </c>
      <c r="H1777" s="1">
        <v>0.1</v>
      </c>
      <c r="I1777" s="1">
        <v>0.1</v>
      </c>
      <c r="J1777" s="1">
        <v>0.75327712298018845</v>
      </c>
      <c r="K1777" s="1" t="s">
        <v>181</v>
      </c>
    </row>
    <row r="1778" spans="1:11" x14ac:dyDescent="0.25">
      <c r="A1778" s="1" t="s">
        <v>5635</v>
      </c>
      <c r="B1778" s="1" t="s">
        <v>5636</v>
      </c>
      <c r="D1778" s="1" t="s">
        <v>5637</v>
      </c>
      <c r="E1778" s="1" t="s">
        <v>209</v>
      </c>
      <c r="F1778" s="1" t="s">
        <v>5017</v>
      </c>
      <c r="G1778" s="1" t="s">
        <v>5018</v>
      </c>
      <c r="H1778" s="1">
        <v>0.1</v>
      </c>
      <c r="I1778" s="1">
        <v>0.1</v>
      </c>
      <c r="J1778" s="1">
        <v>0.64505359859006661</v>
      </c>
      <c r="K1778" s="1" t="s">
        <v>181</v>
      </c>
    </row>
    <row r="1779" spans="1:11" x14ac:dyDescent="0.25">
      <c r="A1779" s="1" t="s">
        <v>5638</v>
      </c>
      <c r="B1779" s="1" t="s">
        <v>5639</v>
      </c>
      <c r="D1779" s="1" t="s">
        <v>5640</v>
      </c>
      <c r="E1779" s="1" t="s">
        <v>209</v>
      </c>
      <c r="F1779" s="1" t="s">
        <v>5017</v>
      </c>
      <c r="G1779" s="1" t="s">
        <v>5018</v>
      </c>
      <c r="H1779" s="1">
        <v>0.1</v>
      </c>
      <c r="I1779" s="1">
        <v>0.1</v>
      </c>
      <c r="J1779" s="1">
        <v>0.71038631872142366</v>
      </c>
      <c r="K1779" s="1" t="s">
        <v>181</v>
      </c>
    </row>
    <row r="1780" spans="1:11" x14ac:dyDescent="0.25">
      <c r="A1780" s="1" t="s">
        <v>5641</v>
      </c>
      <c r="B1780" s="1" t="s">
        <v>5642</v>
      </c>
      <c r="D1780" s="1" t="s">
        <v>5643</v>
      </c>
      <c r="E1780" s="1" t="s">
        <v>209</v>
      </c>
      <c r="F1780" s="1" t="s">
        <v>5017</v>
      </c>
      <c r="G1780" s="1" t="s">
        <v>5018</v>
      </c>
      <c r="H1780" s="1">
        <v>0.1</v>
      </c>
      <c r="I1780" s="1">
        <v>0.1</v>
      </c>
      <c r="J1780" s="1">
        <v>0.60934758911648912</v>
      </c>
      <c r="K1780" s="1" t="s">
        <v>181</v>
      </c>
    </row>
    <row r="1781" spans="1:11" x14ac:dyDescent="0.25">
      <c r="A1781" s="1" t="s">
        <v>5644</v>
      </c>
      <c r="B1781" s="1" t="s">
        <v>5645</v>
      </c>
      <c r="D1781" s="1" t="s">
        <v>5646</v>
      </c>
      <c r="E1781" s="1" t="s">
        <v>209</v>
      </c>
      <c r="F1781" s="1" t="s">
        <v>5017</v>
      </c>
      <c r="G1781" s="1" t="s">
        <v>5018</v>
      </c>
      <c r="H1781" s="1">
        <v>0.1</v>
      </c>
      <c r="I1781" s="1">
        <v>0.1</v>
      </c>
      <c r="J1781" s="1">
        <v>0.77170676871509225</v>
      </c>
      <c r="K1781" s="1" t="s">
        <v>181</v>
      </c>
    </row>
    <row r="1782" spans="1:11" x14ac:dyDescent="0.25">
      <c r="A1782" s="1" t="s">
        <v>5647</v>
      </c>
      <c r="B1782" s="1" t="s">
        <v>5648</v>
      </c>
      <c r="D1782" s="1" t="s">
        <v>5649</v>
      </c>
      <c r="E1782" s="1" t="s">
        <v>209</v>
      </c>
      <c r="F1782" s="1" t="s">
        <v>5017</v>
      </c>
      <c r="G1782" s="1" t="s">
        <v>5018</v>
      </c>
      <c r="H1782" s="1">
        <v>0.1</v>
      </c>
      <c r="I1782" s="1">
        <v>0.1</v>
      </c>
      <c r="J1782" s="1">
        <v>0.76102226339764079</v>
      </c>
      <c r="K1782" s="1" t="s">
        <v>181</v>
      </c>
    </row>
    <row r="1783" spans="1:11" x14ac:dyDescent="0.25">
      <c r="A1783" s="1" t="s">
        <v>5650</v>
      </c>
      <c r="B1783" s="1" t="s">
        <v>5651</v>
      </c>
      <c r="D1783" s="1" t="s">
        <v>5652</v>
      </c>
      <c r="E1783" s="1" t="s">
        <v>209</v>
      </c>
      <c r="F1783" s="1" t="s">
        <v>5017</v>
      </c>
      <c r="G1783" s="1" t="s">
        <v>5018</v>
      </c>
      <c r="H1783" s="1">
        <v>0.1</v>
      </c>
      <c r="I1783" s="1">
        <v>0.1</v>
      </c>
      <c r="J1783" s="1">
        <v>0.58453204021223837</v>
      </c>
      <c r="K1783" s="1" t="s">
        <v>181</v>
      </c>
    </row>
    <row r="1784" spans="1:11" x14ac:dyDescent="0.25">
      <c r="A1784" s="1" t="s">
        <v>5653</v>
      </c>
      <c r="B1784" s="1" t="s">
        <v>5654</v>
      </c>
      <c r="D1784" s="1" t="s">
        <v>5655</v>
      </c>
      <c r="E1784" s="1" t="s">
        <v>209</v>
      </c>
      <c r="F1784" s="1" t="s">
        <v>5017</v>
      </c>
      <c r="G1784" s="1" t="s">
        <v>5018</v>
      </c>
      <c r="H1784" s="1">
        <v>0.1</v>
      </c>
      <c r="I1784" s="1">
        <v>0.1</v>
      </c>
      <c r="J1784" s="1">
        <v>0.52445915219266004</v>
      </c>
      <c r="K1784" s="1" t="s">
        <v>181</v>
      </c>
    </row>
    <row r="1785" spans="1:11" x14ac:dyDescent="0.25">
      <c r="A1785" s="1" t="s">
        <v>5656</v>
      </c>
      <c r="B1785" s="1" t="s">
        <v>5657</v>
      </c>
      <c r="D1785" s="1" t="s">
        <v>5658</v>
      </c>
      <c r="E1785" s="1" t="s">
        <v>209</v>
      </c>
      <c r="F1785" s="1" t="s">
        <v>5017</v>
      </c>
      <c r="G1785" s="1" t="s">
        <v>5018</v>
      </c>
      <c r="H1785" s="1">
        <v>0.1</v>
      </c>
      <c r="I1785" s="1">
        <v>0.1</v>
      </c>
      <c r="J1785" s="1">
        <v>0.69179366906360529</v>
      </c>
      <c r="K1785" s="1" t="s">
        <v>181</v>
      </c>
    </row>
    <row r="1786" spans="1:11" x14ac:dyDescent="0.25">
      <c r="A1786" s="1" t="s">
        <v>5659</v>
      </c>
      <c r="B1786" s="1" t="s">
        <v>5660</v>
      </c>
      <c r="D1786" s="1" t="s">
        <v>5661</v>
      </c>
      <c r="E1786" s="1" t="s">
        <v>209</v>
      </c>
      <c r="F1786" s="1" t="s">
        <v>5017</v>
      </c>
      <c r="G1786" s="1" t="s">
        <v>5018</v>
      </c>
      <c r="H1786" s="1">
        <v>0.1</v>
      </c>
      <c r="I1786" s="1">
        <v>0.1</v>
      </c>
      <c r="J1786" s="1">
        <v>0.48724959878847635</v>
      </c>
      <c r="K1786" s="1" t="s">
        <v>181</v>
      </c>
    </row>
    <row r="1787" spans="1:11" x14ac:dyDescent="0.25">
      <c r="A1787" s="1" t="s">
        <v>5662</v>
      </c>
      <c r="B1787" s="1" t="s">
        <v>5663</v>
      </c>
      <c r="D1787" s="1" t="s">
        <v>5664</v>
      </c>
      <c r="E1787" s="1" t="s">
        <v>209</v>
      </c>
      <c r="F1787" s="1" t="s">
        <v>5017</v>
      </c>
      <c r="G1787" s="1" t="s">
        <v>5018</v>
      </c>
      <c r="H1787" s="1">
        <v>0.1</v>
      </c>
      <c r="I1787" s="1">
        <v>0.1</v>
      </c>
      <c r="J1787" s="1">
        <v>0.72890104428076352</v>
      </c>
      <c r="K1787" s="1" t="s">
        <v>181</v>
      </c>
    </row>
    <row r="1788" spans="1:11" x14ac:dyDescent="0.25">
      <c r="A1788" s="1" t="s">
        <v>5665</v>
      </c>
      <c r="B1788" s="1" t="s">
        <v>5666</v>
      </c>
      <c r="D1788" s="1" t="s">
        <v>5667</v>
      </c>
      <c r="E1788" s="1" t="s">
        <v>209</v>
      </c>
      <c r="F1788" s="1" t="s">
        <v>5017</v>
      </c>
      <c r="G1788" s="1" t="s">
        <v>5018</v>
      </c>
      <c r="H1788" s="1">
        <v>0.1</v>
      </c>
      <c r="I1788" s="1">
        <v>0.1</v>
      </c>
      <c r="J1788" s="1">
        <v>0.73859853758285243</v>
      </c>
      <c r="K1788" s="1" t="s">
        <v>181</v>
      </c>
    </row>
    <row r="1789" spans="1:11" x14ac:dyDescent="0.25">
      <c r="A1789" s="1" t="s">
        <v>5668</v>
      </c>
      <c r="B1789" s="1" t="s">
        <v>5669</v>
      </c>
      <c r="D1789" s="1" t="s">
        <v>5670</v>
      </c>
      <c r="E1789" s="1" t="s">
        <v>209</v>
      </c>
      <c r="F1789" s="1" t="s">
        <v>5017</v>
      </c>
      <c r="G1789" s="1" t="s">
        <v>5018</v>
      </c>
      <c r="H1789" s="1">
        <v>0.1</v>
      </c>
      <c r="I1789" s="1">
        <v>0.1</v>
      </c>
      <c r="J1789" s="1">
        <v>0.68224410208171171</v>
      </c>
      <c r="K1789" s="1" t="s">
        <v>181</v>
      </c>
    </row>
    <row r="1790" spans="1:11" x14ac:dyDescent="0.25">
      <c r="A1790" s="1" t="s">
        <v>5671</v>
      </c>
      <c r="B1790" s="1" t="s">
        <v>5672</v>
      </c>
      <c r="D1790" s="1" t="s">
        <v>5673</v>
      </c>
      <c r="E1790" s="1" t="s">
        <v>209</v>
      </c>
      <c r="F1790" s="1" t="s">
        <v>5017</v>
      </c>
      <c r="G1790" s="1" t="s">
        <v>5018</v>
      </c>
      <c r="H1790" s="1">
        <v>0.1</v>
      </c>
      <c r="I1790" s="1">
        <v>0.1</v>
      </c>
      <c r="J1790" s="1">
        <v>0.64483935143790416</v>
      </c>
      <c r="K1790" s="1" t="s">
        <v>181</v>
      </c>
    </row>
    <row r="1791" spans="1:11" x14ac:dyDescent="0.25">
      <c r="A1791" s="1" t="s">
        <v>5674</v>
      </c>
      <c r="B1791" s="1" t="s">
        <v>5675</v>
      </c>
      <c r="D1791" s="1" t="s">
        <v>5676</v>
      </c>
      <c r="E1791" s="1" t="s">
        <v>209</v>
      </c>
      <c r="F1791" s="1" t="s">
        <v>5017</v>
      </c>
      <c r="G1791" s="1" t="s">
        <v>5018</v>
      </c>
      <c r="H1791" s="1">
        <v>0.1</v>
      </c>
      <c r="I1791" s="1">
        <v>0.1</v>
      </c>
      <c r="J1791" s="1">
        <v>0.93056167658588651</v>
      </c>
      <c r="K1791" s="1" t="s">
        <v>181</v>
      </c>
    </row>
    <row r="1792" spans="1:11" x14ac:dyDescent="0.25">
      <c r="A1792" s="1" t="s">
        <v>5677</v>
      </c>
      <c r="B1792" s="1" t="s">
        <v>5678</v>
      </c>
      <c r="D1792" s="1" t="s">
        <v>5679</v>
      </c>
      <c r="E1792" s="1" t="s">
        <v>209</v>
      </c>
      <c r="F1792" s="1" t="s">
        <v>5017</v>
      </c>
      <c r="G1792" s="1" t="s">
        <v>5018</v>
      </c>
      <c r="H1792" s="1">
        <v>0.1</v>
      </c>
      <c r="I1792" s="1">
        <v>0.1</v>
      </c>
      <c r="J1792" s="1">
        <v>0.71665596586903757</v>
      </c>
      <c r="K1792" s="1" t="s">
        <v>181</v>
      </c>
    </row>
    <row r="1793" spans="1:11" x14ac:dyDescent="0.25">
      <c r="A1793" s="1" t="s">
        <v>5680</v>
      </c>
      <c r="B1793" s="1" t="s">
        <v>5681</v>
      </c>
      <c r="D1793" s="1" t="s">
        <v>5682</v>
      </c>
      <c r="E1793" s="1" t="s">
        <v>209</v>
      </c>
      <c r="F1793" s="1" t="s">
        <v>5017</v>
      </c>
      <c r="G1793" s="1" t="s">
        <v>5018</v>
      </c>
      <c r="H1793" s="1">
        <v>0.1</v>
      </c>
      <c r="I1793" s="1">
        <v>0.1</v>
      </c>
      <c r="J1793" s="1">
        <v>0.40270156089352438</v>
      </c>
      <c r="K1793" s="1" t="s">
        <v>181</v>
      </c>
    </row>
    <row r="1794" spans="1:11" x14ac:dyDescent="0.25">
      <c r="A1794" s="1" t="s">
        <v>5683</v>
      </c>
      <c r="B1794" s="1" t="s">
        <v>5684</v>
      </c>
      <c r="D1794" s="1" t="s">
        <v>5685</v>
      </c>
      <c r="E1794" s="1" t="s">
        <v>209</v>
      </c>
      <c r="F1794" s="1" t="s">
        <v>5017</v>
      </c>
      <c r="G1794" s="1" t="s">
        <v>5018</v>
      </c>
      <c r="H1794" s="1">
        <v>0.1</v>
      </c>
      <c r="I1794" s="1">
        <v>0.1</v>
      </c>
      <c r="J1794" s="1">
        <v>0.3893467061666972</v>
      </c>
      <c r="K1794" s="1" t="s">
        <v>181</v>
      </c>
    </row>
    <row r="1795" spans="1:11" x14ac:dyDescent="0.25">
      <c r="A1795" s="1" t="s">
        <v>5686</v>
      </c>
      <c r="B1795" s="1" t="s">
        <v>5687</v>
      </c>
      <c r="D1795" s="1" t="s">
        <v>5688</v>
      </c>
      <c r="E1795" s="1" t="s">
        <v>209</v>
      </c>
      <c r="F1795" s="1" t="s">
        <v>5017</v>
      </c>
      <c r="G1795" s="1" t="s">
        <v>5018</v>
      </c>
      <c r="H1795" s="1">
        <v>0.1</v>
      </c>
      <c r="I1795" s="1">
        <v>0.1</v>
      </c>
      <c r="J1795" s="1">
        <v>0.8349666966114998</v>
      </c>
      <c r="K1795" s="1" t="s">
        <v>181</v>
      </c>
    </row>
    <row r="1796" spans="1:11" x14ac:dyDescent="0.25">
      <c r="A1796" s="1" t="s">
        <v>5689</v>
      </c>
      <c r="B1796" s="1" t="s">
        <v>5690</v>
      </c>
      <c r="D1796" s="1" t="s">
        <v>5691</v>
      </c>
      <c r="E1796" s="1" t="s">
        <v>209</v>
      </c>
      <c r="F1796" s="1" t="s">
        <v>5017</v>
      </c>
      <c r="G1796" s="1" t="s">
        <v>5018</v>
      </c>
      <c r="H1796" s="1">
        <v>0.1</v>
      </c>
      <c r="I1796" s="1">
        <v>0.1</v>
      </c>
      <c r="J1796" s="1">
        <v>0.57998250722662192</v>
      </c>
      <c r="K1796" s="1" t="s">
        <v>181</v>
      </c>
    </row>
    <row r="1797" spans="1:11" x14ac:dyDescent="0.25">
      <c r="A1797" s="1" t="s">
        <v>5692</v>
      </c>
      <c r="B1797" s="1" t="s">
        <v>5693</v>
      </c>
      <c r="D1797" s="1" t="s">
        <v>5694</v>
      </c>
      <c r="E1797" s="1" t="s">
        <v>209</v>
      </c>
      <c r="F1797" s="1" t="s">
        <v>5017</v>
      </c>
      <c r="G1797" s="1" t="s">
        <v>5018</v>
      </c>
      <c r="H1797" s="1">
        <v>0.1</v>
      </c>
      <c r="I1797" s="1">
        <v>0.1</v>
      </c>
      <c r="J1797" s="1">
        <v>0.70186742951477799</v>
      </c>
      <c r="K1797" s="1" t="s">
        <v>181</v>
      </c>
    </row>
    <row r="1798" spans="1:11" x14ac:dyDescent="0.25">
      <c r="A1798" s="1" t="s">
        <v>5695</v>
      </c>
      <c r="B1798" s="1" t="s">
        <v>5696</v>
      </c>
      <c r="D1798" s="1" t="s">
        <v>5697</v>
      </c>
      <c r="E1798" s="1" t="s">
        <v>209</v>
      </c>
      <c r="F1798" s="1" t="s">
        <v>5017</v>
      </c>
      <c r="G1798" s="1" t="s">
        <v>5018</v>
      </c>
      <c r="H1798" s="1">
        <v>0.1</v>
      </c>
      <c r="I1798" s="1">
        <v>0.1</v>
      </c>
      <c r="J1798" s="1">
        <v>0.75141955287640183</v>
      </c>
      <c r="K1798" s="1" t="s">
        <v>181</v>
      </c>
    </row>
    <row r="1799" spans="1:11" x14ac:dyDescent="0.25">
      <c r="A1799" s="1" t="s">
        <v>5698</v>
      </c>
      <c r="B1799" s="1" t="s">
        <v>5699</v>
      </c>
      <c r="D1799" s="1" t="s">
        <v>5700</v>
      </c>
      <c r="E1799" s="1" t="s">
        <v>209</v>
      </c>
      <c r="F1799" s="1" t="s">
        <v>5017</v>
      </c>
      <c r="G1799" s="1" t="s">
        <v>5018</v>
      </c>
      <c r="H1799" s="1">
        <v>0.1</v>
      </c>
      <c r="I1799" s="1">
        <v>0.1</v>
      </c>
      <c r="J1799" s="1">
        <v>0.68255192597617975</v>
      </c>
      <c r="K1799" s="1" t="s">
        <v>181</v>
      </c>
    </row>
    <row r="1800" spans="1:11" x14ac:dyDescent="0.25">
      <c r="A1800" s="1" t="s">
        <v>5701</v>
      </c>
      <c r="B1800" s="1" t="s">
        <v>5702</v>
      </c>
      <c r="D1800" s="1" t="s">
        <v>5703</v>
      </c>
      <c r="E1800" s="1" t="s">
        <v>209</v>
      </c>
      <c r="F1800" s="1" t="s">
        <v>5017</v>
      </c>
      <c r="G1800" s="1" t="s">
        <v>5018</v>
      </c>
      <c r="H1800" s="1">
        <v>0.1</v>
      </c>
      <c r="I1800" s="1">
        <v>0.1</v>
      </c>
      <c r="J1800" s="1">
        <v>0.77734053155298521</v>
      </c>
      <c r="K1800" s="1" t="s">
        <v>181</v>
      </c>
    </row>
    <row r="1801" spans="1:11" x14ac:dyDescent="0.25">
      <c r="A1801" s="1" t="s">
        <v>5704</v>
      </c>
      <c r="B1801" s="1" t="s">
        <v>5705</v>
      </c>
      <c r="D1801" s="1" t="s">
        <v>5706</v>
      </c>
      <c r="E1801" s="1" t="s">
        <v>209</v>
      </c>
      <c r="F1801" s="1" t="s">
        <v>5017</v>
      </c>
      <c r="G1801" s="1" t="s">
        <v>5018</v>
      </c>
      <c r="H1801" s="1">
        <v>0.1</v>
      </c>
      <c r="I1801" s="1">
        <v>0.1</v>
      </c>
      <c r="J1801" s="1">
        <v>0.78761334559037999</v>
      </c>
      <c r="K1801" s="1" t="s">
        <v>181</v>
      </c>
    </row>
    <row r="1802" spans="1:11" x14ac:dyDescent="0.25">
      <c r="A1802" s="1" t="s">
        <v>5707</v>
      </c>
      <c r="B1802" s="1" t="s">
        <v>5708</v>
      </c>
      <c r="D1802" s="1" t="s">
        <v>5709</v>
      </c>
      <c r="E1802" s="1" t="s">
        <v>209</v>
      </c>
      <c r="F1802" s="1" t="s">
        <v>5017</v>
      </c>
      <c r="G1802" s="1" t="s">
        <v>5018</v>
      </c>
      <c r="H1802" s="1">
        <v>0.1</v>
      </c>
      <c r="I1802" s="1">
        <v>0.1</v>
      </c>
      <c r="J1802" s="1">
        <v>0.82545189042382028</v>
      </c>
      <c r="K1802" s="1" t="s">
        <v>181</v>
      </c>
    </row>
    <row r="1803" spans="1:11" x14ac:dyDescent="0.25">
      <c r="A1803" s="1" t="s">
        <v>5710</v>
      </c>
      <c r="B1803" s="1" t="s">
        <v>5711</v>
      </c>
      <c r="D1803" s="1" t="s">
        <v>5712</v>
      </c>
      <c r="E1803" s="1" t="s">
        <v>209</v>
      </c>
      <c r="F1803" s="1" t="s">
        <v>5017</v>
      </c>
      <c r="G1803" s="1" t="s">
        <v>5018</v>
      </c>
      <c r="H1803" s="1">
        <v>0.1</v>
      </c>
      <c r="I1803" s="1">
        <v>0.1</v>
      </c>
      <c r="J1803" s="1">
        <v>0.89520005557564586</v>
      </c>
      <c r="K1803" s="1" t="s">
        <v>181</v>
      </c>
    </row>
    <row r="1804" spans="1:11" x14ac:dyDescent="0.25">
      <c r="A1804" s="1" t="s">
        <v>5713</v>
      </c>
      <c r="B1804" s="1" t="s">
        <v>5714</v>
      </c>
      <c r="D1804" s="1" t="s">
        <v>5715</v>
      </c>
      <c r="E1804" s="1" t="s">
        <v>209</v>
      </c>
      <c r="F1804" s="1" t="s">
        <v>5017</v>
      </c>
      <c r="G1804" s="1" t="s">
        <v>5018</v>
      </c>
      <c r="H1804" s="1">
        <v>0.1</v>
      </c>
      <c r="I1804" s="1">
        <v>0.1</v>
      </c>
      <c r="J1804" s="1">
        <v>0.58403595908947159</v>
      </c>
      <c r="K1804" s="1" t="s">
        <v>181</v>
      </c>
    </row>
    <row r="1805" spans="1:11" x14ac:dyDescent="0.25">
      <c r="A1805" s="1" t="s">
        <v>5716</v>
      </c>
      <c r="B1805" s="1" t="s">
        <v>5717</v>
      </c>
      <c r="D1805" s="1" t="s">
        <v>5718</v>
      </c>
      <c r="E1805" s="1" t="s">
        <v>209</v>
      </c>
      <c r="F1805" s="1" t="s">
        <v>5017</v>
      </c>
      <c r="G1805" s="1" t="s">
        <v>5018</v>
      </c>
      <c r="H1805" s="1">
        <v>0.1</v>
      </c>
      <c r="I1805" s="1">
        <v>0.1</v>
      </c>
      <c r="J1805" s="1">
        <v>0.57408646210438519</v>
      </c>
      <c r="K1805" s="1" t="s">
        <v>181</v>
      </c>
    </row>
    <row r="1806" spans="1:11" x14ac:dyDescent="0.25">
      <c r="A1806" s="1" t="s">
        <v>5719</v>
      </c>
      <c r="B1806" s="1" t="s">
        <v>5720</v>
      </c>
      <c r="D1806" s="1" t="s">
        <v>5721</v>
      </c>
      <c r="E1806" s="1" t="s">
        <v>209</v>
      </c>
      <c r="F1806" s="1" t="s">
        <v>5017</v>
      </c>
      <c r="G1806" s="1" t="s">
        <v>5018</v>
      </c>
      <c r="H1806" s="1">
        <v>0.1</v>
      </c>
      <c r="I1806" s="1">
        <v>0.1</v>
      </c>
      <c r="J1806" s="1">
        <v>0.58439611090354104</v>
      </c>
      <c r="K1806" s="1" t="s">
        <v>181</v>
      </c>
    </row>
    <row r="1807" spans="1:11" x14ac:dyDescent="0.25">
      <c r="A1807" s="1" t="s">
        <v>5722</v>
      </c>
      <c r="B1807" s="1" t="s">
        <v>5723</v>
      </c>
      <c r="D1807" s="1" t="s">
        <v>5724</v>
      </c>
      <c r="E1807" s="1" t="s">
        <v>209</v>
      </c>
      <c r="F1807" s="1" t="s">
        <v>5017</v>
      </c>
      <c r="G1807" s="1" t="s">
        <v>5018</v>
      </c>
      <c r="H1807" s="1">
        <v>0.1</v>
      </c>
      <c r="I1807" s="1">
        <v>0.1</v>
      </c>
      <c r="J1807" s="1">
        <v>0.51800975449921094</v>
      </c>
      <c r="K1807" s="1" t="s">
        <v>181</v>
      </c>
    </row>
    <row r="1808" spans="1:11" x14ac:dyDescent="0.25">
      <c r="A1808" s="1" t="s">
        <v>5725</v>
      </c>
      <c r="B1808" s="1" t="s">
        <v>5726</v>
      </c>
      <c r="D1808" s="1" t="s">
        <v>5727</v>
      </c>
      <c r="E1808" s="1" t="s">
        <v>209</v>
      </c>
      <c r="F1808" s="1" t="s">
        <v>5017</v>
      </c>
      <c r="G1808" s="1" t="s">
        <v>5018</v>
      </c>
      <c r="H1808" s="1">
        <v>0.1</v>
      </c>
      <c r="I1808" s="1">
        <v>0.1</v>
      </c>
      <c r="J1808" s="1">
        <v>0.77144908179429672</v>
      </c>
      <c r="K1808" s="1" t="s">
        <v>181</v>
      </c>
    </row>
    <row r="1809" spans="1:11" x14ac:dyDescent="0.25">
      <c r="A1809" s="1" t="s">
        <v>5728</v>
      </c>
      <c r="B1809" s="1" t="s">
        <v>5729</v>
      </c>
      <c r="D1809" s="1" t="s">
        <v>5730</v>
      </c>
      <c r="E1809" s="1" t="s">
        <v>209</v>
      </c>
      <c r="F1809" s="1" t="s">
        <v>5017</v>
      </c>
      <c r="G1809" s="1" t="s">
        <v>5018</v>
      </c>
      <c r="H1809" s="1">
        <v>0.1</v>
      </c>
      <c r="I1809" s="1">
        <v>0.1</v>
      </c>
      <c r="J1809" s="1">
        <v>0.64339377403157816</v>
      </c>
      <c r="K1809" s="1" t="s">
        <v>181</v>
      </c>
    </row>
    <row r="1810" spans="1:11" x14ac:dyDescent="0.25">
      <c r="A1810" s="1" t="s">
        <v>5731</v>
      </c>
      <c r="B1810" s="1" t="s">
        <v>5732</v>
      </c>
      <c r="D1810" s="1" t="s">
        <v>5733</v>
      </c>
      <c r="E1810" s="1" t="s">
        <v>209</v>
      </c>
      <c r="F1810" s="1" t="s">
        <v>5017</v>
      </c>
      <c r="G1810" s="1" t="s">
        <v>5018</v>
      </c>
      <c r="H1810" s="1">
        <v>0.1</v>
      </c>
      <c r="I1810" s="1">
        <v>0.1</v>
      </c>
      <c r="J1810" s="1">
        <v>0.79193577074432175</v>
      </c>
      <c r="K1810" s="1" t="s">
        <v>181</v>
      </c>
    </row>
    <row r="1811" spans="1:11" x14ac:dyDescent="0.25">
      <c r="A1811" s="1" t="s">
        <v>5734</v>
      </c>
      <c r="B1811" s="1" t="s">
        <v>5735</v>
      </c>
      <c r="D1811" s="1" t="s">
        <v>5736</v>
      </c>
      <c r="E1811" s="1" t="s">
        <v>209</v>
      </c>
      <c r="F1811" s="1" t="s">
        <v>5017</v>
      </c>
      <c r="G1811" s="1" t="s">
        <v>5018</v>
      </c>
      <c r="H1811" s="1">
        <v>0.1</v>
      </c>
      <c r="I1811" s="1">
        <v>0.1</v>
      </c>
      <c r="J1811" s="1">
        <v>0.72311682329894</v>
      </c>
      <c r="K1811" s="1" t="s">
        <v>181</v>
      </c>
    </row>
    <row r="1812" spans="1:11" x14ac:dyDescent="0.25">
      <c r="A1812" s="1" t="s">
        <v>5737</v>
      </c>
      <c r="B1812" s="1" t="s">
        <v>5738</v>
      </c>
      <c r="D1812" s="1" t="s">
        <v>5739</v>
      </c>
      <c r="E1812" s="1" t="s">
        <v>209</v>
      </c>
      <c r="F1812" s="1" t="s">
        <v>5017</v>
      </c>
      <c r="G1812" s="1" t="s">
        <v>5018</v>
      </c>
      <c r="H1812" s="1">
        <v>0.1</v>
      </c>
      <c r="I1812" s="1">
        <v>0.1</v>
      </c>
      <c r="J1812" s="1">
        <v>0.81522535660719264</v>
      </c>
      <c r="K1812" s="1" t="s">
        <v>181</v>
      </c>
    </row>
    <row r="1813" spans="1:11" x14ac:dyDescent="0.25">
      <c r="A1813" s="1" t="s">
        <v>5740</v>
      </c>
      <c r="B1813" s="1" t="s">
        <v>5741</v>
      </c>
      <c r="D1813" s="1" t="s">
        <v>5742</v>
      </c>
      <c r="E1813" s="1" t="s">
        <v>209</v>
      </c>
      <c r="F1813" s="1" t="s">
        <v>5017</v>
      </c>
      <c r="G1813" s="1" t="s">
        <v>5018</v>
      </c>
      <c r="H1813" s="1">
        <v>0.1</v>
      </c>
      <c r="I1813" s="1">
        <v>0.1</v>
      </c>
      <c r="J1813" s="1">
        <v>0.80425320969606218</v>
      </c>
      <c r="K1813" s="1" t="s">
        <v>181</v>
      </c>
    </row>
    <row r="1814" spans="1:11" x14ac:dyDescent="0.25">
      <c r="A1814" s="1" t="s">
        <v>5743</v>
      </c>
      <c r="B1814" s="1" t="s">
        <v>5744</v>
      </c>
      <c r="D1814" s="1" t="s">
        <v>5745</v>
      </c>
      <c r="E1814" s="1" t="s">
        <v>209</v>
      </c>
      <c r="F1814" s="1" t="s">
        <v>5017</v>
      </c>
      <c r="G1814" s="1" t="s">
        <v>5018</v>
      </c>
      <c r="H1814" s="1">
        <v>0.1</v>
      </c>
      <c r="I1814" s="1">
        <v>0.1</v>
      </c>
      <c r="J1814" s="1">
        <v>0.8603533169182086</v>
      </c>
      <c r="K1814" s="1" t="s">
        <v>181</v>
      </c>
    </row>
    <row r="1815" spans="1:11" x14ac:dyDescent="0.25">
      <c r="A1815" s="1" t="s">
        <v>5746</v>
      </c>
      <c r="B1815" s="1" t="s">
        <v>5747</v>
      </c>
      <c r="D1815" s="1" t="s">
        <v>5748</v>
      </c>
      <c r="E1815" s="1" t="s">
        <v>209</v>
      </c>
      <c r="F1815" s="1" t="s">
        <v>5017</v>
      </c>
      <c r="G1815" s="1" t="s">
        <v>5018</v>
      </c>
      <c r="H1815" s="1">
        <v>0.1</v>
      </c>
      <c r="I1815" s="1">
        <v>0.1</v>
      </c>
      <c r="J1815" s="1">
        <v>0.48923877282998202</v>
      </c>
      <c r="K1815" s="1" t="s">
        <v>181</v>
      </c>
    </row>
    <row r="1816" spans="1:11" x14ac:dyDescent="0.25">
      <c r="A1816" s="1" t="s">
        <v>5749</v>
      </c>
      <c r="B1816" s="1" t="s">
        <v>5750</v>
      </c>
      <c r="D1816" s="1" t="s">
        <v>5751</v>
      </c>
      <c r="E1816" s="1" t="s">
        <v>209</v>
      </c>
      <c r="F1816" s="1" t="s">
        <v>5017</v>
      </c>
      <c r="G1816" s="1" t="s">
        <v>5018</v>
      </c>
      <c r="H1816" s="1">
        <v>0.1</v>
      </c>
      <c r="I1816" s="1">
        <v>0.1</v>
      </c>
      <c r="J1816" s="1">
        <v>0.76037589385777549</v>
      </c>
      <c r="K1816" s="1" t="s">
        <v>181</v>
      </c>
    </row>
    <row r="1817" spans="1:11" x14ac:dyDescent="0.25">
      <c r="A1817" s="1" t="s">
        <v>5752</v>
      </c>
      <c r="B1817" s="1" t="s">
        <v>5753</v>
      </c>
      <c r="D1817" s="1" t="s">
        <v>5754</v>
      </c>
      <c r="E1817" s="1" t="s">
        <v>209</v>
      </c>
      <c r="F1817" s="1" t="s">
        <v>5017</v>
      </c>
      <c r="G1817" s="1" t="s">
        <v>5018</v>
      </c>
      <c r="H1817" s="1">
        <v>0.1</v>
      </c>
      <c r="I1817" s="1">
        <v>0.1</v>
      </c>
      <c r="J1817" s="1">
        <v>0.56608785474741352</v>
      </c>
      <c r="K1817" s="1" t="s">
        <v>181</v>
      </c>
    </row>
    <row r="1818" spans="1:11" x14ac:dyDescent="0.25">
      <c r="A1818" s="1" t="s">
        <v>5755</v>
      </c>
      <c r="B1818" s="1" t="s">
        <v>5756</v>
      </c>
      <c r="D1818" s="1" t="s">
        <v>5757</v>
      </c>
      <c r="E1818" s="1" t="s">
        <v>209</v>
      </c>
      <c r="F1818" s="1" t="s">
        <v>5017</v>
      </c>
      <c r="G1818" s="1" t="s">
        <v>5018</v>
      </c>
      <c r="H1818" s="1">
        <v>0.1</v>
      </c>
      <c r="I1818" s="1">
        <v>0.1</v>
      </c>
      <c r="J1818" s="1">
        <v>0.84263633482211209</v>
      </c>
      <c r="K1818" s="1" t="s">
        <v>181</v>
      </c>
    </row>
    <row r="1819" spans="1:11" x14ac:dyDescent="0.25">
      <c r="A1819" s="1" t="s">
        <v>5758</v>
      </c>
      <c r="B1819" s="1" t="s">
        <v>5759</v>
      </c>
      <c r="D1819" s="1" t="s">
        <v>5760</v>
      </c>
      <c r="E1819" s="1" t="s">
        <v>209</v>
      </c>
      <c r="F1819" s="1" t="s">
        <v>5017</v>
      </c>
      <c r="G1819" s="1" t="s">
        <v>5018</v>
      </c>
      <c r="H1819" s="1">
        <v>0.1</v>
      </c>
      <c r="I1819" s="1">
        <v>0.1</v>
      </c>
      <c r="J1819" s="1">
        <v>0.80493742587284112</v>
      </c>
      <c r="K1819" s="1" t="s">
        <v>181</v>
      </c>
    </row>
    <row r="1820" spans="1:11" x14ac:dyDescent="0.25">
      <c r="A1820" s="1" t="s">
        <v>5761</v>
      </c>
      <c r="B1820" s="1" t="s">
        <v>5762</v>
      </c>
      <c r="D1820" s="1" t="s">
        <v>5763</v>
      </c>
      <c r="E1820" s="1" t="s">
        <v>209</v>
      </c>
      <c r="F1820" s="1" t="s">
        <v>5017</v>
      </c>
      <c r="G1820" s="1" t="s">
        <v>5018</v>
      </c>
      <c r="H1820" s="1">
        <v>0.1</v>
      </c>
      <c r="I1820" s="1">
        <v>0.1</v>
      </c>
      <c r="J1820" s="1">
        <v>0.80142971239125382</v>
      </c>
      <c r="K1820" s="1" t="s">
        <v>181</v>
      </c>
    </row>
    <row r="1821" spans="1:11" x14ac:dyDescent="0.25">
      <c r="A1821" s="1" t="s">
        <v>5764</v>
      </c>
      <c r="B1821" s="1" t="s">
        <v>5765</v>
      </c>
      <c r="D1821" s="1" t="s">
        <v>5766</v>
      </c>
      <c r="E1821" s="1" t="s">
        <v>209</v>
      </c>
      <c r="F1821" s="1" t="s">
        <v>5017</v>
      </c>
      <c r="G1821" s="1" t="s">
        <v>5018</v>
      </c>
      <c r="H1821" s="1">
        <v>0.1</v>
      </c>
      <c r="I1821" s="1">
        <v>0.1</v>
      </c>
      <c r="J1821" s="1">
        <v>0.64214380193470744</v>
      </c>
      <c r="K1821" s="1" t="s">
        <v>181</v>
      </c>
    </row>
    <row r="1822" spans="1:11" x14ac:dyDescent="0.25">
      <c r="A1822" s="1" t="s">
        <v>5767</v>
      </c>
      <c r="B1822" s="1" t="s">
        <v>5768</v>
      </c>
      <c r="D1822" s="1" t="s">
        <v>5769</v>
      </c>
      <c r="E1822" s="1" t="s">
        <v>209</v>
      </c>
      <c r="F1822" s="1" t="s">
        <v>5017</v>
      </c>
      <c r="G1822" s="1" t="s">
        <v>5018</v>
      </c>
      <c r="H1822" s="1">
        <v>0.1</v>
      </c>
      <c r="I1822" s="1">
        <v>0.1</v>
      </c>
      <c r="J1822" s="1">
        <v>0.47875017219381816</v>
      </c>
      <c r="K1822" s="1" t="s">
        <v>181</v>
      </c>
    </row>
    <row r="1823" spans="1:11" x14ac:dyDescent="0.25">
      <c r="A1823" s="1" t="s">
        <v>118</v>
      </c>
      <c r="B1823" s="1" t="s">
        <v>5770</v>
      </c>
      <c r="D1823" s="1" t="s">
        <v>5771</v>
      </c>
      <c r="E1823" s="1" t="s">
        <v>209</v>
      </c>
      <c r="F1823" s="1" t="s">
        <v>5017</v>
      </c>
      <c r="G1823" s="1" t="s">
        <v>5018</v>
      </c>
      <c r="H1823" s="1">
        <v>0.1</v>
      </c>
      <c r="I1823" s="1">
        <v>0.1</v>
      </c>
      <c r="J1823" s="1">
        <v>0.58803009675050055</v>
      </c>
      <c r="K1823" s="1" t="s">
        <v>181</v>
      </c>
    </row>
    <row r="1824" spans="1:11" x14ac:dyDescent="0.25">
      <c r="A1824" s="1" t="s">
        <v>5772</v>
      </c>
      <c r="B1824" s="1" t="s">
        <v>5773</v>
      </c>
      <c r="D1824" s="1" t="s">
        <v>5774</v>
      </c>
      <c r="E1824" s="1" t="s">
        <v>209</v>
      </c>
      <c r="F1824" s="1" t="s">
        <v>5017</v>
      </c>
      <c r="G1824" s="1" t="s">
        <v>5018</v>
      </c>
      <c r="H1824" s="1">
        <v>0.1</v>
      </c>
      <c r="I1824" s="1">
        <v>0.1</v>
      </c>
      <c r="J1824" s="1">
        <v>0.45499734333882813</v>
      </c>
      <c r="K1824" s="1" t="s">
        <v>181</v>
      </c>
    </row>
    <row r="1825" spans="1:11" x14ac:dyDescent="0.25">
      <c r="A1825" s="1" t="s">
        <v>5775</v>
      </c>
      <c r="B1825" s="1" t="s">
        <v>5776</v>
      </c>
      <c r="D1825" s="1" t="s">
        <v>5777</v>
      </c>
      <c r="E1825" s="1" t="s">
        <v>209</v>
      </c>
      <c r="F1825" s="1" t="s">
        <v>5017</v>
      </c>
      <c r="G1825" s="1" t="s">
        <v>5018</v>
      </c>
      <c r="H1825" s="1">
        <v>0.1</v>
      </c>
      <c r="I1825" s="1">
        <v>0.1</v>
      </c>
      <c r="J1825" s="1">
        <v>0.41270559335121398</v>
      </c>
      <c r="K1825" s="1" t="s">
        <v>181</v>
      </c>
    </row>
    <row r="1826" spans="1:11" x14ac:dyDescent="0.25">
      <c r="A1826" s="1" t="s">
        <v>5778</v>
      </c>
      <c r="B1826" s="1" t="s">
        <v>5779</v>
      </c>
      <c r="D1826" s="1" t="s">
        <v>5780</v>
      </c>
      <c r="E1826" s="1" t="s">
        <v>209</v>
      </c>
      <c r="F1826" s="1" t="s">
        <v>5017</v>
      </c>
      <c r="G1826" s="1" t="s">
        <v>5018</v>
      </c>
      <c r="H1826" s="1">
        <v>0.1</v>
      </c>
      <c r="I1826" s="1">
        <v>0.1</v>
      </c>
      <c r="J1826" s="1">
        <v>0.4426238527223802</v>
      </c>
      <c r="K1826" s="1" t="s">
        <v>181</v>
      </c>
    </row>
    <row r="1827" spans="1:11" x14ac:dyDescent="0.25">
      <c r="A1827" s="1" t="s">
        <v>5781</v>
      </c>
      <c r="B1827" s="1" t="s">
        <v>5782</v>
      </c>
      <c r="D1827" s="1" t="s">
        <v>5783</v>
      </c>
      <c r="E1827" s="1" t="s">
        <v>209</v>
      </c>
      <c r="F1827" s="1" t="s">
        <v>5017</v>
      </c>
      <c r="G1827" s="1" t="s">
        <v>5018</v>
      </c>
      <c r="H1827" s="1">
        <v>0.1</v>
      </c>
      <c r="I1827" s="1">
        <v>0.1</v>
      </c>
      <c r="J1827" s="1">
        <v>0.7162743152615787</v>
      </c>
      <c r="K1827" s="1" t="s">
        <v>181</v>
      </c>
    </row>
    <row r="1828" spans="1:11" x14ac:dyDescent="0.25">
      <c r="A1828" s="1" t="s">
        <v>5784</v>
      </c>
      <c r="B1828" s="1" t="s">
        <v>5785</v>
      </c>
      <c r="D1828" s="1" t="s">
        <v>5786</v>
      </c>
      <c r="E1828" s="1" t="s">
        <v>209</v>
      </c>
      <c r="F1828" s="1" t="s">
        <v>5017</v>
      </c>
      <c r="G1828" s="1" t="s">
        <v>5018</v>
      </c>
      <c r="H1828" s="1">
        <v>0.1</v>
      </c>
      <c r="I1828" s="1">
        <v>0.1</v>
      </c>
      <c r="J1828" s="1">
        <v>0.83266266010765522</v>
      </c>
      <c r="K1828" s="1" t="s">
        <v>181</v>
      </c>
    </row>
    <row r="1829" spans="1:11" x14ac:dyDescent="0.25">
      <c r="A1829" s="1" t="s">
        <v>5787</v>
      </c>
      <c r="B1829" s="1" t="s">
        <v>5788</v>
      </c>
      <c r="D1829" s="1" t="s">
        <v>5789</v>
      </c>
      <c r="E1829" s="1" t="s">
        <v>209</v>
      </c>
      <c r="F1829" s="1" t="s">
        <v>5017</v>
      </c>
      <c r="G1829" s="1" t="s">
        <v>5018</v>
      </c>
      <c r="H1829" s="1">
        <v>0.1</v>
      </c>
      <c r="I1829" s="1">
        <v>0.1</v>
      </c>
      <c r="J1829" s="1">
        <v>0.80513437770656182</v>
      </c>
      <c r="K1829" s="1" t="s">
        <v>181</v>
      </c>
    </row>
    <row r="1830" spans="1:11" x14ac:dyDescent="0.25">
      <c r="A1830" s="1" t="s">
        <v>5790</v>
      </c>
      <c r="B1830" s="1" t="s">
        <v>5791</v>
      </c>
      <c r="D1830" s="1" t="s">
        <v>5792</v>
      </c>
      <c r="E1830" s="1" t="s">
        <v>209</v>
      </c>
      <c r="F1830" s="1" t="s">
        <v>5017</v>
      </c>
      <c r="G1830" s="1" t="s">
        <v>5018</v>
      </c>
      <c r="H1830" s="1">
        <v>0.1</v>
      </c>
      <c r="I1830" s="1">
        <v>0.1</v>
      </c>
      <c r="J1830" s="1">
        <v>0.84823471737325729</v>
      </c>
      <c r="K1830" s="1" t="s">
        <v>181</v>
      </c>
    </row>
    <row r="1831" spans="1:11" x14ac:dyDescent="0.25">
      <c r="A1831" s="1" t="s">
        <v>5793</v>
      </c>
      <c r="B1831" s="1" t="s">
        <v>5794</v>
      </c>
      <c r="D1831" s="1" t="s">
        <v>5795</v>
      </c>
      <c r="E1831" s="1" t="s">
        <v>209</v>
      </c>
      <c r="F1831" s="1" t="s">
        <v>5017</v>
      </c>
      <c r="G1831" s="1" t="s">
        <v>5018</v>
      </c>
      <c r="H1831" s="1">
        <v>0.1</v>
      </c>
      <c r="I1831" s="1">
        <v>0.1</v>
      </c>
      <c r="J1831" s="1">
        <v>0.66790958515187382</v>
      </c>
      <c r="K1831" s="1" t="s">
        <v>181</v>
      </c>
    </row>
    <row r="1832" spans="1:11" x14ac:dyDescent="0.25">
      <c r="A1832" s="1" t="s">
        <v>5796</v>
      </c>
      <c r="B1832" s="1" t="s">
        <v>5797</v>
      </c>
      <c r="D1832" s="1" t="s">
        <v>5798</v>
      </c>
      <c r="E1832" s="1" t="s">
        <v>209</v>
      </c>
      <c r="F1832" s="1" t="s">
        <v>5017</v>
      </c>
      <c r="G1832" s="1" t="s">
        <v>5018</v>
      </c>
      <c r="H1832" s="1">
        <v>0.1</v>
      </c>
      <c r="I1832" s="1">
        <v>0.1</v>
      </c>
      <c r="J1832" s="1">
        <v>0.763506854038834</v>
      </c>
      <c r="K1832" s="1" t="s">
        <v>181</v>
      </c>
    </row>
    <row r="1833" spans="1:11" x14ac:dyDescent="0.25">
      <c r="A1833" s="1" t="s">
        <v>5799</v>
      </c>
      <c r="B1833" s="1" t="s">
        <v>5800</v>
      </c>
      <c r="D1833" s="1" t="s">
        <v>5801</v>
      </c>
      <c r="E1833" s="1" t="s">
        <v>209</v>
      </c>
      <c r="F1833" s="1" t="s">
        <v>5017</v>
      </c>
      <c r="G1833" s="1" t="s">
        <v>5018</v>
      </c>
      <c r="H1833" s="1">
        <v>0.1</v>
      </c>
      <c r="I1833" s="1">
        <v>0.1</v>
      </c>
      <c r="J1833" s="1">
        <v>0.63228070403045977</v>
      </c>
      <c r="K1833" s="1" t="s">
        <v>181</v>
      </c>
    </row>
    <row r="1834" spans="1:11" x14ac:dyDescent="0.25">
      <c r="A1834" s="1" t="s">
        <v>5802</v>
      </c>
      <c r="B1834" s="1" t="s">
        <v>5803</v>
      </c>
      <c r="D1834" s="1" t="s">
        <v>5804</v>
      </c>
      <c r="E1834" s="1" t="s">
        <v>209</v>
      </c>
      <c r="F1834" s="1" t="s">
        <v>5017</v>
      </c>
      <c r="G1834" s="1" t="s">
        <v>5018</v>
      </c>
      <c r="H1834" s="1">
        <v>0.1</v>
      </c>
      <c r="I1834" s="1">
        <v>0.1</v>
      </c>
      <c r="J1834" s="1">
        <v>0.55953995340164864</v>
      </c>
      <c r="K1834" s="1" t="s">
        <v>181</v>
      </c>
    </row>
    <row r="1835" spans="1:11" x14ac:dyDescent="0.25">
      <c r="A1835" s="1" t="s">
        <v>5805</v>
      </c>
      <c r="B1835" s="1" t="s">
        <v>5806</v>
      </c>
      <c r="D1835" s="1" t="s">
        <v>5807</v>
      </c>
      <c r="E1835" s="1" t="s">
        <v>209</v>
      </c>
      <c r="F1835" s="1" t="s">
        <v>5017</v>
      </c>
      <c r="G1835" s="1" t="s">
        <v>5018</v>
      </c>
      <c r="H1835" s="1">
        <v>0.1</v>
      </c>
      <c r="I1835" s="1">
        <v>0.1</v>
      </c>
      <c r="J1835" s="1">
        <v>0.81202929902420895</v>
      </c>
      <c r="K1835" s="1" t="s">
        <v>181</v>
      </c>
    </row>
    <row r="1836" spans="1:11" x14ac:dyDescent="0.25">
      <c r="A1836" s="1" t="s">
        <v>5808</v>
      </c>
      <c r="B1836" s="1" t="s">
        <v>5809</v>
      </c>
      <c r="D1836" s="1" t="s">
        <v>5810</v>
      </c>
      <c r="E1836" s="1" t="s">
        <v>209</v>
      </c>
      <c r="F1836" s="1" t="s">
        <v>5017</v>
      </c>
      <c r="G1836" s="1" t="s">
        <v>5018</v>
      </c>
      <c r="H1836" s="1">
        <v>0.1</v>
      </c>
      <c r="I1836" s="1">
        <v>0.1</v>
      </c>
      <c r="J1836" s="1">
        <v>0.66316673621384192</v>
      </c>
      <c r="K1836" s="1" t="s">
        <v>181</v>
      </c>
    </row>
    <row r="1837" spans="1:11" x14ac:dyDescent="0.25">
      <c r="A1837" s="1" t="s">
        <v>5811</v>
      </c>
      <c r="B1837" s="1" t="s">
        <v>5812</v>
      </c>
      <c r="D1837" s="1" t="s">
        <v>5813</v>
      </c>
      <c r="E1837" s="1" t="s">
        <v>209</v>
      </c>
      <c r="F1837" s="1" t="s">
        <v>5017</v>
      </c>
      <c r="G1837" s="1" t="s">
        <v>5018</v>
      </c>
      <c r="H1837" s="1">
        <v>0.1</v>
      </c>
      <c r="I1837" s="1">
        <v>0.1</v>
      </c>
      <c r="J1837" s="1">
        <v>0.42582335255512793</v>
      </c>
      <c r="K1837" s="1" t="s">
        <v>181</v>
      </c>
    </row>
    <row r="1838" spans="1:11" x14ac:dyDescent="0.25">
      <c r="A1838" s="1" t="s">
        <v>5814</v>
      </c>
      <c r="B1838" s="1" t="s">
        <v>5815</v>
      </c>
      <c r="D1838" s="1" t="s">
        <v>5816</v>
      </c>
      <c r="E1838" s="1" t="s">
        <v>209</v>
      </c>
      <c r="F1838" s="1" t="s">
        <v>5017</v>
      </c>
      <c r="G1838" s="1" t="s">
        <v>5018</v>
      </c>
      <c r="H1838" s="1">
        <v>0.1</v>
      </c>
      <c r="I1838" s="1">
        <v>0.1</v>
      </c>
      <c r="J1838" s="1">
        <v>0.65351051501217472</v>
      </c>
      <c r="K1838" s="1" t="s">
        <v>181</v>
      </c>
    </row>
    <row r="1839" spans="1:11" x14ac:dyDescent="0.25">
      <c r="A1839" s="1" t="s">
        <v>5817</v>
      </c>
      <c r="B1839" s="1" t="s">
        <v>5818</v>
      </c>
      <c r="D1839" s="1" t="s">
        <v>5819</v>
      </c>
      <c r="E1839" s="1" t="s">
        <v>209</v>
      </c>
      <c r="F1839" s="1" t="s">
        <v>5017</v>
      </c>
      <c r="G1839" s="1" t="s">
        <v>5018</v>
      </c>
      <c r="H1839" s="1">
        <v>0.1</v>
      </c>
      <c r="I1839" s="1">
        <v>0.1</v>
      </c>
      <c r="J1839" s="1">
        <v>0.71296073164817864</v>
      </c>
      <c r="K1839" s="1" t="s">
        <v>181</v>
      </c>
    </row>
    <row r="1840" spans="1:11" x14ac:dyDescent="0.25">
      <c r="A1840" s="1" t="s">
        <v>5820</v>
      </c>
      <c r="B1840" s="1" t="s">
        <v>5821</v>
      </c>
      <c r="D1840" s="1" t="s">
        <v>5822</v>
      </c>
      <c r="E1840" s="1" t="s">
        <v>209</v>
      </c>
      <c r="F1840" s="1" t="s">
        <v>5017</v>
      </c>
      <c r="G1840" s="1" t="s">
        <v>5018</v>
      </c>
      <c r="H1840" s="1">
        <v>0.1</v>
      </c>
      <c r="I1840" s="1">
        <v>0.1</v>
      </c>
      <c r="J1840" s="1">
        <v>1.0230851035614568</v>
      </c>
      <c r="K1840" s="1" t="s">
        <v>181</v>
      </c>
    </row>
    <row r="1841" spans="1:11" x14ac:dyDescent="0.25">
      <c r="A1841" s="1" t="s">
        <v>5823</v>
      </c>
      <c r="B1841" s="1" t="s">
        <v>5824</v>
      </c>
      <c r="D1841" s="1" t="s">
        <v>5825</v>
      </c>
      <c r="E1841" s="1" t="s">
        <v>209</v>
      </c>
      <c r="F1841" s="1" t="s">
        <v>5017</v>
      </c>
      <c r="G1841" s="1" t="s">
        <v>5018</v>
      </c>
      <c r="H1841" s="1">
        <v>0.1</v>
      </c>
      <c r="I1841" s="1">
        <v>0.1</v>
      </c>
      <c r="J1841" s="1">
        <v>0.95194135525171575</v>
      </c>
      <c r="K1841" s="1" t="s">
        <v>181</v>
      </c>
    </row>
    <row r="1842" spans="1:11" x14ac:dyDescent="0.25">
      <c r="A1842" s="1" t="s">
        <v>5826</v>
      </c>
      <c r="B1842" s="1" t="s">
        <v>5827</v>
      </c>
      <c r="D1842" s="1" t="s">
        <v>5828</v>
      </c>
      <c r="E1842" s="1" t="s">
        <v>209</v>
      </c>
      <c r="F1842" s="1" t="s">
        <v>5017</v>
      </c>
      <c r="G1842" s="1" t="s">
        <v>5018</v>
      </c>
      <c r="H1842" s="1">
        <v>0.1</v>
      </c>
      <c r="I1842" s="1">
        <v>0.1</v>
      </c>
      <c r="J1842" s="1">
        <v>0.67182890904669035</v>
      </c>
      <c r="K1842" s="1" t="s">
        <v>181</v>
      </c>
    </row>
    <row r="1843" spans="1:11" x14ac:dyDescent="0.25">
      <c r="A1843" s="1" t="s">
        <v>5829</v>
      </c>
      <c r="B1843" s="1" t="s">
        <v>5830</v>
      </c>
      <c r="D1843" s="1" t="s">
        <v>5831</v>
      </c>
      <c r="E1843" s="1" t="s">
        <v>209</v>
      </c>
      <c r="F1843" s="1" t="s">
        <v>5017</v>
      </c>
      <c r="G1843" s="1" t="s">
        <v>5018</v>
      </c>
      <c r="H1843" s="1">
        <v>0.1</v>
      </c>
      <c r="I1843" s="1">
        <v>0.1</v>
      </c>
      <c r="J1843" s="1">
        <v>0.94508648390229688</v>
      </c>
      <c r="K1843" s="1" t="s">
        <v>181</v>
      </c>
    </row>
    <row r="1844" spans="1:11" x14ac:dyDescent="0.25">
      <c r="A1844" s="1" t="s">
        <v>5832</v>
      </c>
      <c r="B1844" s="1" t="s">
        <v>5833</v>
      </c>
      <c r="D1844" s="1" t="s">
        <v>5834</v>
      </c>
      <c r="E1844" s="1" t="s">
        <v>209</v>
      </c>
      <c r="F1844" s="1" t="s">
        <v>5017</v>
      </c>
      <c r="G1844" s="1" t="s">
        <v>5018</v>
      </c>
      <c r="H1844" s="1">
        <v>0.1</v>
      </c>
      <c r="I1844" s="1">
        <v>0.1</v>
      </c>
      <c r="J1844" s="1">
        <v>0.81560636830538602</v>
      </c>
      <c r="K1844" s="1" t="s">
        <v>181</v>
      </c>
    </row>
    <row r="1845" spans="1:11" x14ac:dyDescent="0.25">
      <c r="A1845" s="1" t="s">
        <v>5835</v>
      </c>
      <c r="B1845" s="1" t="s">
        <v>5836</v>
      </c>
      <c r="D1845" s="1" t="s">
        <v>5837</v>
      </c>
      <c r="E1845" s="1" t="s">
        <v>209</v>
      </c>
      <c r="F1845" s="1" t="s">
        <v>5017</v>
      </c>
      <c r="G1845" s="1" t="s">
        <v>5018</v>
      </c>
      <c r="H1845" s="1">
        <v>0.1</v>
      </c>
      <c r="I1845" s="1">
        <v>0.1</v>
      </c>
      <c r="J1845" s="1">
        <v>0.71900120891955988</v>
      </c>
      <c r="K1845" s="1" t="s">
        <v>181</v>
      </c>
    </row>
    <row r="1846" spans="1:11" x14ac:dyDescent="0.25">
      <c r="A1846" s="1" t="s">
        <v>5838</v>
      </c>
      <c r="B1846" s="1" t="s">
        <v>5839</v>
      </c>
      <c r="D1846" s="1" t="s">
        <v>5840</v>
      </c>
      <c r="E1846" s="1" t="s">
        <v>209</v>
      </c>
      <c r="F1846" s="1" t="s">
        <v>5017</v>
      </c>
      <c r="G1846" s="1" t="s">
        <v>5018</v>
      </c>
      <c r="H1846" s="1">
        <v>0.1</v>
      </c>
      <c r="I1846" s="1">
        <v>0.1</v>
      </c>
      <c r="J1846" s="1">
        <v>0.70856178572705697</v>
      </c>
      <c r="K1846" s="1" t="s">
        <v>181</v>
      </c>
    </row>
    <row r="1847" spans="1:11" x14ac:dyDescent="0.25">
      <c r="A1847" s="1" t="s">
        <v>5841</v>
      </c>
      <c r="B1847" s="1" t="s">
        <v>5842</v>
      </c>
      <c r="D1847" s="1" t="s">
        <v>5843</v>
      </c>
      <c r="E1847" s="1" t="s">
        <v>209</v>
      </c>
      <c r="F1847" s="1" t="s">
        <v>5017</v>
      </c>
      <c r="G1847" s="1" t="s">
        <v>5018</v>
      </c>
      <c r="H1847" s="1">
        <v>0.1</v>
      </c>
      <c r="I1847" s="1">
        <v>0.1</v>
      </c>
      <c r="J1847" s="1">
        <v>0.56135713646008245</v>
      </c>
      <c r="K1847" s="1" t="s">
        <v>181</v>
      </c>
    </row>
    <row r="1848" spans="1:11" x14ac:dyDescent="0.25">
      <c r="A1848" s="1" t="s">
        <v>5844</v>
      </c>
      <c r="B1848" s="1" t="s">
        <v>5845</v>
      </c>
      <c r="D1848" s="1" t="s">
        <v>5846</v>
      </c>
      <c r="E1848" s="1" t="s">
        <v>209</v>
      </c>
      <c r="F1848" s="1" t="s">
        <v>5017</v>
      </c>
      <c r="G1848" s="1" t="s">
        <v>5018</v>
      </c>
      <c r="H1848" s="1">
        <v>0.1</v>
      </c>
      <c r="I1848" s="1">
        <v>0.1</v>
      </c>
      <c r="J1848" s="1">
        <v>0.55949693654356492</v>
      </c>
      <c r="K1848" s="1" t="s">
        <v>181</v>
      </c>
    </row>
    <row r="1849" spans="1:11" x14ac:dyDescent="0.25">
      <c r="A1849" s="1" t="s">
        <v>5847</v>
      </c>
      <c r="B1849" s="1" t="s">
        <v>5848</v>
      </c>
      <c r="D1849" s="1" t="s">
        <v>5849</v>
      </c>
      <c r="E1849" s="1" t="s">
        <v>209</v>
      </c>
      <c r="F1849" s="1" t="s">
        <v>5017</v>
      </c>
      <c r="G1849" s="1" t="s">
        <v>5018</v>
      </c>
      <c r="H1849" s="1">
        <v>0.1</v>
      </c>
      <c r="I1849" s="1">
        <v>0.1</v>
      </c>
      <c r="J1849" s="1">
        <v>0.6285759070910838</v>
      </c>
      <c r="K1849" s="1" t="s">
        <v>181</v>
      </c>
    </row>
    <row r="1850" spans="1:11" x14ac:dyDescent="0.25">
      <c r="A1850" s="1" t="s">
        <v>5850</v>
      </c>
      <c r="B1850" s="1" t="s">
        <v>5851</v>
      </c>
      <c r="D1850" s="1" t="s">
        <v>5852</v>
      </c>
      <c r="E1850" s="1" t="s">
        <v>209</v>
      </c>
      <c r="F1850" s="1" t="s">
        <v>5017</v>
      </c>
      <c r="G1850" s="1" t="s">
        <v>5018</v>
      </c>
      <c r="H1850" s="1">
        <v>0.1</v>
      </c>
      <c r="I1850" s="1">
        <v>0.1</v>
      </c>
      <c r="J1850" s="1">
        <v>0.42527236083664094</v>
      </c>
      <c r="K1850" s="1" t="s">
        <v>181</v>
      </c>
    </row>
    <row r="1851" spans="1:11" x14ac:dyDescent="0.25">
      <c r="A1851" s="1" t="s">
        <v>5853</v>
      </c>
      <c r="B1851" s="1" t="s">
        <v>5854</v>
      </c>
      <c r="D1851" s="1" t="s">
        <v>5855</v>
      </c>
      <c r="E1851" s="1" t="s">
        <v>209</v>
      </c>
      <c r="F1851" s="1" t="s">
        <v>5017</v>
      </c>
      <c r="G1851" s="1" t="s">
        <v>5018</v>
      </c>
      <c r="H1851" s="1">
        <v>0.1</v>
      </c>
      <c r="I1851" s="1">
        <v>0.1</v>
      </c>
      <c r="J1851" s="1">
        <v>0.60297390359056013</v>
      </c>
      <c r="K1851" s="1" t="s">
        <v>181</v>
      </c>
    </row>
    <row r="1852" spans="1:11" x14ac:dyDescent="0.25">
      <c r="A1852" s="1" t="s">
        <v>89</v>
      </c>
      <c r="B1852" s="1" t="s">
        <v>5856</v>
      </c>
      <c r="D1852" s="1" t="s">
        <v>5857</v>
      </c>
      <c r="E1852" s="1" t="s">
        <v>209</v>
      </c>
      <c r="F1852" s="1" t="s">
        <v>5017</v>
      </c>
      <c r="G1852" s="1" t="s">
        <v>5018</v>
      </c>
      <c r="H1852" s="1">
        <v>0.1</v>
      </c>
      <c r="I1852" s="1">
        <v>0.1</v>
      </c>
      <c r="J1852" s="1">
        <v>0.72227777453568187</v>
      </c>
      <c r="K1852" s="1" t="s">
        <v>181</v>
      </c>
    </row>
    <row r="1853" spans="1:11" x14ac:dyDescent="0.25">
      <c r="A1853" s="1" t="s">
        <v>5858</v>
      </c>
      <c r="B1853" s="1" t="s">
        <v>5859</v>
      </c>
      <c r="D1853" s="1" t="s">
        <v>5860</v>
      </c>
      <c r="E1853" s="1" t="s">
        <v>209</v>
      </c>
      <c r="F1853" s="1" t="s">
        <v>5017</v>
      </c>
      <c r="G1853" s="1" t="s">
        <v>5018</v>
      </c>
      <c r="H1853" s="1">
        <v>0.1</v>
      </c>
      <c r="I1853" s="1">
        <v>0.1</v>
      </c>
      <c r="J1853" s="1">
        <v>0.60762661383975725</v>
      </c>
      <c r="K1853" s="1" t="s">
        <v>181</v>
      </c>
    </row>
    <row r="1854" spans="1:11" x14ac:dyDescent="0.25">
      <c r="A1854" s="1" t="s">
        <v>5861</v>
      </c>
      <c r="B1854" s="1" t="s">
        <v>5862</v>
      </c>
      <c r="D1854" s="1" t="s">
        <v>5863</v>
      </c>
      <c r="E1854" s="1" t="s">
        <v>209</v>
      </c>
      <c r="F1854" s="1" t="s">
        <v>5017</v>
      </c>
      <c r="G1854" s="1" t="s">
        <v>5018</v>
      </c>
      <c r="H1854" s="1">
        <v>0.1</v>
      </c>
      <c r="I1854" s="1">
        <v>0.1</v>
      </c>
      <c r="J1854" s="1">
        <v>0.63138950906520008</v>
      </c>
      <c r="K1854" s="1" t="s">
        <v>181</v>
      </c>
    </row>
    <row r="1855" spans="1:11" x14ac:dyDescent="0.25">
      <c r="A1855" s="1" t="s">
        <v>5864</v>
      </c>
      <c r="B1855" s="1" t="s">
        <v>5865</v>
      </c>
      <c r="D1855" s="1" t="s">
        <v>5866</v>
      </c>
      <c r="E1855" s="1" t="s">
        <v>209</v>
      </c>
      <c r="F1855" s="1" t="s">
        <v>5017</v>
      </c>
      <c r="G1855" s="1" t="s">
        <v>5018</v>
      </c>
      <c r="H1855" s="1">
        <v>0.1</v>
      </c>
      <c r="I1855" s="1">
        <v>0.1</v>
      </c>
      <c r="J1855" s="1">
        <v>0.89579936242020108</v>
      </c>
      <c r="K1855" s="1" t="s">
        <v>181</v>
      </c>
    </row>
    <row r="1856" spans="1:11" x14ac:dyDescent="0.25">
      <c r="A1856" s="1" t="s">
        <v>5867</v>
      </c>
      <c r="B1856" s="1" t="s">
        <v>5868</v>
      </c>
      <c r="D1856" s="1" t="s">
        <v>5869</v>
      </c>
      <c r="E1856" s="1" t="s">
        <v>209</v>
      </c>
      <c r="F1856" s="1" t="s">
        <v>5017</v>
      </c>
      <c r="G1856" s="1" t="s">
        <v>5018</v>
      </c>
      <c r="H1856" s="1">
        <v>0.1</v>
      </c>
      <c r="I1856" s="1">
        <v>0.1</v>
      </c>
      <c r="J1856" s="1">
        <v>0.79392762744179768</v>
      </c>
      <c r="K1856" s="1" t="s">
        <v>181</v>
      </c>
    </row>
    <row r="1857" spans="1:11" x14ac:dyDescent="0.25">
      <c r="A1857" s="1" t="s">
        <v>62</v>
      </c>
      <c r="B1857" s="1" t="s">
        <v>5870</v>
      </c>
      <c r="D1857" s="1" t="s">
        <v>5871</v>
      </c>
      <c r="E1857" s="1" t="s">
        <v>209</v>
      </c>
      <c r="F1857" s="1" t="s">
        <v>5017</v>
      </c>
      <c r="G1857" s="1" t="s">
        <v>5018</v>
      </c>
      <c r="H1857" s="1">
        <v>0.1</v>
      </c>
      <c r="I1857" s="1">
        <v>0.1</v>
      </c>
      <c r="J1857" s="1">
        <v>0.9602640257558287</v>
      </c>
      <c r="K1857" s="1" t="s">
        <v>181</v>
      </c>
    </row>
    <row r="1858" spans="1:11" x14ac:dyDescent="0.25">
      <c r="A1858" s="1" t="s">
        <v>5872</v>
      </c>
      <c r="B1858" s="1" t="s">
        <v>5873</v>
      </c>
      <c r="D1858" s="1" t="s">
        <v>5874</v>
      </c>
      <c r="E1858" s="1" t="s">
        <v>209</v>
      </c>
      <c r="F1858" s="1" t="s">
        <v>5017</v>
      </c>
      <c r="G1858" s="1" t="s">
        <v>5018</v>
      </c>
      <c r="H1858" s="1">
        <v>0.1</v>
      </c>
      <c r="I1858" s="1">
        <v>0.1</v>
      </c>
      <c r="J1858" s="1">
        <v>0.65180952955082605</v>
      </c>
      <c r="K1858" s="1" t="s">
        <v>181</v>
      </c>
    </row>
    <row r="1859" spans="1:11" x14ac:dyDescent="0.25">
      <c r="A1859" s="1" t="s">
        <v>5875</v>
      </c>
      <c r="B1859" s="1" t="s">
        <v>5876</v>
      </c>
      <c r="D1859" s="1" t="s">
        <v>5877</v>
      </c>
      <c r="E1859" s="1" t="s">
        <v>209</v>
      </c>
      <c r="F1859" s="1" t="s">
        <v>5017</v>
      </c>
      <c r="G1859" s="1" t="s">
        <v>5018</v>
      </c>
      <c r="H1859" s="1">
        <v>0.1</v>
      </c>
      <c r="I1859" s="1">
        <v>0.1</v>
      </c>
      <c r="J1859" s="1">
        <v>0.83275591806710703</v>
      </c>
      <c r="K1859" s="1" t="s">
        <v>181</v>
      </c>
    </row>
    <row r="1860" spans="1:11" x14ac:dyDescent="0.25">
      <c r="A1860" s="1" t="s">
        <v>5878</v>
      </c>
      <c r="B1860" s="1" t="s">
        <v>5879</v>
      </c>
      <c r="D1860" s="1" t="s">
        <v>5880</v>
      </c>
      <c r="E1860" s="1" t="s">
        <v>209</v>
      </c>
      <c r="F1860" s="1" t="s">
        <v>5017</v>
      </c>
      <c r="G1860" s="1" t="s">
        <v>5018</v>
      </c>
      <c r="H1860" s="1">
        <v>0.1</v>
      </c>
      <c r="I1860" s="1">
        <v>0.1</v>
      </c>
      <c r="J1860" s="1">
        <v>0.76495578922670227</v>
      </c>
      <c r="K1860" s="1" t="s">
        <v>181</v>
      </c>
    </row>
    <row r="1861" spans="1:11" x14ac:dyDescent="0.25">
      <c r="A1861" s="1" t="s">
        <v>5881</v>
      </c>
      <c r="B1861" s="1" t="s">
        <v>5882</v>
      </c>
      <c r="D1861" s="1" t="s">
        <v>5883</v>
      </c>
      <c r="E1861" s="1" t="s">
        <v>209</v>
      </c>
      <c r="F1861" s="1" t="s">
        <v>5017</v>
      </c>
      <c r="G1861" s="1" t="s">
        <v>5018</v>
      </c>
      <c r="H1861" s="1">
        <v>0.1</v>
      </c>
      <c r="I1861" s="1">
        <v>0.1</v>
      </c>
      <c r="J1861" s="1">
        <v>0.75858185746700657</v>
      </c>
      <c r="K1861" s="1" t="s">
        <v>181</v>
      </c>
    </row>
    <row r="1862" spans="1:11" x14ac:dyDescent="0.25">
      <c r="A1862" s="1" t="s">
        <v>5884</v>
      </c>
      <c r="B1862" s="1" t="s">
        <v>5885</v>
      </c>
      <c r="D1862" s="1" t="s">
        <v>5886</v>
      </c>
      <c r="E1862" s="1" t="s">
        <v>209</v>
      </c>
      <c r="F1862" s="1" t="s">
        <v>5017</v>
      </c>
      <c r="G1862" s="1" t="s">
        <v>5018</v>
      </c>
      <c r="H1862" s="1">
        <v>0.1</v>
      </c>
      <c r="I1862" s="1">
        <v>0.1</v>
      </c>
      <c r="J1862" s="1">
        <v>0.72424539003752231</v>
      </c>
      <c r="K1862" s="1" t="s">
        <v>181</v>
      </c>
    </row>
    <row r="1863" spans="1:11" x14ac:dyDescent="0.25">
      <c r="A1863" s="1" t="s">
        <v>5887</v>
      </c>
      <c r="B1863" s="1" t="s">
        <v>5888</v>
      </c>
      <c r="D1863" s="1" t="s">
        <v>5889</v>
      </c>
      <c r="E1863" s="1" t="s">
        <v>209</v>
      </c>
      <c r="F1863" s="1" t="s">
        <v>5017</v>
      </c>
      <c r="G1863" s="1" t="s">
        <v>5018</v>
      </c>
      <c r="H1863" s="1">
        <v>0.1</v>
      </c>
      <c r="I1863" s="1">
        <v>0.1</v>
      </c>
      <c r="J1863" s="1">
        <v>0.57472889117046089</v>
      </c>
      <c r="K1863" s="1" t="s">
        <v>181</v>
      </c>
    </row>
    <row r="1864" spans="1:11" x14ac:dyDescent="0.25">
      <c r="A1864" s="1" t="s">
        <v>5890</v>
      </c>
      <c r="B1864" s="1" t="s">
        <v>5891</v>
      </c>
      <c r="D1864" s="1" t="s">
        <v>5892</v>
      </c>
      <c r="E1864" s="1" t="s">
        <v>209</v>
      </c>
      <c r="F1864" s="1" t="s">
        <v>5017</v>
      </c>
      <c r="G1864" s="1" t="s">
        <v>5018</v>
      </c>
      <c r="H1864" s="1">
        <v>0.1</v>
      </c>
      <c r="I1864" s="1">
        <v>0.1</v>
      </c>
      <c r="J1864" s="1">
        <v>0.67074057737047732</v>
      </c>
      <c r="K1864" s="1" t="s">
        <v>181</v>
      </c>
    </row>
    <row r="1865" spans="1:11" x14ac:dyDescent="0.25">
      <c r="A1865" s="1" t="s">
        <v>5893</v>
      </c>
      <c r="B1865" s="1" t="s">
        <v>5894</v>
      </c>
      <c r="D1865" s="1" t="s">
        <v>5895</v>
      </c>
      <c r="E1865" s="1" t="s">
        <v>209</v>
      </c>
      <c r="F1865" s="1" t="s">
        <v>5017</v>
      </c>
      <c r="G1865" s="1" t="s">
        <v>5018</v>
      </c>
      <c r="H1865" s="1">
        <v>0.1</v>
      </c>
      <c r="I1865" s="1">
        <v>0.1</v>
      </c>
      <c r="J1865" s="1">
        <v>0.75530637821582802</v>
      </c>
      <c r="K1865" s="1" t="s">
        <v>181</v>
      </c>
    </row>
    <row r="1866" spans="1:11" x14ac:dyDescent="0.25">
      <c r="A1866" s="1" t="s">
        <v>5896</v>
      </c>
      <c r="B1866" s="1" t="s">
        <v>5897</v>
      </c>
      <c r="D1866" s="1" t="s">
        <v>5898</v>
      </c>
      <c r="E1866" s="1" t="s">
        <v>209</v>
      </c>
      <c r="F1866" s="1" t="s">
        <v>5017</v>
      </c>
      <c r="G1866" s="1" t="s">
        <v>5018</v>
      </c>
      <c r="H1866" s="1">
        <v>0.1</v>
      </c>
      <c r="I1866" s="1">
        <v>0.1</v>
      </c>
      <c r="J1866" s="1">
        <v>1.0561876039177311</v>
      </c>
      <c r="K1866" s="1" t="s">
        <v>181</v>
      </c>
    </row>
    <row r="1867" spans="1:11" x14ac:dyDescent="0.25">
      <c r="A1867" s="1" t="s">
        <v>5899</v>
      </c>
      <c r="B1867" s="1" t="s">
        <v>5900</v>
      </c>
      <c r="D1867" s="1" t="s">
        <v>5901</v>
      </c>
      <c r="E1867" s="1" t="s">
        <v>209</v>
      </c>
      <c r="F1867" s="1" t="s">
        <v>5017</v>
      </c>
      <c r="G1867" s="1" t="s">
        <v>5018</v>
      </c>
      <c r="H1867" s="1">
        <v>0.1</v>
      </c>
      <c r="I1867" s="1">
        <v>0.1</v>
      </c>
      <c r="J1867" s="1">
        <v>0.65552543851749367</v>
      </c>
      <c r="K1867" s="1" t="s">
        <v>181</v>
      </c>
    </row>
    <row r="1868" spans="1:11" x14ac:dyDescent="0.25">
      <c r="A1868" s="1" t="s">
        <v>5902</v>
      </c>
      <c r="B1868" s="1" t="s">
        <v>5903</v>
      </c>
      <c r="D1868" s="1" t="s">
        <v>5904</v>
      </c>
      <c r="E1868" s="1" t="s">
        <v>209</v>
      </c>
      <c r="F1868" s="1" t="s">
        <v>5017</v>
      </c>
      <c r="G1868" s="1" t="s">
        <v>5018</v>
      </c>
      <c r="H1868" s="1">
        <v>0.1</v>
      </c>
      <c r="I1868" s="1">
        <v>0.1</v>
      </c>
      <c r="J1868" s="1">
        <v>0.6480327528999178</v>
      </c>
      <c r="K1868" s="1" t="s">
        <v>181</v>
      </c>
    </row>
    <row r="1869" spans="1:11" x14ac:dyDescent="0.25">
      <c r="A1869" s="1" t="s">
        <v>5905</v>
      </c>
      <c r="B1869" s="1" t="s">
        <v>5906</v>
      </c>
      <c r="D1869" s="1" t="s">
        <v>5907</v>
      </c>
      <c r="E1869" s="1" t="s">
        <v>209</v>
      </c>
      <c r="F1869" s="1" t="s">
        <v>5017</v>
      </c>
      <c r="G1869" s="1" t="s">
        <v>5018</v>
      </c>
      <c r="H1869" s="1">
        <v>0.1</v>
      </c>
      <c r="I1869" s="1">
        <v>0.1</v>
      </c>
      <c r="J1869" s="1">
        <v>0.56059848754354535</v>
      </c>
      <c r="K1869" s="1" t="s">
        <v>181</v>
      </c>
    </row>
    <row r="1870" spans="1:11" x14ac:dyDescent="0.25">
      <c r="A1870" s="1" t="s">
        <v>5908</v>
      </c>
      <c r="B1870" s="1" t="s">
        <v>5909</v>
      </c>
      <c r="D1870" s="1" t="s">
        <v>5910</v>
      </c>
      <c r="E1870" s="1" t="s">
        <v>209</v>
      </c>
      <c r="F1870" s="1" t="s">
        <v>5017</v>
      </c>
      <c r="G1870" s="1" t="s">
        <v>5018</v>
      </c>
      <c r="H1870" s="1">
        <v>0.1</v>
      </c>
      <c r="I1870" s="1">
        <v>0.1</v>
      </c>
      <c r="J1870" s="1">
        <v>0.46621283395990687</v>
      </c>
      <c r="K1870" s="1" t="s">
        <v>181</v>
      </c>
    </row>
    <row r="1871" spans="1:11" x14ac:dyDescent="0.25">
      <c r="A1871" s="1" t="s">
        <v>5911</v>
      </c>
      <c r="B1871" s="1" t="s">
        <v>5912</v>
      </c>
      <c r="D1871" s="1" t="s">
        <v>5913</v>
      </c>
      <c r="E1871" s="1" t="s">
        <v>209</v>
      </c>
      <c r="F1871" s="1" t="s">
        <v>5017</v>
      </c>
      <c r="G1871" s="1" t="s">
        <v>5018</v>
      </c>
      <c r="H1871" s="1">
        <v>0.1</v>
      </c>
      <c r="I1871" s="1">
        <v>0.1</v>
      </c>
      <c r="J1871" s="1">
        <v>0.88075067544381336</v>
      </c>
      <c r="K1871" s="1" t="s">
        <v>181</v>
      </c>
    </row>
    <row r="1872" spans="1:11" x14ac:dyDescent="0.25">
      <c r="A1872" s="1" t="s">
        <v>5914</v>
      </c>
      <c r="B1872" s="1" t="s">
        <v>5915</v>
      </c>
      <c r="D1872" s="1" t="s">
        <v>5916</v>
      </c>
      <c r="E1872" s="1" t="s">
        <v>209</v>
      </c>
      <c r="F1872" s="1" t="s">
        <v>5017</v>
      </c>
      <c r="G1872" s="1" t="s">
        <v>5018</v>
      </c>
      <c r="H1872" s="1">
        <v>0.1</v>
      </c>
      <c r="I1872" s="1">
        <v>0.1</v>
      </c>
      <c r="J1872" s="1">
        <v>0.58052813347818799</v>
      </c>
      <c r="K1872" s="1" t="s">
        <v>181</v>
      </c>
    </row>
    <row r="1873" spans="1:11" x14ac:dyDescent="0.25">
      <c r="A1873" s="1" t="s">
        <v>5917</v>
      </c>
      <c r="B1873" s="1" t="s">
        <v>5918</v>
      </c>
      <c r="D1873" s="1" t="s">
        <v>5919</v>
      </c>
      <c r="E1873" s="1" t="s">
        <v>209</v>
      </c>
      <c r="F1873" s="1" t="s">
        <v>5017</v>
      </c>
      <c r="G1873" s="1" t="s">
        <v>5018</v>
      </c>
      <c r="H1873" s="1">
        <v>0.1</v>
      </c>
      <c r="I1873" s="1">
        <v>0.1</v>
      </c>
      <c r="J1873" s="1">
        <v>0.59123267191667173</v>
      </c>
      <c r="K1873" s="1" t="s">
        <v>181</v>
      </c>
    </row>
    <row r="1874" spans="1:11" x14ac:dyDescent="0.25">
      <c r="A1874" s="1" t="s">
        <v>5920</v>
      </c>
      <c r="B1874" s="1" t="s">
        <v>5921</v>
      </c>
      <c r="D1874" s="1" t="s">
        <v>5922</v>
      </c>
      <c r="E1874" s="1" t="s">
        <v>209</v>
      </c>
      <c r="F1874" s="1" t="s">
        <v>5017</v>
      </c>
      <c r="G1874" s="1" t="s">
        <v>5018</v>
      </c>
      <c r="H1874" s="1">
        <v>0.1</v>
      </c>
      <c r="I1874" s="1">
        <v>0.1</v>
      </c>
      <c r="J1874" s="1">
        <v>0.67717934629533594</v>
      </c>
      <c r="K1874" s="1" t="s">
        <v>181</v>
      </c>
    </row>
    <row r="1875" spans="1:11" x14ac:dyDescent="0.25">
      <c r="A1875" s="1" t="s">
        <v>5923</v>
      </c>
      <c r="B1875" s="1" t="s">
        <v>5924</v>
      </c>
      <c r="D1875" s="1" t="s">
        <v>5925</v>
      </c>
      <c r="E1875" s="1" t="s">
        <v>209</v>
      </c>
      <c r="F1875" s="1" t="s">
        <v>5017</v>
      </c>
      <c r="G1875" s="1" t="s">
        <v>5018</v>
      </c>
      <c r="H1875" s="1">
        <v>0.1</v>
      </c>
      <c r="I1875" s="1">
        <v>0.1</v>
      </c>
      <c r="J1875" s="1">
        <v>0.41972461913195402</v>
      </c>
      <c r="K1875" s="1" t="s">
        <v>181</v>
      </c>
    </row>
    <row r="1876" spans="1:11" x14ac:dyDescent="0.25">
      <c r="A1876" s="1" t="s">
        <v>5926</v>
      </c>
      <c r="B1876" s="1" t="s">
        <v>5927</v>
      </c>
      <c r="D1876" s="1" t="s">
        <v>5928</v>
      </c>
      <c r="E1876" s="1" t="s">
        <v>209</v>
      </c>
      <c r="F1876" s="1" t="s">
        <v>5017</v>
      </c>
      <c r="G1876" s="1" t="s">
        <v>5018</v>
      </c>
      <c r="H1876" s="1">
        <v>0.1</v>
      </c>
      <c r="I1876" s="1">
        <v>0.1</v>
      </c>
      <c r="J1876" s="1">
        <v>0.73868619341280339</v>
      </c>
      <c r="K1876" s="1" t="s">
        <v>181</v>
      </c>
    </row>
    <row r="1877" spans="1:11" x14ac:dyDescent="0.25">
      <c r="A1877" s="1" t="s">
        <v>5929</v>
      </c>
      <c r="B1877" s="1" t="s">
        <v>5930</v>
      </c>
      <c r="D1877" s="1" t="s">
        <v>5931</v>
      </c>
      <c r="E1877" s="1" t="s">
        <v>209</v>
      </c>
      <c r="F1877" s="1" t="s">
        <v>5017</v>
      </c>
      <c r="G1877" s="1" t="s">
        <v>5018</v>
      </c>
      <c r="H1877" s="1">
        <v>0.1</v>
      </c>
      <c r="I1877" s="1">
        <v>0.1</v>
      </c>
      <c r="J1877" s="1">
        <v>0.56465699548575299</v>
      </c>
      <c r="K1877" s="1" t="s">
        <v>181</v>
      </c>
    </row>
    <row r="1878" spans="1:11" x14ac:dyDescent="0.25">
      <c r="A1878" s="1" t="s">
        <v>5932</v>
      </c>
      <c r="B1878" s="1" t="s">
        <v>5933</v>
      </c>
      <c r="D1878" s="1" t="s">
        <v>5934</v>
      </c>
      <c r="E1878" s="1" t="s">
        <v>209</v>
      </c>
      <c r="F1878" s="1" t="s">
        <v>5017</v>
      </c>
      <c r="G1878" s="1" t="s">
        <v>5018</v>
      </c>
      <c r="H1878" s="1">
        <v>0.1</v>
      </c>
      <c r="I1878" s="1">
        <v>0.1</v>
      </c>
      <c r="J1878" s="1">
        <v>0.46403777975289517</v>
      </c>
      <c r="K1878" s="1" t="s">
        <v>181</v>
      </c>
    </row>
    <row r="1879" spans="1:11" x14ac:dyDescent="0.25">
      <c r="A1879" s="1" t="s">
        <v>5935</v>
      </c>
      <c r="B1879" s="1" t="s">
        <v>5936</v>
      </c>
      <c r="D1879" s="1" t="s">
        <v>5937</v>
      </c>
      <c r="E1879" s="1" t="s">
        <v>209</v>
      </c>
      <c r="F1879" s="1" t="s">
        <v>5017</v>
      </c>
      <c r="G1879" s="1" t="s">
        <v>5018</v>
      </c>
      <c r="H1879" s="1">
        <v>0.1</v>
      </c>
      <c r="I1879" s="1">
        <v>0.1</v>
      </c>
      <c r="J1879" s="1">
        <v>0.71199381875550605</v>
      </c>
      <c r="K1879" s="1" t="s">
        <v>181</v>
      </c>
    </row>
    <row r="1880" spans="1:11" x14ac:dyDescent="0.25">
      <c r="A1880" s="1" t="s">
        <v>64</v>
      </c>
      <c r="B1880" s="1" t="s">
        <v>5938</v>
      </c>
      <c r="D1880" s="1" t="s">
        <v>5939</v>
      </c>
      <c r="E1880" s="1" t="s">
        <v>209</v>
      </c>
      <c r="F1880" s="1" t="s">
        <v>5017</v>
      </c>
      <c r="G1880" s="1" t="s">
        <v>5018</v>
      </c>
      <c r="H1880" s="1">
        <v>0.1</v>
      </c>
      <c r="I1880" s="1">
        <v>0.1</v>
      </c>
      <c r="J1880" s="1">
        <v>0.68463592741490398</v>
      </c>
      <c r="K1880" s="1" t="s">
        <v>181</v>
      </c>
    </row>
    <row r="1881" spans="1:11" x14ac:dyDescent="0.25">
      <c r="A1881" s="1" t="s">
        <v>5940</v>
      </c>
      <c r="B1881" s="1" t="s">
        <v>5941</v>
      </c>
      <c r="D1881" s="1" t="s">
        <v>5942</v>
      </c>
      <c r="E1881" s="1" t="s">
        <v>209</v>
      </c>
      <c r="F1881" s="1" t="s">
        <v>5017</v>
      </c>
      <c r="G1881" s="1" t="s">
        <v>5018</v>
      </c>
      <c r="H1881" s="1">
        <v>0.1</v>
      </c>
      <c r="I1881" s="1">
        <v>0.1</v>
      </c>
      <c r="J1881" s="1">
        <v>0.61945287743239341</v>
      </c>
      <c r="K1881" s="1" t="s">
        <v>181</v>
      </c>
    </row>
    <row r="1882" spans="1:11" x14ac:dyDescent="0.25">
      <c r="A1882" s="1" t="s">
        <v>5943</v>
      </c>
      <c r="B1882" s="1" t="s">
        <v>5944</v>
      </c>
      <c r="D1882" s="1" t="s">
        <v>5945</v>
      </c>
      <c r="E1882" s="1" t="s">
        <v>209</v>
      </c>
      <c r="F1882" s="1" t="s">
        <v>5017</v>
      </c>
      <c r="G1882" s="1" t="s">
        <v>5018</v>
      </c>
      <c r="H1882" s="1">
        <v>0.1</v>
      </c>
      <c r="I1882" s="1">
        <v>0.1</v>
      </c>
      <c r="J1882" s="1">
        <v>0.83263045133816604</v>
      </c>
      <c r="K1882" s="1" t="s">
        <v>181</v>
      </c>
    </row>
    <row r="1883" spans="1:11" x14ac:dyDescent="0.25">
      <c r="A1883" s="1" t="s">
        <v>5946</v>
      </c>
      <c r="B1883" s="1" t="s">
        <v>5947</v>
      </c>
      <c r="D1883" s="1" t="s">
        <v>5948</v>
      </c>
      <c r="E1883" s="1" t="s">
        <v>209</v>
      </c>
      <c r="F1883" s="1" t="s">
        <v>5017</v>
      </c>
      <c r="G1883" s="1" t="s">
        <v>5018</v>
      </c>
      <c r="H1883" s="1">
        <v>0.1</v>
      </c>
      <c r="I1883" s="1">
        <v>0.1</v>
      </c>
      <c r="J1883" s="1">
        <v>0.77042533019503157</v>
      </c>
      <c r="K1883" s="1" t="s">
        <v>181</v>
      </c>
    </row>
    <row r="1884" spans="1:11" x14ac:dyDescent="0.25">
      <c r="A1884" s="1" t="s">
        <v>5949</v>
      </c>
      <c r="B1884" s="1" t="s">
        <v>5950</v>
      </c>
      <c r="D1884" s="1" t="s">
        <v>5951</v>
      </c>
      <c r="E1884" s="1" t="s">
        <v>209</v>
      </c>
      <c r="F1884" s="1" t="s">
        <v>5017</v>
      </c>
      <c r="G1884" s="1" t="s">
        <v>5018</v>
      </c>
      <c r="H1884" s="1">
        <v>0.1</v>
      </c>
      <c r="I1884" s="1">
        <v>0.1</v>
      </c>
      <c r="J1884" s="1">
        <v>0.7496009751971906</v>
      </c>
      <c r="K1884" s="1" t="s">
        <v>181</v>
      </c>
    </row>
    <row r="1885" spans="1:11" x14ac:dyDescent="0.25">
      <c r="A1885" s="1" t="s">
        <v>5952</v>
      </c>
      <c r="B1885" s="1" t="s">
        <v>5953</v>
      </c>
      <c r="D1885" s="1" t="s">
        <v>5954</v>
      </c>
      <c r="E1885" s="1" t="s">
        <v>209</v>
      </c>
      <c r="F1885" s="1" t="s">
        <v>5017</v>
      </c>
      <c r="G1885" s="1" t="s">
        <v>5018</v>
      </c>
      <c r="H1885" s="1">
        <v>0.1</v>
      </c>
      <c r="I1885" s="1">
        <v>0.1</v>
      </c>
      <c r="J1885" s="1">
        <v>0.7205277769618168</v>
      </c>
      <c r="K1885" s="1" t="s">
        <v>181</v>
      </c>
    </row>
    <row r="1886" spans="1:11" x14ac:dyDescent="0.25">
      <c r="A1886" s="1" t="s">
        <v>5955</v>
      </c>
      <c r="B1886" s="1" t="s">
        <v>5956</v>
      </c>
      <c r="D1886" s="1" t="s">
        <v>5957</v>
      </c>
      <c r="E1886" s="1" t="s">
        <v>209</v>
      </c>
      <c r="F1886" s="1" t="s">
        <v>5017</v>
      </c>
      <c r="G1886" s="1" t="s">
        <v>5018</v>
      </c>
      <c r="H1886" s="1">
        <v>0.1</v>
      </c>
      <c r="I1886" s="1">
        <v>0.1</v>
      </c>
      <c r="J1886" s="1">
        <v>0.82486630456360133</v>
      </c>
      <c r="K1886" s="1" t="s">
        <v>181</v>
      </c>
    </row>
    <row r="1887" spans="1:11" x14ac:dyDescent="0.25">
      <c r="A1887" s="1" t="s">
        <v>5958</v>
      </c>
      <c r="B1887" s="1" t="s">
        <v>5959</v>
      </c>
      <c r="D1887" s="1" t="s">
        <v>5960</v>
      </c>
      <c r="E1887" s="1" t="s">
        <v>209</v>
      </c>
      <c r="F1887" s="1" t="s">
        <v>5017</v>
      </c>
      <c r="G1887" s="1" t="s">
        <v>5018</v>
      </c>
      <c r="H1887" s="1">
        <v>0.1</v>
      </c>
      <c r="I1887" s="1">
        <v>0.1</v>
      </c>
      <c r="J1887" s="1">
        <v>0.78157219772711328</v>
      </c>
      <c r="K1887" s="1" t="s">
        <v>181</v>
      </c>
    </row>
    <row r="1888" spans="1:11" x14ac:dyDescent="0.25">
      <c r="A1888" s="1" t="s">
        <v>5961</v>
      </c>
      <c r="B1888" s="1" t="s">
        <v>5962</v>
      </c>
      <c r="D1888" s="1" t="s">
        <v>5963</v>
      </c>
      <c r="E1888" s="1" t="s">
        <v>209</v>
      </c>
      <c r="F1888" s="1" t="s">
        <v>5017</v>
      </c>
      <c r="G1888" s="1" t="s">
        <v>5018</v>
      </c>
      <c r="H1888" s="1">
        <v>0.1</v>
      </c>
      <c r="I1888" s="1">
        <v>0.1</v>
      </c>
      <c r="J1888" s="1">
        <v>0.87346240659701413</v>
      </c>
      <c r="K1888" s="1" t="s">
        <v>181</v>
      </c>
    </row>
    <row r="1889" spans="1:11" x14ac:dyDescent="0.25">
      <c r="A1889" s="1" t="s">
        <v>5964</v>
      </c>
      <c r="B1889" s="1" t="s">
        <v>5965</v>
      </c>
      <c r="D1889" s="1" t="s">
        <v>5966</v>
      </c>
      <c r="E1889" s="1" t="s">
        <v>209</v>
      </c>
      <c r="F1889" s="1" t="s">
        <v>5017</v>
      </c>
      <c r="G1889" s="1" t="s">
        <v>5018</v>
      </c>
      <c r="H1889" s="1">
        <v>0.1</v>
      </c>
      <c r="I1889" s="1">
        <v>0.1</v>
      </c>
      <c r="J1889" s="1">
        <v>0.89524598687118451</v>
      </c>
      <c r="K1889" s="1" t="s">
        <v>181</v>
      </c>
    </row>
    <row r="1890" spans="1:11" x14ac:dyDescent="0.25">
      <c r="A1890" s="1" t="s">
        <v>5967</v>
      </c>
      <c r="B1890" s="1" t="s">
        <v>5968</v>
      </c>
      <c r="D1890" s="1" t="s">
        <v>5969</v>
      </c>
      <c r="E1890" s="1" t="s">
        <v>209</v>
      </c>
      <c r="F1890" s="1" t="s">
        <v>5017</v>
      </c>
      <c r="G1890" s="1" t="s">
        <v>5018</v>
      </c>
      <c r="H1890" s="1">
        <v>0.1</v>
      </c>
      <c r="I1890" s="1">
        <v>0.1</v>
      </c>
      <c r="J1890" s="1">
        <v>0.85768025788133539</v>
      </c>
      <c r="K1890" s="1" t="s">
        <v>181</v>
      </c>
    </row>
    <row r="1891" spans="1:11" x14ac:dyDescent="0.25">
      <c r="A1891" s="1" t="s">
        <v>5970</v>
      </c>
      <c r="B1891" s="1" t="s">
        <v>5971</v>
      </c>
      <c r="D1891" s="1" t="s">
        <v>5972</v>
      </c>
      <c r="E1891" s="1" t="s">
        <v>209</v>
      </c>
      <c r="F1891" s="1" t="s">
        <v>5017</v>
      </c>
      <c r="G1891" s="1" t="s">
        <v>5018</v>
      </c>
      <c r="H1891" s="1">
        <v>0.1</v>
      </c>
      <c r="I1891" s="1">
        <v>0.1</v>
      </c>
      <c r="J1891" s="1">
        <v>0.77549119512542297</v>
      </c>
      <c r="K1891" s="1" t="s">
        <v>181</v>
      </c>
    </row>
    <row r="1892" spans="1:11" x14ac:dyDescent="0.25">
      <c r="A1892" s="1" t="s">
        <v>5973</v>
      </c>
      <c r="B1892" s="1" t="s">
        <v>5974</v>
      </c>
      <c r="D1892" s="1" t="s">
        <v>5975</v>
      </c>
      <c r="E1892" s="1" t="s">
        <v>209</v>
      </c>
      <c r="F1892" s="1" t="s">
        <v>5017</v>
      </c>
      <c r="G1892" s="1" t="s">
        <v>5018</v>
      </c>
      <c r="H1892" s="1">
        <v>0.1</v>
      </c>
      <c r="I1892" s="1">
        <v>0.1</v>
      </c>
      <c r="J1892" s="1">
        <v>0.76282591720029691</v>
      </c>
      <c r="K1892" s="1" t="s">
        <v>181</v>
      </c>
    </row>
    <row r="1893" spans="1:11" x14ac:dyDescent="0.25">
      <c r="A1893" s="1" t="s">
        <v>5976</v>
      </c>
      <c r="B1893" s="1" t="s">
        <v>5977</v>
      </c>
      <c r="D1893" s="1" t="s">
        <v>5978</v>
      </c>
      <c r="E1893" s="1" t="s">
        <v>209</v>
      </c>
      <c r="F1893" s="1" t="s">
        <v>5017</v>
      </c>
      <c r="G1893" s="1" t="s">
        <v>5018</v>
      </c>
      <c r="H1893" s="1">
        <v>0.1</v>
      </c>
      <c r="I1893" s="1">
        <v>0.1</v>
      </c>
      <c r="J1893" s="1">
        <v>0.79529394576823342</v>
      </c>
      <c r="K1893" s="1" t="s">
        <v>181</v>
      </c>
    </row>
    <row r="1894" spans="1:11" x14ac:dyDescent="0.25">
      <c r="A1894" s="1" t="s">
        <v>5979</v>
      </c>
      <c r="B1894" s="1" t="s">
        <v>5980</v>
      </c>
      <c r="D1894" s="1" t="s">
        <v>5981</v>
      </c>
      <c r="E1894" s="1" t="s">
        <v>209</v>
      </c>
      <c r="F1894" s="1" t="s">
        <v>5017</v>
      </c>
      <c r="G1894" s="1" t="s">
        <v>5018</v>
      </c>
      <c r="H1894" s="1">
        <v>0.1</v>
      </c>
      <c r="I1894" s="1">
        <v>0.1</v>
      </c>
      <c r="J1894" s="1">
        <v>0.69181583834638305</v>
      </c>
      <c r="K1894" s="1" t="s">
        <v>181</v>
      </c>
    </row>
    <row r="1895" spans="1:11" x14ac:dyDescent="0.25">
      <c r="A1895" s="1" t="s">
        <v>5982</v>
      </c>
      <c r="B1895" s="1" t="s">
        <v>5983</v>
      </c>
      <c r="D1895" s="1" t="s">
        <v>5984</v>
      </c>
      <c r="E1895" s="1" t="s">
        <v>209</v>
      </c>
      <c r="F1895" s="1" t="s">
        <v>5017</v>
      </c>
      <c r="G1895" s="1" t="s">
        <v>5018</v>
      </c>
      <c r="H1895" s="1">
        <v>0.1</v>
      </c>
      <c r="I1895" s="1">
        <v>0.1</v>
      </c>
      <c r="J1895" s="1">
        <v>0.76972025302563996</v>
      </c>
      <c r="K1895" s="1" t="s">
        <v>181</v>
      </c>
    </row>
    <row r="1896" spans="1:11" x14ac:dyDescent="0.25">
      <c r="A1896" s="1" t="s">
        <v>5985</v>
      </c>
      <c r="B1896" s="1" t="s">
        <v>5986</v>
      </c>
      <c r="D1896" s="1" t="s">
        <v>5987</v>
      </c>
      <c r="E1896" s="1" t="s">
        <v>209</v>
      </c>
      <c r="F1896" s="1" t="s">
        <v>5017</v>
      </c>
      <c r="G1896" s="1" t="s">
        <v>5018</v>
      </c>
      <c r="H1896" s="1">
        <v>0.1</v>
      </c>
      <c r="I1896" s="1">
        <v>0.1</v>
      </c>
      <c r="J1896" s="1">
        <v>0.82966801448958905</v>
      </c>
      <c r="K1896" s="1" t="s">
        <v>181</v>
      </c>
    </row>
    <row r="1897" spans="1:11" x14ac:dyDescent="0.25">
      <c r="A1897" s="1" t="s">
        <v>5988</v>
      </c>
      <c r="B1897" s="1" t="s">
        <v>5989</v>
      </c>
      <c r="D1897" s="1" t="s">
        <v>5990</v>
      </c>
      <c r="E1897" s="1" t="s">
        <v>209</v>
      </c>
      <c r="F1897" s="1" t="s">
        <v>5017</v>
      </c>
      <c r="G1897" s="1" t="s">
        <v>5018</v>
      </c>
      <c r="H1897" s="1">
        <v>0.1</v>
      </c>
      <c r="I1897" s="1">
        <v>0.1</v>
      </c>
      <c r="J1897" s="1">
        <v>0.87988559875105266</v>
      </c>
      <c r="K1897" s="1" t="s">
        <v>181</v>
      </c>
    </row>
    <row r="1898" spans="1:11" x14ac:dyDescent="0.25">
      <c r="A1898" s="1" t="s">
        <v>5991</v>
      </c>
      <c r="B1898" s="1" t="s">
        <v>5992</v>
      </c>
      <c r="D1898" s="1" t="s">
        <v>5993</v>
      </c>
      <c r="E1898" s="1" t="s">
        <v>209</v>
      </c>
      <c r="F1898" s="1" t="s">
        <v>5017</v>
      </c>
      <c r="G1898" s="1" t="s">
        <v>5018</v>
      </c>
      <c r="H1898" s="1">
        <v>0.1</v>
      </c>
      <c r="I1898" s="1">
        <v>0.1</v>
      </c>
      <c r="J1898" s="1">
        <v>0.87759067254243517</v>
      </c>
      <c r="K1898" s="1" t="s">
        <v>181</v>
      </c>
    </row>
    <row r="1899" spans="1:11" x14ac:dyDescent="0.25">
      <c r="A1899" s="1" t="s">
        <v>5994</v>
      </c>
      <c r="B1899" s="1" t="s">
        <v>5995</v>
      </c>
      <c r="D1899" s="1" t="s">
        <v>5996</v>
      </c>
      <c r="E1899" s="1" t="s">
        <v>209</v>
      </c>
      <c r="F1899" s="1" t="s">
        <v>5017</v>
      </c>
      <c r="G1899" s="1" t="s">
        <v>5018</v>
      </c>
      <c r="H1899" s="1">
        <v>0.1</v>
      </c>
      <c r="I1899" s="1">
        <v>0.1</v>
      </c>
      <c r="J1899" s="1">
        <v>0.94044199898379655</v>
      </c>
      <c r="K1899" s="1" t="s">
        <v>181</v>
      </c>
    </row>
    <row r="1900" spans="1:11" x14ac:dyDescent="0.25">
      <c r="A1900" s="1" t="s">
        <v>5997</v>
      </c>
      <c r="B1900" s="1" t="s">
        <v>5998</v>
      </c>
      <c r="D1900" s="1" t="s">
        <v>5999</v>
      </c>
      <c r="E1900" s="1" t="s">
        <v>209</v>
      </c>
      <c r="F1900" s="1" t="s">
        <v>5017</v>
      </c>
      <c r="G1900" s="1" t="s">
        <v>5018</v>
      </c>
      <c r="H1900" s="1">
        <v>0.1</v>
      </c>
      <c r="I1900" s="1">
        <v>0.1</v>
      </c>
      <c r="J1900" s="1">
        <v>0.72476855311536981</v>
      </c>
      <c r="K1900" s="1" t="s">
        <v>181</v>
      </c>
    </row>
    <row r="1901" spans="1:11" x14ac:dyDescent="0.25">
      <c r="A1901" s="1" t="s">
        <v>6000</v>
      </c>
      <c r="B1901" s="1" t="s">
        <v>6001</v>
      </c>
      <c r="D1901" s="1" t="s">
        <v>6002</v>
      </c>
      <c r="E1901" s="1" t="s">
        <v>209</v>
      </c>
      <c r="F1901" s="1" t="s">
        <v>5017</v>
      </c>
      <c r="G1901" s="1" t="s">
        <v>5018</v>
      </c>
      <c r="H1901" s="1">
        <v>0.1</v>
      </c>
      <c r="I1901" s="1">
        <v>0.1</v>
      </c>
      <c r="J1901" s="1">
        <v>0.5165377173158453</v>
      </c>
      <c r="K1901" s="1" t="s">
        <v>181</v>
      </c>
    </row>
    <row r="1902" spans="1:11" x14ac:dyDescent="0.25">
      <c r="A1902" s="1" t="s">
        <v>6003</v>
      </c>
      <c r="B1902" s="1" t="s">
        <v>6004</v>
      </c>
      <c r="D1902" s="1" t="s">
        <v>6005</v>
      </c>
      <c r="E1902" s="1" t="s">
        <v>209</v>
      </c>
      <c r="F1902" s="1" t="s">
        <v>5017</v>
      </c>
      <c r="G1902" s="1" t="s">
        <v>5018</v>
      </c>
      <c r="H1902" s="1">
        <v>0.1</v>
      </c>
      <c r="I1902" s="1">
        <v>0.1</v>
      </c>
      <c r="J1902" s="1">
        <v>0.66235278845401713</v>
      </c>
      <c r="K1902" s="1" t="s">
        <v>181</v>
      </c>
    </row>
    <row r="1903" spans="1:11" x14ac:dyDescent="0.25">
      <c r="A1903" s="1" t="s">
        <v>6006</v>
      </c>
      <c r="B1903" s="1" t="s">
        <v>6007</v>
      </c>
      <c r="D1903" s="1" t="s">
        <v>6008</v>
      </c>
      <c r="E1903" s="1" t="s">
        <v>209</v>
      </c>
      <c r="F1903" s="1" t="s">
        <v>5017</v>
      </c>
      <c r="G1903" s="1" t="s">
        <v>5018</v>
      </c>
      <c r="H1903" s="1">
        <v>0.1</v>
      </c>
      <c r="I1903" s="1">
        <v>0.1</v>
      </c>
      <c r="J1903" s="1">
        <v>0.9038594795383299</v>
      </c>
      <c r="K1903" s="1" t="s">
        <v>181</v>
      </c>
    </row>
    <row r="1904" spans="1:11" x14ac:dyDescent="0.25">
      <c r="A1904" s="1" t="s">
        <v>6009</v>
      </c>
      <c r="B1904" s="1" t="s">
        <v>6010</v>
      </c>
      <c r="D1904" s="1" t="s">
        <v>6011</v>
      </c>
      <c r="E1904" s="1" t="s">
        <v>209</v>
      </c>
      <c r="F1904" s="1" t="s">
        <v>5017</v>
      </c>
      <c r="G1904" s="1" t="s">
        <v>5018</v>
      </c>
      <c r="H1904" s="1">
        <v>0.1</v>
      </c>
      <c r="I1904" s="1">
        <v>0.1</v>
      </c>
      <c r="J1904" s="1">
        <v>0.66849404427789583</v>
      </c>
      <c r="K1904" s="1" t="s">
        <v>181</v>
      </c>
    </row>
    <row r="1905" spans="1:11" x14ac:dyDescent="0.25">
      <c r="A1905" s="1" t="s">
        <v>6012</v>
      </c>
      <c r="B1905" s="1" t="s">
        <v>6013</v>
      </c>
      <c r="D1905" s="1" t="s">
        <v>6014</v>
      </c>
      <c r="E1905" s="1" t="s">
        <v>209</v>
      </c>
      <c r="F1905" s="1" t="s">
        <v>5017</v>
      </c>
      <c r="G1905" s="1" t="s">
        <v>5018</v>
      </c>
      <c r="H1905" s="1">
        <v>0.1</v>
      </c>
      <c r="I1905" s="1">
        <v>0.1</v>
      </c>
      <c r="J1905" s="1">
        <v>0.59359743327284209</v>
      </c>
      <c r="K1905" s="1" t="s">
        <v>181</v>
      </c>
    </row>
    <row r="1906" spans="1:11" x14ac:dyDescent="0.25">
      <c r="A1906" s="1" t="s">
        <v>6015</v>
      </c>
      <c r="B1906" s="1" t="s">
        <v>6016</v>
      </c>
      <c r="D1906" s="1" t="s">
        <v>6017</v>
      </c>
      <c r="E1906" s="1" t="s">
        <v>209</v>
      </c>
      <c r="F1906" s="1" t="s">
        <v>5017</v>
      </c>
      <c r="G1906" s="1" t="s">
        <v>5018</v>
      </c>
      <c r="H1906" s="1">
        <v>0.1</v>
      </c>
      <c r="I1906" s="1">
        <v>0.1</v>
      </c>
      <c r="J1906" s="1">
        <v>0.69408193225778636</v>
      </c>
      <c r="K1906" s="1" t="s">
        <v>181</v>
      </c>
    </row>
    <row r="1907" spans="1:11" x14ac:dyDescent="0.25">
      <c r="A1907" s="1" t="s">
        <v>6018</v>
      </c>
      <c r="B1907" s="1" t="s">
        <v>6019</v>
      </c>
      <c r="D1907" s="1" t="s">
        <v>6020</v>
      </c>
      <c r="E1907" s="1" t="s">
        <v>209</v>
      </c>
      <c r="F1907" s="1" t="s">
        <v>5017</v>
      </c>
      <c r="G1907" s="1" t="s">
        <v>5018</v>
      </c>
      <c r="H1907" s="1">
        <v>0.1</v>
      </c>
      <c r="I1907" s="1">
        <v>0.1</v>
      </c>
      <c r="J1907" s="1">
        <v>0.82778775523328374</v>
      </c>
      <c r="K1907" s="1" t="s">
        <v>181</v>
      </c>
    </row>
    <row r="1908" spans="1:11" x14ac:dyDescent="0.25">
      <c r="A1908" s="1" t="s">
        <v>6021</v>
      </c>
      <c r="B1908" s="1" t="s">
        <v>6022</v>
      </c>
      <c r="D1908" s="1" t="s">
        <v>6023</v>
      </c>
      <c r="E1908" s="1" t="s">
        <v>209</v>
      </c>
      <c r="F1908" s="1" t="s">
        <v>5017</v>
      </c>
      <c r="G1908" s="1" t="s">
        <v>5018</v>
      </c>
      <c r="H1908" s="1">
        <v>0.1</v>
      </c>
      <c r="I1908" s="1">
        <v>0.1</v>
      </c>
      <c r="J1908" s="1">
        <v>0.71920826005399985</v>
      </c>
      <c r="K1908" s="1" t="s">
        <v>181</v>
      </c>
    </row>
    <row r="1909" spans="1:11" x14ac:dyDescent="0.25">
      <c r="A1909" s="1" t="s">
        <v>6024</v>
      </c>
      <c r="B1909" s="1" t="s">
        <v>6025</v>
      </c>
      <c r="D1909" s="1" t="s">
        <v>6026</v>
      </c>
      <c r="E1909" s="1" t="s">
        <v>209</v>
      </c>
      <c r="F1909" s="1" t="s">
        <v>5017</v>
      </c>
      <c r="G1909" s="1" t="s">
        <v>5018</v>
      </c>
      <c r="H1909" s="1">
        <v>0.1</v>
      </c>
      <c r="I1909" s="1">
        <v>0.1</v>
      </c>
      <c r="J1909" s="1">
        <v>0.56500801787202448</v>
      </c>
      <c r="K1909" s="1" t="s">
        <v>181</v>
      </c>
    </row>
    <row r="1910" spans="1:11" x14ac:dyDescent="0.25">
      <c r="A1910" s="1" t="s">
        <v>6027</v>
      </c>
      <c r="B1910" s="1" t="s">
        <v>6028</v>
      </c>
      <c r="D1910" s="1" t="s">
        <v>6029</v>
      </c>
      <c r="E1910" s="1" t="s">
        <v>209</v>
      </c>
      <c r="F1910" s="1" t="s">
        <v>5017</v>
      </c>
      <c r="G1910" s="1" t="s">
        <v>5018</v>
      </c>
      <c r="H1910" s="1">
        <v>0.1</v>
      </c>
      <c r="I1910" s="1">
        <v>0.1</v>
      </c>
      <c r="J1910" s="1">
        <v>0.62254426538089258</v>
      </c>
      <c r="K1910" s="1" t="s">
        <v>181</v>
      </c>
    </row>
    <row r="1911" spans="1:11" x14ac:dyDescent="0.25">
      <c r="A1911" s="1" t="s">
        <v>6030</v>
      </c>
      <c r="B1911" s="1" t="s">
        <v>6031</v>
      </c>
      <c r="D1911" s="1" t="s">
        <v>6032</v>
      </c>
      <c r="E1911" s="1" t="s">
        <v>209</v>
      </c>
      <c r="F1911" s="1" t="s">
        <v>5017</v>
      </c>
      <c r="G1911" s="1" t="s">
        <v>5018</v>
      </c>
      <c r="H1911" s="1">
        <v>0.1</v>
      </c>
      <c r="I1911" s="1">
        <v>0.1</v>
      </c>
      <c r="J1911" s="1">
        <v>0.92259232086475362</v>
      </c>
      <c r="K1911" s="1" t="s">
        <v>181</v>
      </c>
    </row>
    <row r="1912" spans="1:11" x14ac:dyDescent="0.25">
      <c r="A1912" s="1" t="s">
        <v>6033</v>
      </c>
      <c r="B1912" s="1" t="s">
        <v>6034</v>
      </c>
      <c r="D1912" s="1" t="s">
        <v>6035</v>
      </c>
      <c r="E1912" s="1" t="s">
        <v>209</v>
      </c>
      <c r="F1912" s="1" t="s">
        <v>5017</v>
      </c>
      <c r="G1912" s="1" t="s">
        <v>5018</v>
      </c>
      <c r="H1912" s="1">
        <v>0.1</v>
      </c>
      <c r="I1912" s="1">
        <v>0.1</v>
      </c>
      <c r="J1912" s="1">
        <v>0.77164821801492967</v>
      </c>
      <c r="K1912" s="1" t="s">
        <v>181</v>
      </c>
    </row>
    <row r="1913" spans="1:11" x14ac:dyDescent="0.25">
      <c r="A1913" s="1" t="s">
        <v>6036</v>
      </c>
      <c r="B1913" s="1" t="s">
        <v>6037</v>
      </c>
      <c r="D1913" s="1" t="s">
        <v>6038</v>
      </c>
      <c r="E1913" s="1" t="s">
        <v>209</v>
      </c>
      <c r="F1913" s="1" t="s">
        <v>5017</v>
      </c>
      <c r="G1913" s="1" t="s">
        <v>5018</v>
      </c>
      <c r="H1913" s="1">
        <v>0.1</v>
      </c>
      <c r="I1913" s="1">
        <v>0.1</v>
      </c>
      <c r="J1913" s="1">
        <v>0.78974318327218329</v>
      </c>
      <c r="K1913" s="1" t="s">
        <v>181</v>
      </c>
    </row>
    <row r="1914" spans="1:11" x14ac:dyDescent="0.25">
      <c r="A1914" s="1" t="s">
        <v>6039</v>
      </c>
      <c r="B1914" s="1" t="s">
        <v>6040</v>
      </c>
      <c r="D1914" s="1" t="s">
        <v>6041</v>
      </c>
      <c r="E1914" s="1" t="s">
        <v>209</v>
      </c>
      <c r="F1914" s="1" t="s">
        <v>5017</v>
      </c>
      <c r="G1914" s="1" t="s">
        <v>5018</v>
      </c>
      <c r="H1914" s="1">
        <v>0.1</v>
      </c>
      <c r="I1914" s="1">
        <v>0.1</v>
      </c>
      <c r="J1914" s="1">
        <v>0.65500265801698054</v>
      </c>
      <c r="K1914" s="1" t="s">
        <v>181</v>
      </c>
    </row>
    <row r="1915" spans="1:11" x14ac:dyDescent="0.25">
      <c r="A1915" s="1" t="s">
        <v>6042</v>
      </c>
      <c r="B1915" s="1" t="s">
        <v>6043</v>
      </c>
      <c r="D1915" s="1" t="s">
        <v>6044</v>
      </c>
      <c r="E1915" s="1" t="s">
        <v>209</v>
      </c>
      <c r="F1915" s="1" t="s">
        <v>5017</v>
      </c>
      <c r="G1915" s="1" t="s">
        <v>5018</v>
      </c>
      <c r="H1915" s="1">
        <v>0.1</v>
      </c>
      <c r="I1915" s="1">
        <v>0.1</v>
      </c>
      <c r="J1915" s="1">
        <v>0.7753110847477882</v>
      </c>
      <c r="K1915" s="1" t="s">
        <v>181</v>
      </c>
    </row>
    <row r="1916" spans="1:11" x14ac:dyDescent="0.25">
      <c r="A1916" s="1" t="s">
        <v>6045</v>
      </c>
      <c r="B1916" s="1" t="s">
        <v>6046</v>
      </c>
      <c r="D1916" s="1" t="s">
        <v>6047</v>
      </c>
      <c r="E1916" s="1" t="s">
        <v>209</v>
      </c>
      <c r="F1916" s="1" t="s">
        <v>5017</v>
      </c>
      <c r="G1916" s="1" t="s">
        <v>5018</v>
      </c>
      <c r="H1916" s="1">
        <v>0.1</v>
      </c>
      <c r="I1916" s="1">
        <v>0.1</v>
      </c>
      <c r="J1916" s="1">
        <v>0.98206416653189488</v>
      </c>
      <c r="K1916" s="1" t="s">
        <v>181</v>
      </c>
    </row>
    <row r="1917" spans="1:11" x14ac:dyDescent="0.25">
      <c r="A1917" s="1" t="s">
        <v>6048</v>
      </c>
      <c r="B1917" s="1" t="s">
        <v>6049</v>
      </c>
      <c r="D1917" s="1" t="s">
        <v>6050</v>
      </c>
      <c r="E1917" s="1" t="s">
        <v>209</v>
      </c>
      <c r="F1917" s="1" t="s">
        <v>5017</v>
      </c>
      <c r="G1917" s="1" t="s">
        <v>5018</v>
      </c>
      <c r="H1917" s="1">
        <v>0.1</v>
      </c>
      <c r="I1917" s="1">
        <v>0.1</v>
      </c>
      <c r="J1917" s="1">
        <v>0.97086100753555904</v>
      </c>
      <c r="K1917" s="1" t="s">
        <v>181</v>
      </c>
    </row>
    <row r="1918" spans="1:11" x14ac:dyDescent="0.25">
      <c r="A1918" s="1" t="s">
        <v>6051</v>
      </c>
      <c r="B1918" s="1" t="s">
        <v>6052</v>
      </c>
      <c r="D1918" s="1" t="s">
        <v>6053</v>
      </c>
      <c r="E1918" s="1" t="s">
        <v>209</v>
      </c>
      <c r="F1918" s="1" t="s">
        <v>5017</v>
      </c>
      <c r="G1918" s="1" t="s">
        <v>5018</v>
      </c>
      <c r="H1918" s="1">
        <v>0.1</v>
      </c>
      <c r="I1918" s="1">
        <v>0.1</v>
      </c>
      <c r="J1918" s="1">
        <v>0.47841275134891237</v>
      </c>
      <c r="K1918" s="1" t="s">
        <v>181</v>
      </c>
    </row>
    <row r="1919" spans="1:11" x14ac:dyDescent="0.25">
      <c r="A1919" s="1" t="s">
        <v>6054</v>
      </c>
      <c r="B1919" s="1" t="s">
        <v>6055</v>
      </c>
      <c r="D1919" s="1" t="s">
        <v>6056</v>
      </c>
      <c r="E1919" s="1" t="s">
        <v>209</v>
      </c>
      <c r="F1919" s="1" t="s">
        <v>5017</v>
      </c>
      <c r="G1919" s="1" t="s">
        <v>5018</v>
      </c>
      <c r="H1919" s="1">
        <v>0.1</v>
      </c>
      <c r="I1919" s="1">
        <v>0.1</v>
      </c>
      <c r="J1919" s="1">
        <v>0.8031636087940679</v>
      </c>
      <c r="K1919" s="1" t="s">
        <v>181</v>
      </c>
    </row>
    <row r="1920" spans="1:11" x14ac:dyDescent="0.25">
      <c r="A1920" s="1" t="s">
        <v>6057</v>
      </c>
      <c r="B1920" s="1" t="s">
        <v>6058</v>
      </c>
      <c r="D1920" s="1" t="s">
        <v>6059</v>
      </c>
      <c r="E1920" s="1" t="s">
        <v>209</v>
      </c>
      <c r="F1920" s="1" t="s">
        <v>5017</v>
      </c>
      <c r="G1920" s="1" t="s">
        <v>5018</v>
      </c>
      <c r="H1920" s="1">
        <v>0.1</v>
      </c>
      <c r="I1920" s="1">
        <v>0.1</v>
      </c>
      <c r="J1920" s="1">
        <v>0.80193792015076282</v>
      </c>
      <c r="K1920" s="1" t="s">
        <v>181</v>
      </c>
    </row>
    <row r="1921" spans="1:11" x14ac:dyDescent="0.25">
      <c r="A1921" s="1" t="s">
        <v>6060</v>
      </c>
      <c r="B1921" s="1" t="s">
        <v>6061</v>
      </c>
      <c r="D1921" s="1" t="s">
        <v>6062</v>
      </c>
      <c r="E1921" s="1" t="s">
        <v>209</v>
      </c>
      <c r="F1921" s="1" t="s">
        <v>5017</v>
      </c>
      <c r="G1921" s="1" t="s">
        <v>5018</v>
      </c>
      <c r="H1921" s="1">
        <v>0.1</v>
      </c>
      <c r="I1921" s="1">
        <v>0.1</v>
      </c>
      <c r="J1921" s="1">
        <v>0.47420226225811479</v>
      </c>
      <c r="K1921" s="1" t="s">
        <v>181</v>
      </c>
    </row>
    <row r="1922" spans="1:11" x14ac:dyDescent="0.25">
      <c r="A1922" s="1" t="s">
        <v>6063</v>
      </c>
      <c r="B1922" s="1" t="s">
        <v>6064</v>
      </c>
      <c r="D1922" s="1" t="s">
        <v>6065</v>
      </c>
      <c r="E1922" s="1" t="s">
        <v>209</v>
      </c>
      <c r="F1922" s="1" t="s">
        <v>5017</v>
      </c>
      <c r="G1922" s="1" t="s">
        <v>5018</v>
      </c>
      <c r="H1922" s="1">
        <v>0.1</v>
      </c>
      <c r="I1922" s="1">
        <v>0.1</v>
      </c>
      <c r="J1922" s="1">
        <v>0.74767683348544489</v>
      </c>
      <c r="K1922" s="1" t="s">
        <v>181</v>
      </c>
    </row>
    <row r="1923" spans="1:11" x14ac:dyDescent="0.25">
      <c r="A1923" s="1" t="s">
        <v>6066</v>
      </c>
      <c r="B1923" s="1" t="s">
        <v>6067</v>
      </c>
      <c r="D1923" s="1" t="s">
        <v>6068</v>
      </c>
      <c r="E1923" s="1" t="s">
        <v>209</v>
      </c>
      <c r="F1923" s="1" t="s">
        <v>5017</v>
      </c>
      <c r="G1923" s="1" t="s">
        <v>5018</v>
      </c>
      <c r="H1923" s="1">
        <v>0.1</v>
      </c>
      <c r="I1923" s="1">
        <v>0.1</v>
      </c>
      <c r="J1923" s="1">
        <v>0.37681804903946242</v>
      </c>
      <c r="K1923" s="1" t="s">
        <v>181</v>
      </c>
    </row>
    <row r="1924" spans="1:11" x14ac:dyDescent="0.25">
      <c r="A1924" s="1" t="s">
        <v>6069</v>
      </c>
      <c r="B1924" s="1" t="s">
        <v>6070</v>
      </c>
      <c r="D1924" s="1" t="s">
        <v>6071</v>
      </c>
      <c r="E1924" s="1" t="s">
        <v>209</v>
      </c>
      <c r="F1924" s="1" t="s">
        <v>5017</v>
      </c>
      <c r="G1924" s="1" t="s">
        <v>5018</v>
      </c>
      <c r="H1924" s="1">
        <v>0.1</v>
      </c>
      <c r="I1924" s="1">
        <v>0.1</v>
      </c>
      <c r="J1924" s="1">
        <v>0.4673697431940283</v>
      </c>
      <c r="K1924" s="1" t="s">
        <v>181</v>
      </c>
    </row>
    <row r="1925" spans="1:11" x14ac:dyDescent="0.25">
      <c r="A1925" s="1" t="s">
        <v>6072</v>
      </c>
      <c r="B1925" s="1" t="s">
        <v>6073</v>
      </c>
      <c r="D1925" s="1" t="s">
        <v>6074</v>
      </c>
      <c r="E1925" s="1" t="s">
        <v>209</v>
      </c>
      <c r="F1925" s="1" t="s">
        <v>5017</v>
      </c>
      <c r="G1925" s="1" t="s">
        <v>5018</v>
      </c>
      <c r="H1925" s="1">
        <v>0.1</v>
      </c>
      <c r="I1925" s="1">
        <v>0.1</v>
      </c>
      <c r="J1925" s="1">
        <v>0.78473621760743784</v>
      </c>
      <c r="K1925" s="1" t="s">
        <v>181</v>
      </c>
    </row>
    <row r="1926" spans="1:11" x14ac:dyDescent="0.25">
      <c r="A1926" s="1" t="s">
        <v>6075</v>
      </c>
      <c r="B1926" s="1" t="s">
        <v>6076</v>
      </c>
      <c r="D1926" s="1" t="s">
        <v>6077</v>
      </c>
      <c r="E1926" s="1" t="s">
        <v>209</v>
      </c>
      <c r="F1926" s="1" t="s">
        <v>5017</v>
      </c>
      <c r="G1926" s="1" t="s">
        <v>5018</v>
      </c>
      <c r="H1926" s="1">
        <v>0.1</v>
      </c>
      <c r="I1926" s="1">
        <v>0.1</v>
      </c>
      <c r="J1926" s="1">
        <v>0.68850445705724872</v>
      </c>
      <c r="K1926" s="1" t="s">
        <v>181</v>
      </c>
    </row>
    <row r="1927" spans="1:11" x14ac:dyDescent="0.25">
      <c r="A1927" s="1" t="s">
        <v>6078</v>
      </c>
      <c r="B1927" s="1" t="s">
        <v>6079</v>
      </c>
      <c r="D1927" s="1" t="s">
        <v>6080</v>
      </c>
      <c r="E1927" s="1" t="s">
        <v>209</v>
      </c>
      <c r="F1927" s="1" t="s">
        <v>5017</v>
      </c>
      <c r="G1927" s="1" t="s">
        <v>5018</v>
      </c>
      <c r="H1927" s="1">
        <v>0.1</v>
      </c>
      <c r="I1927" s="1">
        <v>0.1</v>
      </c>
      <c r="J1927" s="1">
        <v>0.5095549203241736</v>
      </c>
      <c r="K1927" s="1" t="s">
        <v>181</v>
      </c>
    </row>
    <row r="1928" spans="1:11" x14ac:dyDescent="0.25">
      <c r="A1928" s="1" t="s">
        <v>6081</v>
      </c>
      <c r="B1928" s="1" t="s">
        <v>6082</v>
      </c>
      <c r="D1928" s="1" t="s">
        <v>6083</v>
      </c>
      <c r="E1928" s="1" t="s">
        <v>209</v>
      </c>
      <c r="F1928" s="1" t="s">
        <v>5017</v>
      </c>
      <c r="G1928" s="1" t="s">
        <v>5018</v>
      </c>
      <c r="H1928" s="1">
        <v>0.1</v>
      </c>
      <c r="I1928" s="1">
        <v>0.1</v>
      </c>
      <c r="J1928" s="1">
        <v>0.37937823792834791</v>
      </c>
      <c r="K1928" s="1" t="s">
        <v>181</v>
      </c>
    </row>
    <row r="1929" spans="1:11" x14ac:dyDescent="0.25">
      <c r="A1929" s="1" t="s">
        <v>6084</v>
      </c>
      <c r="B1929" s="1" t="s">
        <v>6085</v>
      </c>
      <c r="D1929" s="1" t="s">
        <v>6086</v>
      </c>
      <c r="E1929" s="1" t="s">
        <v>209</v>
      </c>
      <c r="F1929" s="1" t="s">
        <v>5017</v>
      </c>
      <c r="G1929" s="1" t="s">
        <v>5018</v>
      </c>
      <c r="H1929" s="1">
        <v>0.1</v>
      </c>
      <c r="I1929" s="1">
        <v>0.1</v>
      </c>
      <c r="J1929" s="1">
        <v>0.62303602196094099</v>
      </c>
      <c r="K1929" s="1" t="s">
        <v>181</v>
      </c>
    </row>
    <row r="1930" spans="1:11" x14ac:dyDescent="0.25">
      <c r="A1930" s="1" t="s">
        <v>6087</v>
      </c>
      <c r="B1930" s="1" t="s">
        <v>6088</v>
      </c>
      <c r="D1930" s="1" t="s">
        <v>6089</v>
      </c>
      <c r="E1930" s="1" t="s">
        <v>209</v>
      </c>
      <c r="F1930" s="1" t="s">
        <v>5017</v>
      </c>
      <c r="G1930" s="1" t="s">
        <v>5018</v>
      </c>
      <c r="H1930" s="1">
        <v>0.1</v>
      </c>
      <c r="I1930" s="1">
        <v>0.1</v>
      </c>
      <c r="J1930" s="1">
        <v>0.92803472142937127</v>
      </c>
      <c r="K1930" s="1" t="s">
        <v>181</v>
      </c>
    </row>
    <row r="1931" spans="1:11" x14ac:dyDescent="0.25">
      <c r="A1931" s="1" t="s">
        <v>6090</v>
      </c>
      <c r="B1931" s="1" t="s">
        <v>6091</v>
      </c>
      <c r="D1931" s="1" t="s">
        <v>6092</v>
      </c>
      <c r="E1931" s="1" t="s">
        <v>209</v>
      </c>
      <c r="F1931" s="1" t="s">
        <v>5017</v>
      </c>
      <c r="G1931" s="1" t="s">
        <v>5018</v>
      </c>
      <c r="H1931" s="1">
        <v>0.1</v>
      </c>
      <c r="I1931" s="1">
        <v>0.1</v>
      </c>
      <c r="J1931" s="1">
        <v>0.79206481586162603</v>
      </c>
      <c r="K1931" s="1" t="s">
        <v>181</v>
      </c>
    </row>
    <row r="1932" spans="1:11" x14ac:dyDescent="0.25">
      <c r="A1932" s="1" t="s">
        <v>6093</v>
      </c>
      <c r="B1932" s="1" t="s">
        <v>6094</v>
      </c>
      <c r="D1932" s="1" t="s">
        <v>6095</v>
      </c>
      <c r="E1932" s="1" t="s">
        <v>209</v>
      </c>
      <c r="F1932" s="1" t="s">
        <v>5017</v>
      </c>
      <c r="G1932" s="1" t="s">
        <v>5018</v>
      </c>
      <c r="H1932" s="1">
        <v>0.1</v>
      </c>
      <c r="I1932" s="1">
        <v>0.1</v>
      </c>
      <c r="J1932" s="1">
        <v>0.95618477326733764</v>
      </c>
      <c r="K1932" s="1" t="s">
        <v>181</v>
      </c>
    </row>
    <row r="1933" spans="1:11" x14ac:dyDescent="0.25">
      <c r="A1933" s="1" t="s">
        <v>6096</v>
      </c>
      <c r="B1933" s="1" t="s">
        <v>6097</v>
      </c>
      <c r="D1933" s="1" t="s">
        <v>6098</v>
      </c>
      <c r="E1933" s="1" t="s">
        <v>209</v>
      </c>
      <c r="F1933" s="1" t="s">
        <v>5017</v>
      </c>
      <c r="G1933" s="1" t="s">
        <v>5018</v>
      </c>
      <c r="H1933" s="1">
        <v>0.1</v>
      </c>
      <c r="I1933" s="1">
        <v>0.1</v>
      </c>
      <c r="J1933" s="1">
        <v>0.80906673531791007</v>
      </c>
      <c r="K1933" s="1" t="s">
        <v>181</v>
      </c>
    </row>
    <row r="1934" spans="1:11" x14ac:dyDescent="0.25">
      <c r="A1934" s="1" t="s">
        <v>6099</v>
      </c>
      <c r="B1934" s="1" t="s">
        <v>6100</v>
      </c>
      <c r="D1934" s="1" t="s">
        <v>6101</v>
      </c>
      <c r="E1934" s="1" t="s">
        <v>209</v>
      </c>
      <c r="F1934" s="1" t="s">
        <v>5017</v>
      </c>
      <c r="G1934" s="1" t="s">
        <v>5018</v>
      </c>
      <c r="H1934" s="1">
        <v>0.1</v>
      </c>
      <c r="I1934" s="1">
        <v>0.1</v>
      </c>
      <c r="J1934" s="1">
        <v>0.79517363377235117</v>
      </c>
      <c r="K1934" s="1" t="s">
        <v>181</v>
      </c>
    </row>
    <row r="1935" spans="1:11" x14ac:dyDescent="0.25">
      <c r="A1935" s="1" t="s">
        <v>6102</v>
      </c>
      <c r="B1935" s="1" t="s">
        <v>6103</v>
      </c>
      <c r="D1935" s="1" t="s">
        <v>6104</v>
      </c>
      <c r="E1935" s="1" t="s">
        <v>209</v>
      </c>
      <c r="F1935" s="1" t="s">
        <v>5017</v>
      </c>
      <c r="G1935" s="1" t="s">
        <v>5018</v>
      </c>
      <c r="H1935" s="1">
        <v>0.1</v>
      </c>
      <c r="I1935" s="1">
        <v>0.1</v>
      </c>
      <c r="J1935" s="1">
        <v>0.72012835209184978</v>
      </c>
      <c r="K1935" s="1" t="s">
        <v>181</v>
      </c>
    </row>
    <row r="1936" spans="1:11" x14ac:dyDescent="0.25">
      <c r="A1936" s="1" t="s">
        <v>6105</v>
      </c>
      <c r="B1936" s="1" t="s">
        <v>6106</v>
      </c>
      <c r="D1936" s="1" t="s">
        <v>6107</v>
      </c>
      <c r="E1936" s="1" t="s">
        <v>209</v>
      </c>
      <c r="F1936" s="1" t="s">
        <v>5017</v>
      </c>
      <c r="G1936" s="1" t="s">
        <v>5018</v>
      </c>
      <c r="H1936" s="1">
        <v>0.1</v>
      </c>
      <c r="I1936" s="1">
        <v>0.1</v>
      </c>
      <c r="J1936" s="1">
        <v>0.87049389565401569</v>
      </c>
      <c r="K1936" s="1" t="s">
        <v>181</v>
      </c>
    </row>
    <row r="1937" spans="1:11" x14ac:dyDescent="0.25">
      <c r="A1937" s="1" t="s">
        <v>6108</v>
      </c>
      <c r="B1937" s="1" t="s">
        <v>6109</v>
      </c>
      <c r="D1937" s="1" t="s">
        <v>6110</v>
      </c>
      <c r="E1937" s="1" t="s">
        <v>209</v>
      </c>
      <c r="F1937" s="1" t="s">
        <v>5017</v>
      </c>
      <c r="G1937" s="1" t="s">
        <v>5018</v>
      </c>
      <c r="H1937" s="1">
        <v>0.1</v>
      </c>
      <c r="I1937" s="1">
        <v>0.1</v>
      </c>
      <c r="J1937" s="1">
        <v>0.84352546242500226</v>
      </c>
      <c r="K1937" s="1" t="s">
        <v>181</v>
      </c>
    </row>
    <row r="1938" spans="1:11" x14ac:dyDescent="0.25">
      <c r="A1938" s="1" t="s">
        <v>6111</v>
      </c>
      <c r="B1938" s="1" t="s">
        <v>6112</v>
      </c>
      <c r="D1938" s="1" t="s">
        <v>6113</v>
      </c>
      <c r="E1938" s="1" t="s">
        <v>209</v>
      </c>
      <c r="F1938" s="1" t="s">
        <v>5017</v>
      </c>
      <c r="G1938" s="1" t="s">
        <v>5018</v>
      </c>
      <c r="H1938" s="1">
        <v>0.1</v>
      </c>
      <c r="I1938" s="1">
        <v>0.1</v>
      </c>
      <c r="J1938" s="1">
        <v>0.79896736260815837</v>
      </c>
      <c r="K1938" s="1" t="s">
        <v>181</v>
      </c>
    </row>
    <row r="1939" spans="1:11" x14ac:dyDescent="0.25">
      <c r="A1939" s="1" t="s">
        <v>6114</v>
      </c>
      <c r="B1939" s="1" t="s">
        <v>6115</v>
      </c>
      <c r="D1939" s="1" t="s">
        <v>6116</v>
      </c>
      <c r="E1939" s="1" t="s">
        <v>209</v>
      </c>
      <c r="F1939" s="1" t="s">
        <v>5017</v>
      </c>
      <c r="G1939" s="1" t="s">
        <v>5018</v>
      </c>
      <c r="H1939" s="1">
        <v>0.1</v>
      </c>
      <c r="I1939" s="1">
        <v>0.1</v>
      </c>
      <c r="J1939" s="1">
        <v>0.7496533512287139</v>
      </c>
      <c r="K1939" s="1" t="s">
        <v>181</v>
      </c>
    </row>
    <row r="1940" spans="1:11" x14ac:dyDescent="0.25">
      <c r="A1940" s="1" t="s">
        <v>6117</v>
      </c>
      <c r="B1940" s="1" t="s">
        <v>6118</v>
      </c>
      <c r="D1940" s="1" t="s">
        <v>6119</v>
      </c>
      <c r="E1940" s="1" t="s">
        <v>209</v>
      </c>
      <c r="F1940" s="1" t="s">
        <v>5017</v>
      </c>
      <c r="G1940" s="1" t="s">
        <v>5018</v>
      </c>
      <c r="H1940" s="1">
        <v>0.1</v>
      </c>
      <c r="I1940" s="1">
        <v>0.1</v>
      </c>
      <c r="J1940" s="1">
        <v>0.71783699204968909</v>
      </c>
      <c r="K1940" s="1" t="s">
        <v>181</v>
      </c>
    </row>
    <row r="1941" spans="1:11" x14ac:dyDescent="0.25">
      <c r="A1941" s="1" t="s">
        <v>6120</v>
      </c>
      <c r="B1941" s="1" t="s">
        <v>6121</v>
      </c>
      <c r="D1941" s="1" t="s">
        <v>6122</v>
      </c>
      <c r="E1941" s="1" t="s">
        <v>209</v>
      </c>
      <c r="F1941" s="1" t="s">
        <v>5017</v>
      </c>
      <c r="G1941" s="1" t="s">
        <v>5018</v>
      </c>
      <c r="H1941" s="1">
        <v>0.1</v>
      </c>
      <c r="I1941" s="1">
        <v>0.1</v>
      </c>
      <c r="J1941" s="1">
        <v>0.6519027203489125</v>
      </c>
      <c r="K1941" s="1" t="s">
        <v>181</v>
      </c>
    </row>
    <row r="1942" spans="1:11" x14ac:dyDescent="0.25">
      <c r="A1942" s="1" t="s">
        <v>6123</v>
      </c>
      <c r="B1942" s="1" t="s">
        <v>6124</v>
      </c>
      <c r="D1942" s="1" t="s">
        <v>6125</v>
      </c>
      <c r="E1942" s="1" t="s">
        <v>209</v>
      </c>
      <c r="F1942" s="1" t="s">
        <v>5017</v>
      </c>
      <c r="G1942" s="1" t="s">
        <v>5018</v>
      </c>
      <c r="H1942" s="1">
        <v>0.1</v>
      </c>
      <c r="I1942" s="1">
        <v>0.1</v>
      </c>
      <c r="J1942" s="1">
        <v>0.66572719255122492</v>
      </c>
      <c r="K1942" s="1" t="s">
        <v>181</v>
      </c>
    </row>
    <row r="1943" spans="1:11" x14ac:dyDescent="0.25">
      <c r="A1943" s="1" t="s">
        <v>6126</v>
      </c>
      <c r="B1943" s="1" t="s">
        <v>6127</v>
      </c>
      <c r="D1943" s="1" t="s">
        <v>6128</v>
      </c>
      <c r="E1943" s="1" t="s">
        <v>209</v>
      </c>
      <c r="F1943" s="1" t="s">
        <v>5017</v>
      </c>
      <c r="G1943" s="1" t="s">
        <v>5018</v>
      </c>
      <c r="H1943" s="1">
        <v>0.1</v>
      </c>
      <c r="I1943" s="1">
        <v>0.1</v>
      </c>
      <c r="J1943" s="1">
        <v>0.71456065937855717</v>
      </c>
      <c r="K1943" s="1" t="s">
        <v>181</v>
      </c>
    </row>
    <row r="1944" spans="1:11" x14ac:dyDescent="0.25">
      <c r="A1944" s="1" t="s">
        <v>6129</v>
      </c>
      <c r="B1944" s="1" t="s">
        <v>6130</v>
      </c>
      <c r="D1944" s="1" t="s">
        <v>6131</v>
      </c>
      <c r="E1944" s="1" t="s">
        <v>209</v>
      </c>
      <c r="F1944" s="1" t="s">
        <v>5017</v>
      </c>
      <c r="G1944" s="1" t="s">
        <v>5018</v>
      </c>
      <c r="H1944" s="1">
        <v>0.1</v>
      </c>
      <c r="I1944" s="1">
        <v>0.1</v>
      </c>
      <c r="J1944" s="1">
        <v>0.76880682155417124</v>
      </c>
      <c r="K1944" s="1" t="s">
        <v>181</v>
      </c>
    </row>
    <row r="1945" spans="1:11" x14ac:dyDescent="0.25">
      <c r="A1945" s="1" t="s">
        <v>6132</v>
      </c>
      <c r="B1945" s="1" t="s">
        <v>6133</v>
      </c>
      <c r="D1945" s="1" t="s">
        <v>6134</v>
      </c>
      <c r="E1945" s="1" t="s">
        <v>209</v>
      </c>
      <c r="F1945" s="1" t="s">
        <v>5017</v>
      </c>
      <c r="G1945" s="1" t="s">
        <v>5018</v>
      </c>
      <c r="H1945" s="1">
        <v>0.1</v>
      </c>
      <c r="I1945" s="1">
        <v>0.1</v>
      </c>
      <c r="J1945" s="1">
        <v>0.76720456145144855</v>
      </c>
      <c r="K1945" s="1" t="s">
        <v>181</v>
      </c>
    </row>
    <row r="1946" spans="1:11" x14ac:dyDescent="0.25">
      <c r="A1946" s="1" t="s">
        <v>6135</v>
      </c>
      <c r="B1946" s="1" t="s">
        <v>6136</v>
      </c>
      <c r="D1946" s="1" t="s">
        <v>6137</v>
      </c>
      <c r="E1946" s="1" t="s">
        <v>209</v>
      </c>
      <c r="F1946" s="1" t="s">
        <v>5017</v>
      </c>
      <c r="G1946" s="1" t="s">
        <v>5018</v>
      </c>
      <c r="H1946" s="1">
        <v>0.1</v>
      </c>
      <c r="I1946" s="1">
        <v>0.1</v>
      </c>
      <c r="J1946" s="1">
        <v>0.77464516426373276</v>
      </c>
      <c r="K1946" s="1" t="s">
        <v>181</v>
      </c>
    </row>
    <row r="1947" spans="1:11" x14ac:dyDescent="0.25">
      <c r="A1947" s="1" t="s">
        <v>6138</v>
      </c>
      <c r="B1947" s="1" t="s">
        <v>6139</v>
      </c>
      <c r="D1947" s="1" t="s">
        <v>6140</v>
      </c>
      <c r="E1947" s="1" t="s">
        <v>209</v>
      </c>
      <c r="F1947" s="1" t="s">
        <v>5017</v>
      </c>
      <c r="G1947" s="1" t="s">
        <v>5018</v>
      </c>
      <c r="H1947" s="1">
        <v>0.1</v>
      </c>
      <c r="I1947" s="1">
        <v>0.1</v>
      </c>
      <c r="J1947" s="1">
        <v>0.55568987602651954</v>
      </c>
      <c r="K1947" s="1" t="s">
        <v>181</v>
      </c>
    </row>
    <row r="1948" spans="1:11" x14ac:dyDescent="0.25">
      <c r="A1948" s="1" t="s">
        <v>6141</v>
      </c>
      <c r="B1948" s="1" t="s">
        <v>6142</v>
      </c>
      <c r="D1948" s="1" t="s">
        <v>6143</v>
      </c>
      <c r="E1948" s="1" t="s">
        <v>209</v>
      </c>
      <c r="F1948" s="1" t="s">
        <v>5017</v>
      </c>
      <c r="G1948" s="1" t="s">
        <v>5018</v>
      </c>
      <c r="H1948" s="1">
        <v>0.1</v>
      </c>
      <c r="I1948" s="1">
        <v>0.1</v>
      </c>
      <c r="J1948" s="1">
        <v>0.72817235039670103</v>
      </c>
      <c r="K1948" s="1" t="s">
        <v>181</v>
      </c>
    </row>
    <row r="1949" spans="1:11" x14ac:dyDescent="0.25">
      <c r="A1949" s="1" t="s">
        <v>6144</v>
      </c>
      <c r="B1949" s="1" t="s">
        <v>6145</v>
      </c>
      <c r="D1949" s="1" t="s">
        <v>6146</v>
      </c>
      <c r="E1949" s="1" t="s">
        <v>209</v>
      </c>
      <c r="F1949" s="1" t="s">
        <v>5017</v>
      </c>
      <c r="G1949" s="1" t="s">
        <v>5018</v>
      </c>
      <c r="H1949" s="1">
        <v>0.1</v>
      </c>
      <c r="I1949" s="1">
        <v>0.1</v>
      </c>
      <c r="J1949" s="1">
        <v>0.71219122947223668</v>
      </c>
      <c r="K1949" s="1" t="s">
        <v>181</v>
      </c>
    </row>
    <row r="1950" spans="1:11" x14ac:dyDescent="0.25">
      <c r="A1950" s="1" t="s">
        <v>6147</v>
      </c>
      <c r="B1950" s="1" t="s">
        <v>6148</v>
      </c>
      <c r="D1950" s="1" t="s">
        <v>6149</v>
      </c>
      <c r="E1950" s="1" t="s">
        <v>209</v>
      </c>
      <c r="F1950" s="1" t="s">
        <v>5017</v>
      </c>
      <c r="G1950" s="1" t="s">
        <v>5018</v>
      </c>
      <c r="H1950" s="1">
        <v>0.1</v>
      </c>
      <c r="I1950" s="1">
        <v>0.1</v>
      </c>
      <c r="J1950" s="1">
        <v>0.66567782584407431</v>
      </c>
      <c r="K1950" s="1" t="s">
        <v>181</v>
      </c>
    </row>
    <row r="1951" spans="1:11" x14ac:dyDescent="0.25">
      <c r="A1951" s="1" t="s">
        <v>6150</v>
      </c>
      <c r="B1951" s="1" t="s">
        <v>6151</v>
      </c>
      <c r="D1951" s="1" t="s">
        <v>6152</v>
      </c>
      <c r="E1951" s="1" t="s">
        <v>209</v>
      </c>
      <c r="F1951" s="1" t="s">
        <v>5017</v>
      </c>
      <c r="G1951" s="1" t="s">
        <v>5018</v>
      </c>
      <c r="H1951" s="1">
        <v>0.1</v>
      </c>
      <c r="I1951" s="1">
        <v>0.1</v>
      </c>
      <c r="J1951" s="1">
        <v>0.90212538793444397</v>
      </c>
      <c r="K1951" s="1" t="s">
        <v>181</v>
      </c>
    </row>
    <row r="1952" spans="1:11" x14ac:dyDescent="0.25">
      <c r="A1952" s="1" t="s">
        <v>6153</v>
      </c>
      <c r="B1952" s="1" t="s">
        <v>6154</v>
      </c>
      <c r="D1952" s="1" t="s">
        <v>6155</v>
      </c>
      <c r="E1952" s="1" t="s">
        <v>209</v>
      </c>
      <c r="F1952" s="1" t="s">
        <v>5017</v>
      </c>
      <c r="G1952" s="1" t="s">
        <v>5018</v>
      </c>
      <c r="H1952" s="1">
        <v>0.1</v>
      </c>
      <c r="I1952" s="1">
        <v>0.1</v>
      </c>
      <c r="J1952" s="1">
        <v>0.49136822857647772</v>
      </c>
      <c r="K1952" s="1" t="s">
        <v>181</v>
      </c>
    </row>
    <row r="1953" spans="1:11" x14ac:dyDescent="0.25">
      <c r="A1953" s="1" t="s">
        <v>6156</v>
      </c>
      <c r="B1953" s="1" t="s">
        <v>6157</v>
      </c>
      <c r="D1953" s="1" t="s">
        <v>6158</v>
      </c>
      <c r="E1953" s="1" t="s">
        <v>209</v>
      </c>
      <c r="F1953" s="1" t="s">
        <v>5017</v>
      </c>
      <c r="G1953" s="1" t="s">
        <v>5018</v>
      </c>
      <c r="H1953" s="1">
        <v>0.1</v>
      </c>
      <c r="I1953" s="1">
        <v>0.1</v>
      </c>
      <c r="J1953" s="1">
        <v>0.85649383425204384</v>
      </c>
      <c r="K1953" s="1" t="s">
        <v>181</v>
      </c>
    </row>
    <row r="1954" spans="1:11" x14ac:dyDescent="0.25">
      <c r="A1954" s="1" t="s">
        <v>6159</v>
      </c>
      <c r="B1954" s="1" t="s">
        <v>6160</v>
      </c>
      <c r="D1954" s="1" t="s">
        <v>6161</v>
      </c>
      <c r="E1954" s="1" t="s">
        <v>209</v>
      </c>
      <c r="F1954" s="1" t="s">
        <v>5017</v>
      </c>
      <c r="G1954" s="1" t="s">
        <v>5018</v>
      </c>
      <c r="H1954" s="1">
        <v>0.1</v>
      </c>
      <c r="I1954" s="1">
        <v>0.1</v>
      </c>
      <c r="J1954" s="1">
        <v>0.86908657823835511</v>
      </c>
      <c r="K1954" s="1" t="s">
        <v>181</v>
      </c>
    </row>
    <row r="1955" spans="1:11" x14ac:dyDescent="0.25">
      <c r="A1955" s="1" t="s">
        <v>6162</v>
      </c>
      <c r="B1955" s="1" t="s">
        <v>6163</v>
      </c>
      <c r="D1955" s="1" t="s">
        <v>6164</v>
      </c>
      <c r="E1955" s="1" t="s">
        <v>209</v>
      </c>
      <c r="F1955" s="1" t="s">
        <v>5017</v>
      </c>
      <c r="G1955" s="1" t="s">
        <v>5018</v>
      </c>
      <c r="H1955" s="1">
        <v>0.1</v>
      </c>
      <c r="I1955" s="1">
        <v>0.1</v>
      </c>
      <c r="J1955" s="1">
        <v>0.54454568640722478</v>
      </c>
      <c r="K1955" s="1" t="s">
        <v>181</v>
      </c>
    </row>
    <row r="1956" spans="1:11" x14ac:dyDescent="0.25">
      <c r="A1956" s="1" t="s">
        <v>6165</v>
      </c>
      <c r="B1956" s="1" t="s">
        <v>6166</v>
      </c>
      <c r="D1956" s="1" t="s">
        <v>6167</v>
      </c>
      <c r="E1956" s="1" t="s">
        <v>209</v>
      </c>
      <c r="F1956" s="1" t="s">
        <v>5017</v>
      </c>
      <c r="G1956" s="1" t="s">
        <v>5018</v>
      </c>
      <c r="H1956" s="1">
        <v>0.1</v>
      </c>
      <c r="I1956" s="1">
        <v>0.1</v>
      </c>
      <c r="J1956" s="1">
        <v>0.86366759596652765</v>
      </c>
      <c r="K1956" s="1" t="s">
        <v>181</v>
      </c>
    </row>
    <row r="1957" spans="1:11" x14ac:dyDescent="0.25">
      <c r="A1957" s="1" t="s">
        <v>6168</v>
      </c>
      <c r="B1957" s="1" t="s">
        <v>6169</v>
      </c>
      <c r="D1957" s="1" t="s">
        <v>6170</v>
      </c>
      <c r="E1957" s="1" t="s">
        <v>209</v>
      </c>
      <c r="F1957" s="1" t="s">
        <v>5017</v>
      </c>
      <c r="G1957" s="1" t="s">
        <v>5018</v>
      </c>
      <c r="H1957" s="1">
        <v>0.1</v>
      </c>
      <c r="I1957" s="1">
        <v>0.1</v>
      </c>
      <c r="J1957" s="1">
        <v>0.83257705905655488</v>
      </c>
      <c r="K1957" s="1" t="s">
        <v>181</v>
      </c>
    </row>
    <row r="1958" spans="1:11" x14ac:dyDescent="0.25">
      <c r="A1958" s="1" t="s">
        <v>6171</v>
      </c>
      <c r="B1958" s="1" t="s">
        <v>6172</v>
      </c>
      <c r="D1958" s="1" t="s">
        <v>6173</v>
      </c>
      <c r="E1958" s="1" t="s">
        <v>209</v>
      </c>
      <c r="F1958" s="1" t="s">
        <v>5017</v>
      </c>
      <c r="G1958" s="1" t="s">
        <v>5018</v>
      </c>
      <c r="H1958" s="1">
        <v>0.1</v>
      </c>
      <c r="I1958" s="1">
        <v>0.1</v>
      </c>
      <c r="J1958" s="1">
        <v>0.84663391219774142</v>
      </c>
      <c r="K1958" s="1" t="s">
        <v>181</v>
      </c>
    </row>
    <row r="1959" spans="1:11" x14ac:dyDescent="0.25">
      <c r="A1959" s="1" t="s">
        <v>6174</v>
      </c>
      <c r="B1959" s="1" t="s">
        <v>6175</v>
      </c>
      <c r="D1959" s="1" t="s">
        <v>6176</v>
      </c>
      <c r="E1959" s="1" t="s">
        <v>209</v>
      </c>
      <c r="F1959" s="1" t="s">
        <v>5017</v>
      </c>
      <c r="G1959" s="1" t="s">
        <v>5018</v>
      </c>
      <c r="H1959" s="1">
        <v>0.1</v>
      </c>
      <c r="I1959" s="1">
        <v>0.1</v>
      </c>
      <c r="J1959" s="1">
        <v>0.88890488883582064</v>
      </c>
      <c r="K1959" s="1" t="s">
        <v>181</v>
      </c>
    </row>
    <row r="1960" spans="1:11" x14ac:dyDescent="0.25">
      <c r="A1960" s="1" t="s">
        <v>6177</v>
      </c>
      <c r="B1960" s="1" t="s">
        <v>6178</v>
      </c>
      <c r="D1960" s="1" t="s">
        <v>6179</v>
      </c>
      <c r="E1960" s="1" t="s">
        <v>209</v>
      </c>
      <c r="F1960" s="1" t="s">
        <v>5017</v>
      </c>
      <c r="G1960" s="1" t="s">
        <v>5018</v>
      </c>
      <c r="H1960" s="1">
        <v>0.1</v>
      </c>
      <c r="I1960" s="1">
        <v>0.1</v>
      </c>
      <c r="J1960" s="1">
        <v>0.66942010878456604</v>
      </c>
      <c r="K1960" s="1" t="s">
        <v>181</v>
      </c>
    </row>
    <row r="1961" spans="1:11" x14ac:dyDescent="0.25">
      <c r="A1961" s="1" t="s">
        <v>6180</v>
      </c>
      <c r="B1961" s="1" t="s">
        <v>6181</v>
      </c>
      <c r="D1961" s="1" t="s">
        <v>6182</v>
      </c>
      <c r="E1961" s="1" t="s">
        <v>209</v>
      </c>
      <c r="F1961" s="1" t="s">
        <v>5017</v>
      </c>
      <c r="G1961" s="1" t="s">
        <v>5018</v>
      </c>
      <c r="H1961" s="1">
        <v>0.1</v>
      </c>
      <c r="I1961" s="1">
        <v>0.1</v>
      </c>
      <c r="J1961" s="1">
        <v>0.62636407484020706</v>
      </c>
      <c r="K1961" s="1" t="s">
        <v>181</v>
      </c>
    </row>
    <row r="1962" spans="1:11" x14ac:dyDescent="0.25">
      <c r="A1962" s="1" t="s">
        <v>6183</v>
      </c>
      <c r="B1962" s="1" t="s">
        <v>6184</v>
      </c>
      <c r="D1962" s="1" t="s">
        <v>6185</v>
      </c>
      <c r="E1962" s="1" t="s">
        <v>209</v>
      </c>
      <c r="F1962" s="1" t="s">
        <v>5017</v>
      </c>
      <c r="G1962" s="1" t="s">
        <v>5018</v>
      </c>
      <c r="H1962" s="1">
        <v>0.1</v>
      </c>
      <c r="I1962" s="1">
        <v>0.1</v>
      </c>
      <c r="J1962" s="1">
        <v>0.68983386488590281</v>
      </c>
      <c r="K1962" s="1" t="s">
        <v>181</v>
      </c>
    </row>
    <row r="1963" spans="1:11" x14ac:dyDescent="0.25">
      <c r="A1963" s="1" t="s">
        <v>157</v>
      </c>
      <c r="B1963" s="1" t="s">
        <v>6186</v>
      </c>
      <c r="D1963" s="1" t="s">
        <v>6187</v>
      </c>
      <c r="E1963" s="1" t="s">
        <v>209</v>
      </c>
      <c r="F1963" s="1" t="s">
        <v>5017</v>
      </c>
      <c r="G1963" s="1" t="s">
        <v>5018</v>
      </c>
      <c r="H1963" s="1">
        <v>0.1</v>
      </c>
      <c r="I1963" s="1">
        <v>0.1</v>
      </c>
      <c r="J1963" s="1">
        <v>0.49121504360043522</v>
      </c>
      <c r="K1963" s="1" t="s">
        <v>181</v>
      </c>
    </row>
    <row r="1964" spans="1:11" x14ac:dyDescent="0.25">
      <c r="A1964" s="1" t="s">
        <v>6188</v>
      </c>
      <c r="B1964" s="1" t="s">
        <v>6189</v>
      </c>
      <c r="D1964" s="1" t="s">
        <v>6190</v>
      </c>
      <c r="E1964" s="1" t="s">
        <v>209</v>
      </c>
      <c r="F1964" s="1" t="s">
        <v>5017</v>
      </c>
      <c r="G1964" s="1" t="s">
        <v>5018</v>
      </c>
      <c r="H1964" s="1">
        <v>0.1</v>
      </c>
      <c r="I1964" s="1">
        <v>0.1</v>
      </c>
      <c r="J1964" s="1">
        <v>0.3974639862454532</v>
      </c>
      <c r="K1964" s="1" t="s">
        <v>181</v>
      </c>
    </row>
    <row r="1965" spans="1:11" x14ac:dyDescent="0.25">
      <c r="A1965" s="1" t="s">
        <v>6191</v>
      </c>
      <c r="B1965" s="1" t="s">
        <v>6192</v>
      </c>
      <c r="D1965" s="1" t="s">
        <v>6193</v>
      </c>
      <c r="E1965" s="1" t="s">
        <v>209</v>
      </c>
      <c r="F1965" s="1" t="s">
        <v>5017</v>
      </c>
      <c r="G1965" s="1" t="s">
        <v>5018</v>
      </c>
      <c r="H1965" s="1">
        <v>0.1</v>
      </c>
      <c r="I1965" s="1">
        <v>0.1</v>
      </c>
      <c r="J1965" s="1">
        <v>0.43471686971015472</v>
      </c>
      <c r="K1965" s="1" t="s">
        <v>181</v>
      </c>
    </row>
    <row r="1966" spans="1:11" x14ac:dyDescent="0.25">
      <c r="A1966" s="1" t="s">
        <v>6194</v>
      </c>
      <c r="B1966" s="1" t="s">
        <v>6195</v>
      </c>
      <c r="D1966" s="1" t="s">
        <v>6196</v>
      </c>
      <c r="E1966" s="1" t="s">
        <v>209</v>
      </c>
      <c r="F1966" s="1" t="s">
        <v>5017</v>
      </c>
      <c r="G1966" s="1" t="s">
        <v>5018</v>
      </c>
      <c r="H1966" s="1">
        <v>0.1</v>
      </c>
      <c r="I1966" s="1">
        <v>0.1</v>
      </c>
      <c r="J1966" s="1">
        <v>0.66205969597947067</v>
      </c>
      <c r="K1966" s="1" t="s">
        <v>181</v>
      </c>
    </row>
    <row r="1967" spans="1:11" x14ac:dyDescent="0.25">
      <c r="A1967" s="1" t="s">
        <v>6197</v>
      </c>
      <c r="B1967" s="1" t="s">
        <v>6198</v>
      </c>
      <c r="D1967" s="1" t="s">
        <v>6199</v>
      </c>
      <c r="E1967" s="1" t="s">
        <v>209</v>
      </c>
      <c r="F1967" s="1" t="s">
        <v>5017</v>
      </c>
      <c r="G1967" s="1" t="s">
        <v>5018</v>
      </c>
      <c r="H1967" s="1">
        <v>0.1</v>
      </c>
      <c r="I1967" s="1">
        <v>0.1</v>
      </c>
      <c r="J1967" s="1">
        <v>0.68591318774902521</v>
      </c>
      <c r="K1967" s="1" t="s">
        <v>181</v>
      </c>
    </row>
    <row r="1968" spans="1:11" x14ac:dyDescent="0.25">
      <c r="A1968" s="1" t="s">
        <v>6200</v>
      </c>
      <c r="B1968" s="1" t="s">
        <v>6201</v>
      </c>
      <c r="D1968" s="1" t="s">
        <v>6202</v>
      </c>
      <c r="E1968" s="1" t="s">
        <v>209</v>
      </c>
      <c r="F1968" s="1" t="s">
        <v>5017</v>
      </c>
      <c r="G1968" s="1" t="s">
        <v>5018</v>
      </c>
      <c r="H1968" s="1">
        <v>0.1</v>
      </c>
      <c r="I1968" s="1">
        <v>0.1</v>
      </c>
      <c r="J1968" s="1">
        <v>1.1130219870508775</v>
      </c>
      <c r="K1968" s="1" t="s">
        <v>181</v>
      </c>
    </row>
    <row r="1969" spans="1:11" x14ac:dyDescent="0.25">
      <c r="A1969" s="1" t="s">
        <v>6203</v>
      </c>
      <c r="B1969" s="1" t="s">
        <v>6204</v>
      </c>
      <c r="D1969" s="1" t="s">
        <v>6205</v>
      </c>
      <c r="E1969" s="1" t="s">
        <v>209</v>
      </c>
      <c r="F1969" s="1" t="s">
        <v>5017</v>
      </c>
      <c r="G1969" s="1" t="s">
        <v>5018</v>
      </c>
      <c r="H1969" s="1">
        <v>0.1</v>
      </c>
      <c r="I1969" s="1">
        <v>0.1</v>
      </c>
      <c r="J1969" s="1">
        <v>1.1954321367243668</v>
      </c>
      <c r="K1969" s="1" t="s">
        <v>181</v>
      </c>
    </row>
    <row r="1970" spans="1:11" x14ac:dyDescent="0.25">
      <c r="A1970" s="1" t="s">
        <v>6206</v>
      </c>
      <c r="B1970" s="1" t="s">
        <v>6207</v>
      </c>
      <c r="D1970" s="1" t="s">
        <v>6208</v>
      </c>
      <c r="E1970" s="1" t="s">
        <v>209</v>
      </c>
      <c r="F1970" s="1" t="s">
        <v>5017</v>
      </c>
      <c r="G1970" s="1" t="s">
        <v>5018</v>
      </c>
      <c r="H1970" s="1">
        <v>0.1</v>
      </c>
      <c r="I1970" s="1">
        <v>0.1</v>
      </c>
      <c r="J1970" s="1">
        <v>0.98855747055552734</v>
      </c>
      <c r="K1970" s="1" t="s">
        <v>181</v>
      </c>
    </row>
    <row r="1971" spans="1:11" x14ac:dyDescent="0.25">
      <c r="A1971" s="1" t="s">
        <v>6209</v>
      </c>
      <c r="B1971" s="1" t="s">
        <v>6210</v>
      </c>
      <c r="D1971" s="1" t="s">
        <v>6211</v>
      </c>
      <c r="E1971" s="1" t="s">
        <v>209</v>
      </c>
      <c r="F1971" s="1" t="s">
        <v>5017</v>
      </c>
      <c r="G1971" s="1" t="s">
        <v>5018</v>
      </c>
      <c r="H1971" s="1">
        <v>0.1</v>
      </c>
      <c r="I1971" s="1">
        <v>0.1</v>
      </c>
      <c r="J1971" s="1">
        <v>0.92938176395841265</v>
      </c>
      <c r="K1971" s="1" t="s">
        <v>181</v>
      </c>
    </row>
    <row r="1972" spans="1:11" x14ac:dyDescent="0.25">
      <c r="A1972" s="1" t="s">
        <v>6212</v>
      </c>
      <c r="B1972" s="1" t="s">
        <v>6213</v>
      </c>
      <c r="D1972" s="1" t="s">
        <v>6214</v>
      </c>
      <c r="E1972" s="1" t="s">
        <v>209</v>
      </c>
      <c r="F1972" s="1" t="s">
        <v>5017</v>
      </c>
      <c r="G1972" s="1" t="s">
        <v>5018</v>
      </c>
      <c r="H1972" s="1">
        <v>0.1</v>
      </c>
      <c r="I1972" s="1">
        <v>0.1</v>
      </c>
      <c r="J1972" s="1">
        <v>0.62166769511452091</v>
      </c>
      <c r="K1972" s="1" t="s">
        <v>181</v>
      </c>
    </row>
    <row r="1973" spans="1:11" x14ac:dyDescent="0.25">
      <c r="A1973" s="1" t="s">
        <v>6215</v>
      </c>
      <c r="B1973" s="1" t="s">
        <v>6216</v>
      </c>
      <c r="D1973" s="1" t="s">
        <v>6217</v>
      </c>
      <c r="E1973" s="1" t="s">
        <v>209</v>
      </c>
      <c r="F1973" s="1" t="s">
        <v>5017</v>
      </c>
      <c r="G1973" s="1" t="s">
        <v>5018</v>
      </c>
      <c r="H1973" s="1">
        <v>0.1</v>
      </c>
      <c r="I1973" s="1">
        <v>0.1</v>
      </c>
      <c r="J1973" s="1">
        <v>0.53680033325333132</v>
      </c>
      <c r="K1973" s="1" t="s">
        <v>181</v>
      </c>
    </row>
    <row r="1974" spans="1:11" x14ac:dyDescent="0.25">
      <c r="A1974" s="1" t="s">
        <v>6218</v>
      </c>
      <c r="B1974" s="1" t="s">
        <v>6219</v>
      </c>
      <c r="D1974" s="1" t="s">
        <v>6220</v>
      </c>
      <c r="E1974" s="1" t="s">
        <v>209</v>
      </c>
      <c r="F1974" s="1" t="s">
        <v>5017</v>
      </c>
      <c r="G1974" s="1" t="s">
        <v>5018</v>
      </c>
      <c r="H1974" s="1">
        <v>0.1</v>
      </c>
      <c r="I1974" s="1">
        <v>0.1</v>
      </c>
      <c r="J1974" s="1">
        <v>0.70696277936732188</v>
      </c>
      <c r="K1974" s="1" t="s">
        <v>181</v>
      </c>
    </row>
    <row r="1975" spans="1:11" x14ac:dyDescent="0.25">
      <c r="A1975" s="1" t="s">
        <v>6221</v>
      </c>
      <c r="B1975" s="1" t="s">
        <v>6222</v>
      </c>
      <c r="D1975" s="1" t="s">
        <v>6223</v>
      </c>
      <c r="E1975" s="1" t="s">
        <v>209</v>
      </c>
      <c r="F1975" s="1" t="s">
        <v>5017</v>
      </c>
      <c r="G1975" s="1" t="s">
        <v>5018</v>
      </c>
      <c r="H1975" s="1">
        <v>0.1</v>
      </c>
      <c r="I1975" s="1">
        <v>0.1</v>
      </c>
      <c r="J1975" s="1">
        <v>0.69154388929018373</v>
      </c>
      <c r="K1975" s="1" t="s">
        <v>181</v>
      </c>
    </row>
    <row r="1976" spans="1:11" x14ac:dyDescent="0.25">
      <c r="A1976" s="1" t="s">
        <v>6224</v>
      </c>
      <c r="B1976" s="1" t="s">
        <v>6225</v>
      </c>
      <c r="D1976" s="1" t="s">
        <v>6226</v>
      </c>
      <c r="E1976" s="1" t="s">
        <v>209</v>
      </c>
      <c r="F1976" s="1" t="s">
        <v>5017</v>
      </c>
      <c r="G1976" s="1" t="s">
        <v>5018</v>
      </c>
      <c r="H1976" s="1">
        <v>0.1</v>
      </c>
      <c r="I1976" s="1">
        <v>0.1</v>
      </c>
      <c r="J1976" s="1">
        <v>0.74173427707110406</v>
      </c>
      <c r="K1976" s="1" t="s">
        <v>181</v>
      </c>
    </row>
    <row r="1977" spans="1:11" x14ac:dyDescent="0.25">
      <c r="A1977" s="1" t="s">
        <v>6227</v>
      </c>
      <c r="B1977" s="1" t="s">
        <v>6228</v>
      </c>
      <c r="D1977" s="1" t="s">
        <v>6229</v>
      </c>
      <c r="E1977" s="1" t="s">
        <v>209</v>
      </c>
      <c r="F1977" s="1" t="s">
        <v>5017</v>
      </c>
      <c r="G1977" s="1" t="s">
        <v>5018</v>
      </c>
      <c r="H1977" s="1">
        <v>0.1</v>
      </c>
      <c r="I1977" s="1">
        <v>0.1</v>
      </c>
      <c r="J1977" s="1">
        <v>0.77088574379761599</v>
      </c>
      <c r="K1977" s="1" t="s">
        <v>181</v>
      </c>
    </row>
    <row r="1978" spans="1:11" x14ac:dyDescent="0.25">
      <c r="A1978" s="1" t="s">
        <v>6230</v>
      </c>
      <c r="B1978" s="1" t="s">
        <v>6231</v>
      </c>
      <c r="D1978" s="1" t="s">
        <v>6232</v>
      </c>
      <c r="E1978" s="1" t="s">
        <v>209</v>
      </c>
      <c r="F1978" s="1" t="s">
        <v>5017</v>
      </c>
      <c r="G1978" s="1" t="s">
        <v>5018</v>
      </c>
      <c r="H1978" s="1">
        <v>0.1</v>
      </c>
      <c r="I1978" s="1">
        <v>0.1</v>
      </c>
      <c r="J1978" s="1">
        <v>0.49903127550320153</v>
      </c>
      <c r="K1978" s="1" t="s">
        <v>181</v>
      </c>
    </row>
    <row r="1979" spans="1:11" x14ac:dyDescent="0.25">
      <c r="A1979" s="1" t="s">
        <v>6233</v>
      </c>
      <c r="B1979" s="1" t="s">
        <v>6234</v>
      </c>
      <c r="D1979" s="1" t="s">
        <v>6235</v>
      </c>
      <c r="E1979" s="1" t="s">
        <v>209</v>
      </c>
      <c r="F1979" s="1" t="s">
        <v>5017</v>
      </c>
      <c r="G1979" s="1" t="s">
        <v>5018</v>
      </c>
      <c r="H1979" s="1">
        <v>0.1</v>
      </c>
      <c r="I1979" s="1">
        <v>0.1</v>
      </c>
      <c r="J1979" s="1">
        <v>0.51630203938830554</v>
      </c>
      <c r="K1979" s="1" t="s">
        <v>181</v>
      </c>
    </row>
    <row r="1980" spans="1:11" x14ac:dyDescent="0.25">
      <c r="A1980" s="1" t="s">
        <v>6236</v>
      </c>
      <c r="B1980" s="1" t="s">
        <v>6237</v>
      </c>
      <c r="D1980" s="1" t="s">
        <v>6238</v>
      </c>
      <c r="E1980" s="1" t="s">
        <v>209</v>
      </c>
      <c r="F1980" s="1" t="s">
        <v>5017</v>
      </c>
      <c r="G1980" s="1" t="s">
        <v>5018</v>
      </c>
      <c r="H1980" s="1">
        <v>0.1</v>
      </c>
      <c r="I1980" s="1">
        <v>0.1</v>
      </c>
      <c r="J1980" s="1">
        <v>0.81344612055921595</v>
      </c>
      <c r="K1980" s="1" t="s">
        <v>181</v>
      </c>
    </row>
    <row r="1981" spans="1:11" x14ac:dyDescent="0.25">
      <c r="A1981" s="1" t="s">
        <v>6239</v>
      </c>
      <c r="B1981" s="1" t="s">
        <v>6240</v>
      </c>
      <c r="D1981" s="1" t="s">
        <v>6241</v>
      </c>
      <c r="E1981" s="1" t="s">
        <v>209</v>
      </c>
      <c r="F1981" s="1" t="s">
        <v>5017</v>
      </c>
      <c r="G1981" s="1" t="s">
        <v>5018</v>
      </c>
      <c r="H1981" s="1">
        <v>0.1</v>
      </c>
      <c r="I1981" s="1">
        <v>0.1</v>
      </c>
      <c r="J1981" s="1">
        <v>0.63605363735265541</v>
      </c>
      <c r="K1981" s="1" t="s">
        <v>181</v>
      </c>
    </row>
    <row r="1982" spans="1:11" x14ac:dyDescent="0.25">
      <c r="A1982" s="1" t="s">
        <v>6242</v>
      </c>
      <c r="B1982" s="1" t="s">
        <v>6243</v>
      </c>
      <c r="D1982" s="1" t="s">
        <v>6244</v>
      </c>
      <c r="E1982" s="1" t="s">
        <v>209</v>
      </c>
      <c r="F1982" s="1" t="s">
        <v>5017</v>
      </c>
      <c r="G1982" s="1" t="s">
        <v>5018</v>
      </c>
      <c r="H1982" s="1">
        <v>0.1</v>
      </c>
      <c r="I1982" s="1">
        <v>0.1</v>
      </c>
      <c r="J1982" s="1">
        <v>0.71682176138217302</v>
      </c>
      <c r="K1982" s="1" t="s">
        <v>181</v>
      </c>
    </row>
    <row r="1983" spans="1:11" x14ac:dyDescent="0.25">
      <c r="A1983" s="1" t="s">
        <v>6245</v>
      </c>
      <c r="B1983" s="1" t="s">
        <v>6246</v>
      </c>
      <c r="D1983" s="1" t="s">
        <v>6247</v>
      </c>
      <c r="E1983" s="1" t="s">
        <v>209</v>
      </c>
      <c r="F1983" s="1" t="s">
        <v>5017</v>
      </c>
      <c r="G1983" s="1" t="s">
        <v>5018</v>
      </c>
      <c r="H1983" s="1">
        <v>0.1</v>
      </c>
      <c r="I1983" s="1">
        <v>0.1</v>
      </c>
      <c r="J1983" s="1">
        <v>0.97715505061393249</v>
      </c>
      <c r="K1983" s="1" t="s">
        <v>181</v>
      </c>
    </row>
    <row r="1984" spans="1:11" x14ac:dyDescent="0.25">
      <c r="A1984" s="1" t="s">
        <v>6248</v>
      </c>
      <c r="B1984" s="1" t="s">
        <v>6249</v>
      </c>
      <c r="D1984" s="1" t="s">
        <v>6250</v>
      </c>
      <c r="E1984" s="1" t="s">
        <v>209</v>
      </c>
      <c r="F1984" s="1" t="s">
        <v>5017</v>
      </c>
      <c r="G1984" s="1" t="s">
        <v>5018</v>
      </c>
      <c r="H1984" s="1">
        <v>0.1</v>
      </c>
      <c r="I1984" s="1">
        <v>0.1</v>
      </c>
      <c r="J1984" s="1">
        <v>0.45718191608082659</v>
      </c>
      <c r="K1984" s="1" t="s">
        <v>181</v>
      </c>
    </row>
    <row r="1985" spans="1:11" x14ac:dyDescent="0.25">
      <c r="A1985" s="1" t="s">
        <v>6251</v>
      </c>
      <c r="B1985" s="1" t="s">
        <v>6252</v>
      </c>
      <c r="D1985" s="1" t="s">
        <v>6253</v>
      </c>
      <c r="E1985" s="1" t="s">
        <v>209</v>
      </c>
      <c r="F1985" s="1" t="s">
        <v>5017</v>
      </c>
      <c r="G1985" s="1" t="s">
        <v>5018</v>
      </c>
      <c r="H1985" s="1">
        <v>0.1</v>
      </c>
      <c r="I1985" s="1">
        <v>0.1</v>
      </c>
      <c r="J1985" s="1">
        <v>0.63785469816010232</v>
      </c>
      <c r="K1985" s="1" t="s">
        <v>181</v>
      </c>
    </row>
    <row r="1986" spans="1:11" x14ac:dyDescent="0.25">
      <c r="A1986" s="1" t="s">
        <v>6254</v>
      </c>
      <c r="B1986" s="1" t="s">
        <v>6255</v>
      </c>
      <c r="D1986" s="1" t="s">
        <v>6256</v>
      </c>
      <c r="E1986" s="1" t="s">
        <v>209</v>
      </c>
      <c r="F1986" s="1" t="s">
        <v>5017</v>
      </c>
      <c r="G1986" s="1" t="s">
        <v>5018</v>
      </c>
      <c r="H1986" s="1">
        <v>0.1</v>
      </c>
      <c r="I1986" s="1">
        <v>0.1</v>
      </c>
      <c r="J1986" s="1">
        <v>0.42810744311629712</v>
      </c>
      <c r="K1986" s="1" t="s">
        <v>181</v>
      </c>
    </row>
    <row r="1987" spans="1:11" x14ac:dyDescent="0.25">
      <c r="A1987" s="1" t="s">
        <v>6257</v>
      </c>
      <c r="B1987" s="1" t="s">
        <v>6258</v>
      </c>
      <c r="D1987" s="1" t="s">
        <v>6259</v>
      </c>
      <c r="E1987" s="1" t="s">
        <v>209</v>
      </c>
      <c r="F1987" s="1" t="s">
        <v>5017</v>
      </c>
      <c r="G1987" s="1" t="s">
        <v>5018</v>
      </c>
      <c r="H1987" s="1">
        <v>0.1</v>
      </c>
      <c r="I1987" s="1">
        <v>0.1</v>
      </c>
      <c r="J1987" s="1">
        <v>0.53286684852399435</v>
      </c>
      <c r="K1987" s="1" t="s">
        <v>181</v>
      </c>
    </row>
    <row r="1988" spans="1:11" x14ac:dyDescent="0.25">
      <c r="A1988" s="1" t="s">
        <v>6260</v>
      </c>
      <c r="B1988" s="1" t="s">
        <v>6261</v>
      </c>
      <c r="D1988" s="1" t="s">
        <v>6262</v>
      </c>
      <c r="E1988" s="1" t="s">
        <v>209</v>
      </c>
      <c r="F1988" s="1" t="s">
        <v>5017</v>
      </c>
      <c r="G1988" s="1" t="s">
        <v>5018</v>
      </c>
      <c r="H1988" s="1">
        <v>0.1</v>
      </c>
      <c r="I1988" s="1">
        <v>0.1</v>
      </c>
      <c r="J1988" s="1">
        <v>0.47919247179211494</v>
      </c>
      <c r="K1988" s="1" t="s">
        <v>181</v>
      </c>
    </row>
    <row r="1989" spans="1:11" x14ac:dyDescent="0.25">
      <c r="A1989" s="1" t="s">
        <v>6263</v>
      </c>
      <c r="B1989" s="1" t="s">
        <v>6264</v>
      </c>
      <c r="D1989" s="1" t="s">
        <v>6265</v>
      </c>
      <c r="E1989" s="1" t="s">
        <v>209</v>
      </c>
      <c r="F1989" s="1" t="s">
        <v>5017</v>
      </c>
      <c r="G1989" s="1" t="s">
        <v>5018</v>
      </c>
      <c r="H1989" s="1">
        <v>0.1</v>
      </c>
      <c r="I1989" s="1">
        <v>0.1</v>
      </c>
      <c r="J1989" s="1">
        <v>0.57518259116790904</v>
      </c>
      <c r="K1989" s="1" t="s">
        <v>181</v>
      </c>
    </row>
    <row r="1990" spans="1:11" x14ac:dyDescent="0.25">
      <c r="A1990" s="1" t="s">
        <v>6266</v>
      </c>
      <c r="B1990" s="1" t="s">
        <v>6267</v>
      </c>
      <c r="D1990" s="1" t="s">
        <v>6268</v>
      </c>
      <c r="E1990" s="1" t="s">
        <v>209</v>
      </c>
      <c r="F1990" s="1" t="s">
        <v>5017</v>
      </c>
      <c r="G1990" s="1" t="s">
        <v>5018</v>
      </c>
      <c r="H1990" s="1">
        <v>0.1</v>
      </c>
      <c r="I1990" s="1">
        <v>0.1</v>
      </c>
      <c r="J1990" s="1">
        <v>0.57153468645153882</v>
      </c>
      <c r="K1990" s="1" t="s">
        <v>181</v>
      </c>
    </row>
    <row r="1991" spans="1:11" x14ac:dyDescent="0.25">
      <c r="A1991" s="1" t="s">
        <v>6269</v>
      </c>
      <c r="B1991" s="1" t="s">
        <v>6270</v>
      </c>
      <c r="D1991" s="1" t="s">
        <v>6271</v>
      </c>
      <c r="E1991" s="1" t="s">
        <v>209</v>
      </c>
      <c r="F1991" s="1" t="s">
        <v>5017</v>
      </c>
      <c r="G1991" s="1" t="s">
        <v>5018</v>
      </c>
      <c r="H1991" s="1">
        <v>0.1</v>
      </c>
      <c r="I1991" s="1">
        <v>0.1</v>
      </c>
      <c r="J1991" s="1">
        <v>0.63310260097405979</v>
      </c>
      <c r="K1991" s="1" t="s">
        <v>181</v>
      </c>
    </row>
    <row r="1992" spans="1:11" x14ac:dyDescent="0.25">
      <c r="A1992" s="1" t="s">
        <v>6272</v>
      </c>
      <c r="B1992" s="1" t="s">
        <v>6273</v>
      </c>
      <c r="D1992" s="1" t="s">
        <v>6274</v>
      </c>
      <c r="E1992" s="1" t="s">
        <v>209</v>
      </c>
      <c r="F1992" s="1" t="s">
        <v>5017</v>
      </c>
      <c r="G1992" s="1" t="s">
        <v>5018</v>
      </c>
      <c r="H1992" s="1">
        <v>0.1</v>
      </c>
      <c r="I1992" s="1">
        <v>0.1</v>
      </c>
      <c r="J1992" s="1">
        <v>0.60123394657479257</v>
      </c>
      <c r="K1992" s="1" t="s">
        <v>181</v>
      </c>
    </row>
    <row r="1993" spans="1:11" x14ac:dyDescent="0.25">
      <c r="A1993" s="1" t="s">
        <v>6275</v>
      </c>
      <c r="B1993" s="1" t="s">
        <v>6276</v>
      </c>
      <c r="D1993" s="1" t="s">
        <v>6277</v>
      </c>
      <c r="E1993" s="1" t="s">
        <v>209</v>
      </c>
      <c r="F1993" s="1" t="s">
        <v>5017</v>
      </c>
      <c r="G1993" s="1" t="s">
        <v>5018</v>
      </c>
      <c r="H1993" s="1">
        <v>0.1</v>
      </c>
      <c r="I1993" s="1">
        <v>0.1</v>
      </c>
      <c r="J1993" s="1">
        <v>0.61025656958600372</v>
      </c>
      <c r="K1993" s="1" t="s">
        <v>181</v>
      </c>
    </row>
    <row r="1994" spans="1:11" x14ac:dyDescent="0.25">
      <c r="A1994" s="1" t="s">
        <v>6278</v>
      </c>
      <c r="B1994" s="1" t="s">
        <v>6279</v>
      </c>
      <c r="D1994" s="1" t="s">
        <v>6280</v>
      </c>
      <c r="E1994" s="1" t="s">
        <v>209</v>
      </c>
      <c r="F1994" s="1" t="s">
        <v>5017</v>
      </c>
      <c r="G1994" s="1" t="s">
        <v>5018</v>
      </c>
      <c r="H1994" s="1">
        <v>0.1</v>
      </c>
      <c r="I1994" s="1">
        <v>0.1</v>
      </c>
      <c r="J1994" s="1">
        <v>0.54695132493540732</v>
      </c>
      <c r="K1994" s="1" t="s">
        <v>181</v>
      </c>
    </row>
    <row r="1995" spans="1:11" x14ac:dyDescent="0.25">
      <c r="A1995" s="1" t="s">
        <v>6281</v>
      </c>
      <c r="B1995" s="1" t="s">
        <v>6282</v>
      </c>
      <c r="D1995" s="1" t="s">
        <v>6283</v>
      </c>
      <c r="E1995" s="1" t="s">
        <v>209</v>
      </c>
      <c r="F1995" s="1" t="s">
        <v>5017</v>
      </c>
      <c r="G1995" s="1" t="s">
        <v>5018</v>
      </c>
      <c r="H1995" s="1">
        <v>0.1</v>
      </c>
      <c r="I1995" s="1">
        <v>0.1</v>
      </c>
      <c r="J1995" s="1">
        <v>0.61681024110241156</v>
      </c>
      <c r="K1995" s="1" t="s">
        <v>181</v>
      </c>
    </row>
    <row r="1996" spans="1:11" x14ac:dyDescent="0.25">
      <c r="A1996" s="1" t="s">
        <v>6284</v>
      </c>
      <c r="B1996" s="1" t="s">
        <v>6285</v>
      </c>
      <c r="D1996" s="1" t="s">
        <v>6286</v>
      </c>
      <c r="E1996" s="1" t="s">
        <v>209</v>
      </c>
      <c r="F1996" s="1" t="s">
        <v>5017</v>
      </c>
      <c r="G1996" s="1" t="s">
        <v>5018</v>
      </c>
      <c r="H1996" s="1">
        <v>0.1</v>
      </c>
      <c r="I1996" s="1">
        <v>0.1</v>
      </c>
      <c r="J1996" s="1">
        <v>0.82157714312727892</v>
      </c>
      <c r="K1996" s="1" t="s">
        <v>181</v>
      </c>
    </row>
    <row r="1997" spans="1:11" x14ac:dyDescent="0.25">
      <c r="A1997" s="1" t="s">
        <v>6287</v>
      </c>
      <c r="B1997" s="1" t="s">
        <v>6288</v>
      </c>
      <c r="D1997" s="1" t="s">
        <v>6289</v>
      </c>
      <c r="E1997" s="1" t="s">
        <v>209</v>
      </c>
      <c r="F1997" s="1" t="s">
        <v>5017</v>
      </c>
      <c r="G1997" s="1" t="s">
        <v>5018</v>
      </c>
      <c r="H1997" s="1">
        <v>0.1</v>
      </c>
      <c r="I1997" s="1">
        <v>0.1</v>
      </c>
      <c r="J1997" s="1">
        <v>0.3711274232990604</v>
      </c>
      <c r="K1997" s="1" t="s">
        <v>181</v>
      </c>
    </row>
    <row r="1998" spans="1:11" x14ac:dyDescent="0.25">
      <c r="A1998" s="1" t="s">
        <v>6290</v>
      </c>
      <c r="B1998" s="1" t="s">
        <v>6291</v>
      </c>
      <c r="D1998" s="1" t="s">
        <v>6292</v>
      </c>
      <c r="E1998" s="1" t="s">
        <v>209</v>
      </c>
      <c r="F1998" s="1" t="s">
        <v>5017</v>
      </c>
      <c r="G1998" s="1" t="s">
        <v>5018</v>
      </c>
      <c r="H1998" s="1">
        <v>0.1</v>
      </c>
      <c r="I1998" s="1">
        <v>0.1</v>
      </c>
      <c r="J1998" s="1">
        <v>0.34932001662227186</v>
      </c>
      <c r="K1998" s="1" t="s">
        <v>181</v>
      </c>
    </row>
    <row r="1999" spans="1:11" x14ac:dyDescent="0.25">
      <c r="A1999" s="1" t="s">
        <v>6293</v>
      </c>
      <c r="B1999" s="1" t="s">
        <v>6294</v>
      </c>
      <c r="D1999" s="1" t="s">
        <v>6295</v>
      </c>
      <c r="E1999" s="1" t="s">
        <v>209</v>
      </c>
      <c r="F1999" s="1" t="s">
        <v>5017</v>
      </c>
      <c r="G1999" s="1" t="s">
        <v>5018</v>
      </c>
      <c r="H1999" s="1">
        <v>0.1</v>
      </c>
      <c r="I1999" s="1">
        <v>0.1</v>
      </c>
      <c r="J1999" s="1">
        <v>0.36962299672714372</v>
      </c>
      <c r="K1999" s="1" t="s">
        <v>181</v>
      </c>
    </row>
    <row r="2000" spans="1:11" x14ac:dyDescent="0.25">
      <c r="A2000" s="1" t="s">
        <v>6296</v>
      </c>
      <c r="B2000" s="1" t="s">
        <v>6297</v>
      </c>
      <c r="D2000" s="1" t="s">
        <v>6298</v>
      </c>
      <c r="E2000" s="1" t="s">
        <v>209</v>
      </c>
      <c r="F2000" s="1" t="s">
        <v>5017</v>
      </c>
      <c r="G2000" s="1" t="s">
        <v>5018</v>
      </c>
      <c r="H2000" s="1">
        <v>0.1</v>
      </c>
      <c r="I2000" s="1">
        <v>0.1</v>
      </c>
      <c r="J2000" s="1">
        <v>0.61958721798798366</v>
      </c>
      <c r="K2000" s="1" t="s">
        <v>181</v>
      </c>
    </row>
    <row r="2001" spans="1:11" x14ac:dyDescent="0.25">
      <c r="A2001" s="1" t="s">
        <v>6299</v>
      </c>
      <c r="B2001" s="1" t="s">
        <v>6300</v>
      </c>
      <c r="D2001" s="1" t="s">
        <v>6301</v>
      </c>
      <c r="E2001" s="1" t="s">
        <v>209</v>
      </c>
      <c r="F2001" s="1" t="s">
        <v>5017</v>
      </c>
      <c r="G2001" s="1" t="s">
        <v>5018</v>
      </c>
      <c r="H2001" s="1">
        <v>0.1</v>
      </c>
      <c r="I2001" s="1">
        <v>0.1</v>
      </c>
      <c r="J2001" s="1">
        <v>0.74559950925445462</v>
      </c>
      <c r="K2001" s="1" t="s">
        <v>181</v>
      </c>
    </row>
    <row r="2002" spans="1:11" x14ac:dyDescent="0.25">
      <c r="A2002" s="1" t="s">
        <v>6302</v>
      </c>
      <c r="B2002" s="1" t="s">
        <v>6303</v>
      </c>
      <c r="D2002" s="1" t="s">
        <v>6304</v>
      </c>
      <c r="E2002" s="1" t="s">
        <v>209</v>
      </c>
      <c r="F2002" s="1" t="s">
        <v>5017</v>
      </c>
      <c r="G2002" s="1" t="s">
        <v>5018</v>
      </c>
      <c r="H2002" s="1">
        <v>0.1</v>
      </c>
      <c r="I2002" s="1">
        <v>0.1</v>
      </c>
      <c r="J2002" s="1">
        <v>0.7662284622696478</v>
      </c>
      <c r="K2002" s="1" t="s">
        <v>181</v>
      </c>
    </row>
    <row r="2003" spans="1:11" x14ac:dyDescent="0.25">
      <c r="A2003" s="1" t="s">
        <v>6305</v>
      </c>
      <c r="B2003" s="1" t="s">
        <v>6306</v>
      </c>
      <c r="D2003" s="1" t="s">
        <v>6307</v>
      </c>
      <c r="E2003" s="1" t="s">
        <v>209</v>
      </c>
      <c r="F2003" s="1" t="s">
        <v>5017</v>
      </c>
      <c r="G2003" s="1" t="s">
        <v>5018</v>
      </c>
      <c r="H2003" s="1">
        <v>0.1</v>
      </c>
      <c r="I2003" s="1">
        <v>0.1</v>
      </c>
      <c r="J2003" s="1">
        <v>0.52270635145609357</v>
      </c>
      <c r="K2003" s="1" t="s">
        <v>181</v>
      </c>
    </row>
    <row r="2004" spans="1:11" x14ac:dyDescent="0.25">
      <c r="A2004" s="1" t="s">
        <v>6308</v>
      </c>
      <c r="B2004" s="1" t="s">
        <v>6309</v>
      </c>
      <c r="D2004" s="1" t="s">
        <v>6310</v>
      </c>
      <c r="E2004" s="1" t="s">
        <v>209</v>
      </c>
      <c r="F2004" s="1" t="s">
        <v>5017</v>
      </c>
      <c r="G2004" s="1" t="s">
        <v>5018</v>
      </c>
      <c r="H2004" s="1">
        <v>0.1</v>
      </c>
      <c r="I2004" s="1">
        <v>0.1</v>
      </c>
      <c r="J2004" s="1">
        <v>0.4590180967255964</v>
      </c>
      <c r="K2004" s="1" t="s">
        <v>181</v>
      </c>
    </row>
    <row r="2005" spans="1:11" x14ac:dyDescent="0.25">
      <c r="A2005" s="1" t="s">
        <v>6311</v>
      </c>
      <c r="B2005" s="1" t="s">
        <v>6312</v>
      </c>
      <c r="D2005" s="1" t="s">
        <v>6313</v>
      </c>
      <c r="E2005" s="1" t="s">
        <v>209</v>
      </c>
      <c r="F2005" s="1" t="s">
        <v>5017</v>
      </c>
      <c r="G2005" s="1" t="s">
        <v>5018</v>
      </c>
      <c r="H2005" s="1">
        <v>0.1</v>
      </c>
      <c r="I2005" s="1">
        <v>0.1</v>
      </c>
      <c r="J2005" s="1">
        <v>0.47179948058924664</v>
      </c>
      <c r="K2005" s="1" t="s">
        <v>181</v>
      </c>
    </row>
    <row r="2006" spans="1:11" x14ac:dyDescent="0.25">
      <c r="A2006" s="1" t="s">
        <v>6314</v>
      </c>
      <c r="B2006" s="1" t="s">
        <v>6315</v>
      </c>
      <c r="D2006" s="1" t="s">
        <v>6316</v>
      </c>
      <c r="E2006" s="1" t="s">
        <v>209</v>
      </c>
      <c r="F2006" s="1" t="s">
        <v>5017</v>
      </c>
      <c r="G2006" s="1" t="s">
        <v>5018</v>
      </c>
      <c r="H2006" s="1">
        <v>0.1</v>
      </c>
      <c r="I2006" s="1">
        <v>0.1</v>
      </c>
      <c r="J2006" s="1">
        <v>0.81609265441045631</v>
      </c>
      <c r="K2006" s="1" t="s">
        <v>181</v>
      </c>
    </row>
    <row r="2007" spans="1:11" x14ac:dyDescent="0.25">
      <c r="A2007" s="1" t="s">
        <v>6317</v>
      </c>
      <c r="B2007" s="1" t="s">
        <v>6318</v>
      </c>
      <c r="D2007" s="1" t="s">
        <v>6319</v>
      </c>
      <c r="E2007" s="1" t="s">
        <v>209</v>
      </c>
      <c r="F2007" s="1" t="s">
        <v>5017</v>
      </c>
      <c r="G2007" s="1" t="s">
        <v>5018</v>
      </c>
      <c r="H2007" s="1">
        <v>0.1</v>
      </c>
      <c r="I2007" s="1">
        <v>0.1</v>
      </c>
      <c r="J2007" s="1">
        <v>0.4918997563179392</v>
      </c>
      <c r="K2007" s="1" t="s">
        <v>181</v>
      </c>
    </row>
    <row r="2008" spans="1:11" x14ac:dyDescent="0.25">
      <c r="A2008" s="1" t="s">
        <v>6320</v>
      </c>
      <c r="B2008" s="1" t="s">
        <v>6321</v>
      </c>
      <c r="D2008" s="1" t="s">
        <v>6322</v>
      </c>
      <c r="E2008" s="1" t="s">
        <v>209</v>
      </c>
      <c r="F2008" s="1" t="s">
        <v>5017</v>
      </c>
      <c r="G2008" s="1" t="s">
        <v>5018</v>
      </c>
      <c r="H2008" s="1">
        <v>0.1</v>
      </c>
      <c r="I2008" s="1">
        <v>0.1</v>
      </c>
      <c r="J2008" s="1">
        <v>0.90680394983081414</v>
      </c>
      <c r="K2008" s="1" t="s">
        <v>181</v>
      </c>
    </row>
    <row r="2009" spans="1:11" x14ac:dyDescent="0.25">
      <c r="A2009" s="1" t="s">
        <v>6323</v>
      </c>
      <c r="B2009" s="1" t="s">
        <v>6324</v>
      </c>
      <c r="D2009" s="1" t="s">
        <v>6325</v>
      </c>
      <c r="E2009" s="1" t="s">
        <v>209</v>
      </c>
      <c r="F2009" s="1" t="s">
        <v>5017</v>
      </c>
      <c r="G2009" s="1" t="s">
        <v>5018</v>
      </c>
      <c r="H2009" s="1">
        <v>0.1</v>
      </c>
      <c r="I2009" s="1">
        <v>0.1</v>
      </c>
      <c r="J2009" s="1">
        <v>0.74725599122307673</v>
      </c>
      <c r="K2009" s="1" t="s">
        <v>181</v>
      </c>
    </row>
    <row r="2010" spans="1:11" x14ac:dyDescent="0.25">
      <c r="A2010" s="1" t="s">
        <v>6326</v>
      </c>
      <c r="B2010" s="1" t="s">
        <v>6327</v>
      </c>
      <c r="D2010" s="1" t="s">
        <v>6328</v>
      </c>
      <c r="E2010" s="1" t="s">
        <v>209</v>
      </c>
      <c r="F2010" s="1" t="s">
        <v>5017</v>
      </c>
      <c r="G2010" s="1" t="s">
        <v>5018</v>
      </c>
      <c r="H2010" s="1">
        <v>0.1</v>
      </c>
      <c r="I2010" s="1">
        <v>0.1</v>
      </c>
      <c r="J2010" s="1">
        <v>0.62374410912631717</v>
      </c>
      <c r="K2010" s="1" t="s">
        <v>181</v>
      </c>
    </row>
    <row r="2011" spans="1:11" x14ac:dyDescent="0.25">
      <c r="A2011" s="1" t="s">
        <v>6329</v>
      </c>
      <c r="B2011" s="1" t="s">
        <v>6330</v>
      </c>
      <c r="D2011" s="1" t="s">
        <v>6331</v>
      </c>
      <c r="E2011" s="1" t="s">
        <v>209</v>
      </c>
      <c r="F2011" s="1" t="s">
        <v>5017</v>
      </c>
      <c r="G2011" s="1" t="s">
        <v>5018</v>
      </c>
      <c r="H2011" s="1">
        <v>0.1</v>
      </c>
      <c r="I2011" s="1">
        <v>0.1</v>
      </c>
      <c r="J2011" s="1">
        <v>0.65660508761799097</v>
      </c>
      <c r="K2011" s="1" t="s">
        <v>181</v>
      </c>
    </row>
    <row r="2012" spans="1:11" x14ac:dyDescent="0.25">
      <c r="A2012" s="1" t="s">
        <v>6332</v>
      </c>
      <c r="B2012" s="1" t="s">
        <v>6333</v>
      </c>
      <c r="D2012" s="1" t="s">
        <v>6334</v>
      </c>
      <c r="E2012" s="1" t="s">
        <v>209</v>
      </c>
      <c r="F2012" s="1" t="s">
        <v>5017</v>
      </c>
      <c r="G2012" s="1" t="s">
        <v>5018</v>
      </c>
      <c r="H2012" s="1">
        <v>0.1</v>
      </c>
      <c r="I2012" s="1">
        <v>0.1</v>
      </c>
      <c r="J2012" s="1">
        <v>0.7869679049057281</v>
      </c>
      <c r="K2012" s="1" t="s">
        <v>181</v>
      </c>
    </row>
    <row r="2013" spans="1:11" x14ac:dyDescent="0.25">
      <c r="A2013" s="1" t="s">
        <v>6335</v>
      </c>
      <c r="B2013" s="1" t="s">
        <v>6336</v>
      </c>
      <c r="D2013" s="1" t="s">
        <v>6337</v>
      </c>
      <c r="E2013" s="1" t="s">
        <v>209</v>
      </c>
      <c r="F2013" s="1" t="s">
        <v>5017</v>
      </c>
      <c r="G2013" s="1" t="s">
        <v>5018</v>
      </c>
      <c r="H2013" s="1">
        <v>0.1</v>
      </c>
      <c r="I2013" s="1">
        <v>0.1</v>
      </c>
      <c r="J2013" s="1">
        <v>0.66054397669625387</v>
      </c>
      <c r="K2013" s="1" t="s">
        <v>181</v>
      </c>
    </row>
    <row r="2014" spans="1:11" x14ac:dyDescent="0.25">
      <c r="A2014" s="1" t="s">
        <v>6338</v>
      </c>
      <c r="B2014" s="1" t="s">
        <v>6339</v>
      </c>
      <c r="D2014" s="1" t="s">
        <v>6340</v>
      </c>
      <c r="E2014" s="1" t="s">
        <v>209</v>
      </c>
      <c r="F2014" s="1" t="s">
        <v>5017</v>
      </c>
      <c r="G2014" s="1" t="s">
        <v>5018</v>
      </c>
      <c r="H2014" s="1">
        <v>0.1</v>
      </c>
      <c r="I2014" s="1">
        <v>0.1</v>
      </c>
      <c r="J2014" s="1">
        <v>0.78025500503612533</v>
      </c>
      <c r="K2014" s="1" t="s">
        <v>181</v>
      </c>
    </row>
    <row r="2015" spans="1:11" x14ac:dyDescent="0.25">
      <c r="A2015" s="1" t="s">
        <v>6341</v>
      </c>
      <c r="B2015" s="1" t="s">
        <v>6342</v>
      </c>
      <c r="D2015" s="1" t="s">
        <v>6343</v>
      </c>
      <c r="E2015" s="1" t="s">
        <v>209</v>
      </c>
      <c r="F2015" s="1" t="s">
        <v>5017</v>
      </c>
      <c r="G2015" s="1" t="s">
        <v>5018</v>
      </c>
      <c r="H2015" s="1">
        <v>0.1</v>
      </c>
      <c r="I2015" s="1">
        <v>0.1</v>
      </c>
      <c r="J2015" s="1">
        <v>0.92494678849576339</v>
      </c>
      <c r="K2015" s="1" t="s">
        <v>181</v>
      </c>
    </row>
    <row r="2016" spans="1:11" x14ac:dyDescent="0.25">
      <c r="A2016" s="1" t="s">
        <v>6344</v>
      </c>
      <c r="B2016" s="1" t="s">
        <v>6345</v>
      </c>
      <c r="D2016" s="1" t="s">
        <v>6346</v>
      </c>
      <c r="E2016" s="1" t="s">
        <v>209</v>
      </c>
      <c r="F2016" s="1" t="s">
        <v>5017</v>
      </c>
      <c r="G2016" s="1" t="s">
        <v>5018</v>
      </c>
      <c r="H2016" s="1">
        <v>0.1</v>
      </c>
      <c r="I2016" s="1">
        <v>0.1</v>
      </c>
      <c r="J2016" s="1">
        <v>0.77908639023270776</v>
      </c>
      <c r="K2016" s="1" t="s">
        <v>181</v>
      </c>
    </row>
    <row r="2017" spans="1:11" x14ac:dyDescent="0.25">
      <c r="A2017" s="1" t="s">
        <v>6347</v>
      </c>
      <c r="B2017" s="1" t="s">
        <v>6348</v>
      </c>
      <c r="D2017" s="1" t="s">
        <v>6349</v>
      </c>
      <c r="E2017" s="1" t="s">
        <v>209</v>
      </c>
      <c r="F2017" s="1" t="s">
        <v>5017</v>
      </c>
      <c r="G2017" s="1" t="s">
        <v>5018</v>
      </c>
      <c r="H2017" s="1">
        <v>0.1</v>
      </c>
      <c r="I2017" s="1">
        <v>0.1</v>
      </c>
      <c r="J2017" s="1">
        <v>0.7620874994179957</v>
      </c>
      <c r="K2017" s="1" t="s">
        <v>181</v>
      </c>
    </row>
    <row r="2018" spans="1:11" x14ac:dyDescent="0.25">
      <c r="A2018" s="1" t="s">
        <v>6350</v>
      </c>
      <c r="B2018" s="1" t="s">
        <v>6351</v>
      </c>
      <c r="D2018" s="1" t="s">
        <v>6352</v>
      </c>
      <c r="E2018" s="1" t="s">
        <v>209</v>
      </c>
      <c r="F2018" s="1" t="s">
        <v>5017</v>
      </c>
      <c r="G2018" s="1" t="s">
        <v>5018</v>
      </c>
      <c r="H2018" s="1">
        <v>0.1</v>
      </c>
      <c r="I2018" s="1">
        <v>0.1</v>
      </c>
      <c r="J2018" s="1">
        <v>0.86209754406853878</v>
      </c>
      <c r="K2018" s="1" t="s">
        <v>181</v>
      </c>
    </row>
    <row r="2019" spans="1:11" x14ac:dyDescent="0.25">
      <c r="A2019" s="1" t="s">
        <v>6353</v>
      </c>
      <c r="B2019" s="1" t="s">
        <v>6354</v>
      </c>
      <c r="D2019" s="1" t="s">
        <v>6355</v>
      </c>
      <c r="E2019" s="1" t="s">
        <v>209</v>
      </c>
      <c r="F2019" s="1" t="s">
        <v>5017</v>
      </c>
      <c r="G2019" s="1" t="s">
        <v>5018</v>
      </c>
      <c r="H2019" s="1">
        <v>0.1</v>
      </c>
      <c r="I2019" s="1">
        <v>0.1</v>
      </c>
      <c r="J2019" s="1">
        <v>0.70648533054602658</v>
      </c>
      <c r="K2019" s="1" t="s">
        <v>181</v>
      </c>
    </row>
    <row r="2020" spans="1:11" x14ac:dyDescent="0.25">
      <c r="A2020" s="1" t="s">
        <v>6356</v>
      </c>
      <c r="B2020" s="1" t="s">
        <v>6357</v>
      </c>
      <c r="D2020" s="1" t="s">
        <v>6358</v>
      </c>
      <c r="E2020" s="1" t="s">
        <v>209</v>
      </c>
      <c r="F2020" s="1" t="s">
        <v>5017</v>
      </c>
      <c r="G2020" s="1" t="s">
        <v>5018</v>
      </c>
      <c r="H2020" s="1">
        <v>0.1</v>
      </c>
      <c r="I2020" s="1">
        <v>0.1</v>
      </c>
      <c r="J2020" s="1">
        <v>0.74042818818268519</v>
      </c>
      <c r="K2020" s="1" t="s">
        <v>181</v>
      </c>
    </row>
    <row r="2021" spans="1:11" x14ac:dyDescent="0.25">
      <c r="A2021" s="1" t="s">
        <v>6359</v>
      </c>
      <c r="B2021" s="1" t="s">
        <v>6360</v>
      </c>
      <c r="D2021" s="1" t="s">
        <v>6361</v>
      </c>
      <c r="E2021" s="1" t="s">
        <v>209</v>
      </c>
      <c r="F2021" s="1" t="s">
        <v>5017</v>
      </c>
      <c r="G2021" s="1" t="s">
        <v>5018</v>
      </c>
      <c r="H2021" s="1">
        <v>0.1</v>
      </c>
      <c r="I2021" s="1">
        <v>0.1</v>
      </c>
      <c r="J2021" s="1">
        <v>0.60042778421714682</v>
      </c>
      <c r="K2021" s="1" t="s">
        <v>181</v>
      </c>
    </row>
    <row r="2022" spans="1:11" x14ac:dyDescent="0.25">
      <c r="A2022" s="1" t="s">
        <v>6362</v>
      </c>
      <c r="B2022" s="1" t="s">
        <v>6363</v>
      </c>
      <c r="D2022" s="1" t="s">
        <v>6364</v>
      </c>
      <c r="E2022" s="1" t="s">
        <v>209</v>
      </c>
      <c r="F2022" s="1" t="s">
        <v>5017</v>
      </c>
      <c r="G2022" s="1" t="s">
        <v>5018</v>
      </c>
      <c r="H2022" s="1">
        <v>0.1</v>
      </c>
      <c r="I2022" s="1">
        <v>0.1</v>
      </c>
      <c r="J2022" s="1">
        <v>0.74631566017693574</v>
      </c>
      <c r="K2022" s="1" t="s">
        <v>181</v>
      </c>
    </row>
    <row r="2023" spans="1:11" x14ac:dyDescent="0.25">
      <c r="A2023" s="1" t="s">
        <v>6365</v>
      </c>
      <c r="B2023" s="1" t="s">
        <v>6366</v>
      </c>
      <c r="D2023" s="1" t="s">
        <v>6367</v>
      </c>
      <c r="E2023" s="1" t="s">
        <v>209</v>
      </c>
      <c r="F2023" s="1" t="s">
        <v>5017</v>
      </c>
      <c r="G2023" s="1" t="s">
        <v>5018</v>
      </c>
      <c r="H2023" s="1">
        <v>0.1</v>
      </c>
      <c r="I2023" s="1">
        <v>0.1</v>
      </c>
      <c r="J2023" s="1">
        <v>0.63312953757383794</v>
      </c>
      <c r="K2023" s="1" t="s">
        <v>181</v>
      </c>
    </row>
    <row r="2024" spans="1:11" x14ac:dyDescent="0.25">
      <c r="A2024" s="1" t="s">
        <v>6368</v>
      </c>
      <c r="B2024" s="1" t="s">
        <v>6369</v>
      </c>
      <c r="D2024" s="1" t="s">
        <v>6370</v>
      </c>
      <c r="E2024" s="1" t="s">
        <v>209</v>
      </c>
      <c r="F2024" s="1" t="s">
        <v>5017</v>
      </c>
      <c r="G2024" s="1" t="s">
        <v>5018</v>
      </c>
      <c r="H2024" s="1">
        <v>0.1</v>
      </c>
      <c r="I2024" s="1">
        <v>0.1</v>
      </c>
      <c r="J2024" s="1">
        <v>0.43508402050588302</v>
      </c>
      <c r="K2024" s="1" t="s">
        <v>181</v>
      </c>
    </row>
    <row r="2025" spans="1:11" x14ac:dyDescent="0.25">
      <c r="A2025" s="1" t="s">
        <v>6371</v>
      </c>
      <c r="B2025" s="1" t="s">
        <v>6372</v>
      </c>
      <c r="D2025" s="1" t="s">
        <v>6373</v>
      </c>
      <c r="E2025" s="1" t="s">
        <v>209</v>
      </c>
      <c r="F2025" s="1" t="s">
        <v>5017</v>
      </c>
      <c r="G2025" s="1" t="s">
        <v>5018</v>
      </c>
      <c r="H2025" s="1">
        <v>0.1</v>
      </c>
      <c r="I2025" s="1">
        <v>0.1</v>
      </c>
      <c r="J2025" s="1">
        <v>0.51348029217796998</v>
      </c>
      <c r="K2025" s="1" t="s">
        <v>181</v>
      </c>
    </row>
    <row r="2026" spans="1:11" x14ac:dyDescent="0.25">
      <c r="A2026" s="1" t="s">
        <v>6374</v>
      </c>
      <c r="B2026" s="1" t="s">
        <v>6375</v>
      </c>
      <c r="D2026" s="1" t="s">
        <v>6376</v>
      </c>
      <c r="E2026" s="1" t="s">
        <v>209</v>
      </c>
      <c r="F2026" s="1" t="s">
        <v>5017</v>
      </c>
      <c r="G2026" s="1" t="s">
        <v>5018</v>
      </c>
      <c r="H2026" s="1">
        <v>0.1</v>
      </c>
      <c r="I2026" s="1">
        <v>0.1</v>
      </c>
      <c r="J2026" s="1">
        <v>0.39916125954455067</v>
      </c>
      <c r="K2026" s="1" t="s">
        <v>181</v>
      </c>
    </row>
    <row r="2027" spans="1:11" x14ac:dyDescent="0.25">
      <c r="A2027" s="1" t="s">
        <v>6377</v>
      </c>
      <c r="B2027" s="1" t="s">
        <v>6378</v>
      </c>
      <c r="D2027" s="1" t="s">
        <v>6379</v>
      </c>
      <c r="E2027" s="1" t="s">
        <v>209</v>
      </c>
      <c r="F2027" s="1" t="s">
        <v>5017</v>
      </c>
      <c r="G2027" s="1" t="s">
        <v>5018</v>
      </c>
      <c r="H2027" s="1">
        <v>0.1</v>
      </c>
      <c r="I2027" s="1">
        <v>0.1</v>
      </c>
      <c r="J2027" s="1">
        <v>0.93524366903403178</v>
      </c>
      <c r="K2027" s="1" t="s">
        <v>181</v>
      </c>
    </row>
    <row r="2028" spans="1:11" x14ac:dyDescent="0.25">
      <c r="A2028" s="1" t="s">
        <v>6380</v>
      </c>
      <c r="B2028" s="1" t="s">
        <v>6381</v>
      </c>
      <c r="D2028" s="1" t="s">
        <v>6382</v>
      </c>
      <c r="E2028" s="1" t="s">
        <v>209</v>
      </c>
      <c r="F2028" s="1" t="s">
        <v>5017</v>
      </c>
      <c r="G2028" s="1" t="s">
        <v>5018</v>
      </c>
      <c r="H2028" s="1">
        <v>0.1</v>
      </c>
      <c r="I2028" s="1">
        <v>0.1</v>
      </c>
      <c r="J2028" s="1">
        <v>0.55599177055898652</v>
      </c>
      <c r="K2028" s="1" t="s">
        <v>181</v>
      </c>
    </row>
    <row r="2029" spans="1:11" x14ac:dyDescent="0.25">
      <c r="A2029" s="1" t="s">
        <v>6383</v>
      </c>
      <c r="B2029" s="1" t="s">
        <v>6384</v>
      </c>
      <c r="D2029" s="1" t="s">
        <v>6385</v>
      </c>
      <c r="E2029" s="1" t="s">
        <v>209</v>
      </c>
      <c r="F2029" s="1" t="s">
        <v>5017</v>
      </c>
      <c r="G2029" s="1" t="s">
        <v>5018</v>
      </c>
      <c r="H2029" s="1">
        <v>0.1</v>
      </c>
      <c r="I2029" s="1">
        <v>0.1</v>
      </c>
      <c r="J2029" s="1">
        <v>0.66034645146791704</v>
      </c>
      <c r="K2029" s="1" t="s">
        <v>181</v>
      </c>
    </row>
    <row r="2030" spans="1:11" x14ac:dyDescent="0.25">
      <c r="A2030" s="1" t="s">
        <v>6386</v>
      </c>
      <c r="B2030" s="1" t="s">
        <v>6387</v>
      </c>
      <c r="D2030" s="1" t="s">
        <v>6388</v>
      </c>
      <c r="E2030" s="1" t="s">
        <v>209</v>
      </c>
      <c r="F2030" s="1" t="s">
        <v>5017</v>
      </c>
      <c r="G2030" s="1" t="s">
        <v>5018</v>
      </c>
      <c r="H2030" s="1">
        <v>0.1</v>
      </c>
      <c r="I2030" s="1">
        <v>0.1</v>
      </c>
      <c r="J2030" s="1">
        <v>0.71472035206944007</v>
      </c>
      <c r="K2030" s="1" t="s">
        <v>181</v>
      </c>
    </row>
    <row r="2031" spans="1:11" x14ac:dyDescent="0.25">
      <c r="A2031" s="1" t="s">
        <v>6389</v>
      </c>
      <c r="B2031" s="1" t="s">
        <v>6390</v>
      </c>
      <c r="D2031" s="1" t="s">
        <v>6391</v>
      </c>
      <c r="E2031" s="1" t="s">
        <v>209</v>
      </c>
      <c r="F2031" s="1" t="s">
        <v>5017</v>
      </c>
      <c r="G2031" s="1" t="s">
        <v>5018</v>
      </c>
      <c r="H2031" s="1">
        <v>0.1</v>
      </c>
      <c r="I2031" s="1">
        <v>0.1</v>
      </c>
      <c r="J2031" s="1">
        <v>0.68536962975603566</v>
      </c>
      <c r="K2031" s="1" t="s">
        <v>181</v>
      </c>
    </row>
    <row r="2032" spans="1:11" x14ac:dyDescent="0.25">
      <c r="A2032" s="1" t="s">
        <v>6392</v>
      </c>
      <c r="B2032" s="1" t="s">
        <v>6393</v>
      </c>
      <c r="D2032" s="1" t="s">
        <v>6394</v>
      </c>
      <c r="E2032" s="1" t="s">
        <v>209</v>
      </c>
      <c r="F2032" s="1" t="s">
        <v>5017</v>
      </c>
      <c r="G2032" s="1" t="s">
        <v>5018</v>
      </c>
      <c r="H2032" s="1">
        <v>0.1</v>
      </c>
      <c r="I2032" s="1">
        <v>0.1</v>
      </c>
      <c r="J2032" s="1">
        <v>0.83173041473083786</v>
      </c>
      <c r="K2032" s="1" t="s">
        <v>181</v>
      </c>
    </row>
    <row r="2033" spans="1:11" x14ac:dyDescent="0.25">
      <c r="A2033" s="1" t="s">
        <v>6395</v>
      </c>
      <c r="B2033" s="1" t="s">
        <v>6396</v>
      </c>
      <c r="D2033" s="1" t="s">
        <v>6397</v>
      </c>
      <c r="E2033" s="1" t="s">
        <v>209</v>
      </c>
      <c r="F2033" s="1" t="s">
        <v>5017</v>
      </c>
      <c r="G2033" s="1" t="s">
        <v>5018</v>
      </c>
      <c r="H2033" s="1">
        <v>0.1</v>
      </c>
      <c r="I2033" s="1">
        <v>0.1</v>
      </c>
      <c r="J2033" s="1">
        <v>0.54151450743412288</v>
      </c>
      <c r="K2033" s="1" t="s">
        <v>181</v>
      </c>
    </row>
    <row r="2034" spans="1:11" x14ac:dyDescent="0.25">
      <c r="A2034" s="1" t="s">
        <v>6398</v>
      </c>
      <c r="B2034" s="1" t="s">
        <v>6399</v>
      </c>
      <c r="D2034" s="1" t="s">
        <v>6400</v>
      </c>
      <c r="E2034" s="1" t="s">
        <v>209</v>
      </c>
      <c r="F2034" s="1" t="s">
        <v>5017</v>
      </c>
      <c r="G2034" s="1" t="s">
        <v>5018</v>
      </c>
      <c r="H2034" s="1">
        <v>0.1</v>
      </c>
      <c r="I2034" s="1">
        <v>0.1</v>
      </c>
      <c r="J2034" s="1">
        <v>0.82410760707084108</v>
      </c>
      <c r="K2034" s="1" t="s">
        <v>181</v>
      </c>
    </row>
    <row r="2035" spans="1:11" x14ac:dyDescent="0.25">
      <c r="A2035" s="1" t="s">
        <v>6401</v>
      </c>
      <c r="B2035" s="1" t="s">
        <v>6402</v>
      </c>
      <c r="D2035" s="1" t="s">
        <v>6403</v>
      </c>
      <c r="E2035" s="1" t="s">
        <v>209</v>
      </c>
      <c r="F2035" s="1" t="s">
        <v>5017</v>
      </c>
      <c r="G2035" s="1" t="s">
        <v>5018</v>
      </c>
      <c r="H2035" s="1">
        <v>0.1</v>
      </c>
      <c r="I2035" s="1">
        <v>0.1</v>
      </c>
      <c r="J2035" s="1">
        <v>0.5509853023172212</v>
      </c>
      <c r="K2035" s="1" t="s">
        <v>181</v>
      </c>
    </row>
    <row r="2036" spans="1:11" x14ac:dyDescent="0.25">
      <c r="A2036" s="1" t="s">
        <v>6404</v>
      </c>
      <c r="B2036" s="1" t="s">
        <v>6405</v>
      </c>
      <c r="D2036" s="1" t="s">
        <v>6406</v>
      </c>
      <c r="E2036" s="1" t="s">
        <v>209</v>
      </c>
      <c r="F2036" s="1" t="s">
        <v>5017</v>
      </c>
      <c r="G2036" s="1" t="s">
        <v>5018</v>
      </c>
      <c r="H2036" s="1">
        <v>0.1</v>
      </c>
      <c r="I2036" s="1">
        <v>0.1</v>
      </c>
      <c r="J2036" s="1">
        <v>0.74388593037508055</v>
      </c>
      <c r="K2036" s="1" t="s">
        <v>181</v>
      </c>
    </row>
    <row r="2037" spans="1:11" x14ac:dyDescent="0.25">
      <c r="A2037" s="1" t="s">
        <v>6407</v>
      </c>
      <c r="B2037" s="1" t="s">
        <v>6408</v>
      </c>
      <c r="D2037" s="1" t="s">
        <v>6409</v>
      </c>
      <c r="E2037" s="1" t="s">
        <v>209</v>
      </c>
      <c r="F2037" s="1" t="s">
        <v>5017</v>
      </c>
      <c r="G2037" s="1" t="s">
        <v>5018</v>
      </c>
      <c r="H2037" s="1">
        <v>0.1</v>
      </c>
      <c r="I2037" s="1">
        <v>0.1</v>
      </c>
      <c r="J2037" s="1">
        <v>0.53360052648230405</v>
      </c>
      <c r="K2037" s="1" t="s">
        <v>181</v>
      </c>
    </row>
    <row r="2038" spans="1:11" x14ac:dyDescent="0.25">
      <c r="A2038" s="1" t="s">
        <v>6410</v>
      </c>
      <c r="B2038" s="1" t="s">
        <v>6411</v>
      </c>
      <c r="D2038" s="1" t="s">
        <v>6412</v>
      </c>
      <c r="E2038" s="1" t="s">
        <v>209</v>
      </c>
      <c r="F2038" s="1" t="s">
        <v>5017</v>
      </c>
      <c r="G2038" s="1" t="s">
        <v>5018</v>
      </c>
      <c r="H2038" s="1">
        <v>0.1</v>
      </c>
      <c r="I2038" s="1">
        <v>0.1</v>
      </c>
      <c r="J2038" s="1">
        <v>0.6779671442113725</v>
      </c>
      <c r="K2038" s="1" t="s">
        <v>181</v>
      </c>
    </row>
    <row r="2039" spans="1:11" x14ac:dyDescent="0.25">
      <c r="A2039" s="1" t="s">
        <v>6413</v>
      </c>
      <c r="B2039" s="1" t="s">
        <v>6414</v>
      </c>
      <c r="D2039" s="1" t="s">
        <v>6415</v>
      </c>
      <c r="E2039" s="1" t="s">
        <v>209</v>
      </c>
      <c r="F2039" s="1" t="s">
        <v>5017</v>
      </c>
      <c r="G2039" s="1" t="s">
        <v>5018</v>
      </c>
      <c r="H2039" s="1">
        <v>0.1</v>
      </c>
      <c r="I2039" s="1">
        <v>0.1</v>
      </c>
      <c r="J2039" s="1">
        <v>0.85833379496531903</v>
      </c>
      <c r="K2039" s="1" t="s">
        <v>181</v>
      </c>
    </row>
    <row r="2040" spans="1:11" x14ac:dyDescent="0.25">
      <c r="A2040" s="1" t="s">
        <v>6416</v>
      </c>
      <c r="B2040" s="1" t="s">
        <v>6417</v>
      </c>
      <c r="D2040" s="1" t="s">
        <v>6418</v>
      </c>
      <c r="E2040" s="1" t="s">
        <v>209</v>
      </c>
      <c r="F2040" s="1" t="s">
        <v>5017</v>
      </c>
      <c r="G2040" s="1" t="s">
        <v>5018</v>
      </c>
      <c r="H2040" s="1">
        <v>0.1</v>
      </c>
      <c r="I2040" s="1">
        <v>0.1</v>
      </c>
      <c r="J2040" s="1">
        <v>0.92955658228028759</v>
      </c>
      <c r="K2040" s="1" t="s">
        <v>181</v>
      </c>
    </row>
    <row r="2041" spans="1:11" x14ac:dyDescent="0.25">
      <c r="A2041" s="1" t="s">
        <v>6419</v>
      </c>
      <c r="B2041" s="1" t="s">
        <v>6420</v>
      </c>
      <c r="D2041" s="1" t="s">
        <v>6421</v>
      </c>
      <c r="E2041" s="1" t="s">
        <v>209</v>
      </c>
      <c r="F2041" s="1" t="s">
        <v>5017</v>
      </c>
      <c r="G2041" s="1" t="s">
        <v>5018</v>
      </c>
      <c r="H2041" s="1">
        <v>0.1</v>
      </c>
      <c r="I2041" s="1">
        <v>0.1</v>
      </c>
      <c r="J2041" s="1">
        <v>0.59974077069739395</v>
      </c>
      <c r="K2041" s="1" t="s">
        <v>181</v>
      </c>
    </row>
    <row r="2042" spans="1:11" x14ac:dyDescent="0.25">
      <c r="A2042" s="1" t="s">
        <v>6422</v>
      </c>
      <c r="B2042" s="1" t="s">
        <v>6423</v>
      </c>
      <c r="D2042" s="1" t="s">
        <v>6424</v>
      </c>
      <c r="E2042" s="1" t="s">
        <v>209</v>
      </c>
      <c r="F2042" s="1" t="s">
        <v>5017</v>
      </c>
      <c r="G2042" s="1" t="s">
        <v>5018</v>
      </c>
      <c r="H2042" s="1">
        <v>0.1</v>
      </c>
      <c r="I2042" s="1">
        <v>0.1</v>
      </c>
      <c r="J2042" s="1">
        <v>0.65596418527435107</v>
      </c>
      <c r="K2042" s="1" t="s">
        <v>181</v>
      </c>
    </row>
    <row r="2043" spans="1:11" x14ac:dyDescent="0.25">
      <c r="A2043" s="1" t="s">
        <v>6425</v>
      </c>
      <c r="B2043" s="1" t="s">
        <v>6426</v>
      </c>
      <c r="D2043" s="1" t="s">
        <v>6427</v>
      </c>
      <c r="E2043" s="1" t="s">
        <v>209</v>
      </c>
      <c r="F2043" s="1" t="s">
        <v>5017</v>
      </c>
      <c r="G2043" s="1" t="s">
        <v>5018</v>
      </c>
      <c r="H2043" s="1">
        <v>0.1</v>
      </c>
      <c r="I2043" s="1">
        <v>0.1</v>
      </c>
      <c r="J2043" s="1">
        <v>0.58012119541299501</v>
      </c>
      <c r="K2043" s="1" t="s">
        <v>181</v>
      </c>
    </row>
    <row r="2044" spans="1:11" x14ac:dyDescent="0.25">
      <c r="A2044" s="1" t="s">
        <v>6428</v>
      </c>
      <c r="B2044" s="1" t="s">
        <v>6429</v>
      </c>
      <c r="D2044" s="1" t="s">
        <v>6430</v>
      </c>
      <c r="E2044" s="1" t="s">
        <v>209</v>
      </c>
      <c r="F2044" s="1" t="s">
        <v>5017</v>
      </c>
      <c r="G2044" s="1" t="s">
        <v>5018</v>
      </c>
      <c r="H2044" s="1">
        <v>0.1</v>
      </c>
      <c r="I2044" s="1">
        <v>0.1</v>
      </c>
      <c r="J2044" s="1">
        <v>0.78638809816812028</v>
      </c>
      <c r="K2044" s="1" t="s">
        <v>181</v>
      </c>
    </row>
    <row r="2045" spans="1:11" x14ac:dyDescent="0.25">
      <c r="A2045" s="1" t="s">
        <v>6431</v>
      </c>
      <c r="B2045" s="1" t="s">
        <v>6432</v>
      </c>
      <c r="D2045" s="1" t="s">
        <v>6433</v>
      </c>
      <c r="E2045" s="1" t="s">
        <v>209</v>
      </c>
      <c r="F2045" s="1" t="s">
        <v>5017</v>
      </c>
      <c r="G2045" s="1" t="s">
        <v>5018</v>
      </c>
      <c r="H2045" s="1">
        <v>0.1</v>
      </c>
      <c r="I2045" s="1">
        <v>0.1</v>
      </c>
      <c r="J2045" s="1">
        <v>0.6640393119825786</v>
      </c>
      <c r="K2045" s="1" t="s">
        <v>181</v>
      </c>
    </row>
    <row r="2046" spans="1:11" x14ac:dyDescent="0.25">
      <c r="A2046" s="1" t="s">
        <v>6434</v>
      </c>
      <c r="B2046" s="1" t="s">
        <v>6435</v>
      </c>
      <c r="D2046" s="1" t="s">
        <v>6436</v>
      </c>
      <c r="E2046" s="1" t="s">
        <v>209</v>
      </c>
      <c r="F2046" s="1" t="s">
        <v>5017</v>
      </c>
      <c r="G2046" s="1" t="s">
        <v>5018</v>
      </c>
      <c r="H2046" s="1">
        <v>0.1</v>
      </c>
      <c r="I2046" s="1">
        <v>0.1</v>
      </c>
      <c r="J2046" s="1">
        <v>0.70718723121425298</v>
      </c>
      <c r="K2046" s="1" t="s">
        <v>181</v>
      </c>
    </row>
    <row r="2047" spans="1:11" x14ac:dyDescent="0.25">
      <c r="A2047" s="1" t="s">
        <v>6437</v>
      </c>
      <c r="B2047" s="1" t="s">
        <v>6438</v>
      </c>
      <c r="D2047" s="1" t="s">
        <v>6439</v>
      </c>
      <c r="E2047" s="1" t="s">
        <v>209</v>
      </c>
      <c r="F2047" s="1" t="s">
        <v>5017</v>
      </c>
      <c r="G2047" s="1" t="s">
        <v>5018</v>
      </c>
      <c r="H2047" s="1">
        <v>0.1</v>
      </c>
      <c r="I2047" s="1">
        <v>0.1</v>
      </c>
      <c r="J2047" s="1">
        <v>0.73973684815693919</v>
      </c>
      <c r="K2047" s="1" t="s">
        <v>181</v>
      </c>
    </row>
    <row r="2048" spans="1:11" x14ac:dyDescent="0.25">
      <c r="A2048" s="1" t="s">
        <v>6440</v>
      </c>
      <c r="B2048" s="1" t="s">
        <v>6441</v>
      </c>
      <c r="D2048" s="1" t="s">
        <v>6442</v>
      </c>
      <c r="E2048" s="1" t="s">
        <v>209</v>
      </c>
      <c r="F2048" s="1" t="s">
        <v>5017</v>
      </c>
      <c r="G2048" s="1" t="s">
        <v>5018</v>
      </c>
      <c r="H2048" s="1">
        <v>0.1</v>
      </c>
      <c r="I2048" s="1">
        <v>0.1</v>
      </c>
      <c r="J2048" s="1">
        <v>0.76700248033287088</v>
      </c>
      <c r="K2048" s="1" t="s">
        <v>181</v>
      </c>
    </row>
    <row r="2049" spans="1:11" x14ac:dyDescent="0.25">
      <c r="A2049" s="1" t="s">
        <v>6443</v>
      </c>
      <c r="B2049" s="1" t="s">
        <v>6444</v>
      </c>
      <c r="D2049" s="1" t="s">
        <v>6445</v>
      </c>
      <c r="E2049" s="1" t="s">
        <v>209</v>
      </c>
      <c r="F2049" s="1" t="s">
        <v>5017</v>
      </c>
      <c r="G2049" s="1" t="s">
        <v>5018</v>
      </c>
      <c r="H2049" s="1">
        <v>0.1</v>
      </c>
      <c r="I2049" s="1">
        <v>0.1</v>
      </c>
      <c r="J2049" s="1">
        <v>0.69632748681644774</v>
      </c>
      <c r="K2049" s="1" t="s">
        <v>181</v>
      </c>
    </row>
    <row r="2050" spans="1:11" x14ac:dyDescent="0.25">
      <c r="A2050" s="1" t="s">
        <v>6446</v>
      </c>
      <c r="B2050" s="1" t="s">
        <v>6447</v>
      </c>
      <c r="D2050" s="1" t="s">
        <v>6448</v>
      </c>
      <c r="E2050" s="1" t="s">
        <v>209</v>
      </c>
      <c r="F2050" s="1" t="s">
        <v>5017</v>
      </c>
      <c r="G2050" s="1" t="s">
        <v>5018</v>
      </c>
      <c r="H2050" s="1">
        <v>0.1</v>
      </c>
      <c r="I2050" s="1">
        <v>0.1</v>
      </c>
      <c r="J2050" s="1">
        <v>0.72020107816700529</v>
      </c>
      <c r="K2050" s="1" t="s">
        <v>181</v>
      </c>
    </row>
    <row r="2051" spans="1:11" x14ac:dyDescent="0.25">
      <c r="A2051" s="1" t="s">
        <v>6449</v>
      </c>
      <c r="B2051" s="1" t="s">
        <v>6450</v>
      </c>
      <c r="D2051" s="1" t="s">
        <v>6451</v>
      </c>
      <c r="E2051" s="1" t="s">
        <v>209</v>
      </c>
      <c r="F2051" s="1" t="s">
        <v>5017</v>
      </c>
      <c r="G2051" s="1" t="s">
        <v>5018</v>
      </c>
      <c r="H2051" s="1">
        <v>0.1</v>
      </c>
      <c r="I2051" s="1">
        <v>0.1</v>
      </c>
      <c r="J2051" s="1">
        <v>0.40556132242583015</v>
      </c>
      <c r="K2051" s="1" t="s">
        <v>181</v>
      </c>
    </row>
    <row r="2052" spans="1:11" x14ac:dyDescent="0.25">
      <c r="A2052" s="1" t="s">
        <v>6452</v>
      </c>
      <c r="B2052" s="1" t="s">
        <v>6453</v>
      </c>
      <c r="D2052" s="1" t="s">
        <v>6454</v>
      </c>
      <c r="E2052" s="1" t="s">
        <v>209</v>
      </c>
      <c r="F2052" s="1" t="s">
        <v>5017</v>
      </c>
      <c r="G2052" s="1" t="s">
        <v>5018</v>
      </c>
      <c r="H2052" s="1">
        <v>0.1</v>
      </c>
      <c r="I2052" s="1">
        <v>0.1</v>
      </c>
      <c r="J2052" s="1">
        <v>0.59450037383610543</v>
      </c>
      <c r="K2052" s="1" t="s">
        <v>181</v>
      </c>
    </row>
    <row r="2053" spans="1:11" x14ac:dyDescent="0.25">
      <c r="A2053" s="1" t="s">
        <v>6455</v>
      </c>
      <c r="B2053" s="1" t="s">
        <v>6456</v>
      </c>
      <c r="D2053" s="1" t="s">
        <v>6457</v>
      </c>
      <c r="E2053" s="1" t="s">
        <v>209</v>
      </c>
      <c r="F2053" s="1" t="s">
        <v>5017</v>
      </c>
      <c r="G2053" s="1" t="s">
        <v>5018</v>
      </c>
      <c r="H2053" s="1">
        <v>0.1</v>
      </c>
      <c r="I2053" s="1">
        <v>0.1</v>
      </c>
      <c r="J2053" s="1">
        <v>0.47547148468844691</v>
      </c>
      <c r="K2053" s="1" t="s">
        <v>181</v>
      </c>
    </row>
    <row r="2054" spans="1:11" x14ac:dyDescent="0.25">
      <c r="A2054" s="1" t="s">
        <v>6458</v>
      </c>
      <c r="B2054" s="1" t="s">
        <v>6459</v>
      </c>
      <c r="D2054" s="1" t="s">
        <v>6460</v>
      </c>
      <c r="E2054" s="1" t="s">
        <v>209</v>
      </c>
      <c r="F2054" s="1" t="s">
        <v>5017</v>
      </c>
      <c r="G2054" s="1" t="s">
        <v>5018</v>
      </c>
      <c r="H2054" s="1">
        <v>0.1</v>
      </c>
      <c r="I2054" s="1">
        <v>0.1</v>
      </c>
      <c r="J2054" s="1">
        <v>0.42882684456794656</v>
      </c>
      <c r="K2054" s="1" t="s">
        <v>181</v>
      </c>
    </row>
    <row r="2055" spans="1:11" x14ac:dyDescent="0.25">
      <c r="A2055" s="1" t="s">
        <v>6461</v>
      </c>
      <c r="B2055" s="1" t="s">
        <v>6462</v>
      </c>
      <c r="D2055" s="1" t="s">
        <v>6463</v>
      </c>
      <c r="E2055" s="1" t="s">
        <v>209</v>
      </c>
      <c r="F2055" s="1" t="s">
        <v>5017</v>
      </c>
      <c r="G2055" s="1" t="s">
        <v>5018</v>
      </c>
      <c r="H2055" s="1">
        <v>0.1</v>
      </c>
      <c r="I2055" s="1">
        <v>0.1</v>
      </c>
      <c r="J2055" s="1">
        <v>0.43453585637225911</v>
      </c>
      <c r="K2055" s="1" t="s">
        <v>181</v>
      </c>
    </row>
    <row r="2056" spans="1:11" x14ac:dyDescent="0.25">
      <c r="A2056" s="1" t="s">
        <v>6464</v>
      </c>
      <c r="B2056" s="1" t="s">
        <v>6465</v>
      </c>
      <c r="D2056" s="1" t="s">
        <v>6466</v>
      </c>
      <c r="E2056" s="1" t="s">
        <v>209</v>
      </c>
      <c r="F2056" s="1" t="s">
        <v>5017</v>
      </c>
      <c r="G2056" s="1" t="s">
        <v>5018</v>
      </c>
      <c r="H2056" s="1">
        <v>0.1</v>
      </c>
      <c r="I2056" s="1">
        <v>0.1</v>
      </c>
      <c r="J2056" s="1">
        <v>0.76066178812142882</v>
      </c>
      <c r="K2056" s="1" t="s">
        <v>181</v>
      </c>
    </row>
    <row r="2057" spans="1:11" x14ac:dyDescent="0.25">
      <c r="A2057" s="1" t="s">
        <v>6467</v>
      </c>
      <c r="B2057" s="1" t="s">
        <v>6468</v>
      </c>
      <c r="D2057" s="1" t="s">
        <v>6469</v>
      </c>
      <c r="E2057" s="1" t="s">
        <v>209</v>
      </c>
      <c r="F2057" s="1" t="s">
        <v>5017</v>
      </c>
      <c r="G2057" s="1" t="s">
        <v>5018</v>
      </c>
      <c r="H2057" s="1">
        <v>0.1</v>
      </c>
      <c r="I2057" s="1">
        <v>0.1</v>
      </c>
      <c r="J2057" s="1">
        <v>0.78561467217319425</v>
      </c>
      <c r="K2057" s="1" t="s">
        <v>181</v>
      </c>
    </row>
    <row r="2058" spans="1:11" x14ac:dyDescent="0.25">
      <c r="A2058" s="1" t="s">
        <v>6470</v>
      </c>
      <c r="B2058" s="1" t="s">
        <v>6471</v>
      </c>
      <c r="D2058" s="1" t="s">
        <v>6472</v>
      </c>
      <c r="E2058" s="1" t="s">
        <v>209</v>
      </c>
      <c r="F2058" s="1" t="s">
        <v>5017</v>
      </c>
      <c r="G2058" s="1" t="s">
        <v>5018</v>
      </c>
      <c r="H2058" s="1">
        <v>0.1</v>
      </c>
      <c r="I2058" s="1">
        <v>0.1</v>
      </c>
      <c r="J2058" s="1">
        <v>0.51407623677363279</v>
      </c>
      <c r="K2058" s="1" t="s">
        <v>181</v>
      </c>
    </row>
    <row r="2059" spans="1:11" x14ac:dyDescent="0.25">
      <c r="A2059" s="1" t="s">
        <v>6473</v>
      </c>
      <c r="B2059" s="1" t="s">
        <v>6474</v>
      </c>
      <c r="D2059" s="1" t="s">
        <v>6475</v>
      </c>
      <c r="E2059" s="1" t="s">
        <v>209</v>
      </c>
      <c r="F2059" s="1" t="s">
        <v>5017</v>
      </c>
      <c r="G2059" s="1" t="s">
        <v>5018</v>
      </c>
      <c r="H2059" s="1">
        <v>0.1</v>
      </c>
      <c r="I2059" s="1">
        <v>0.1</v>
      </c>
      <c r="J2059" s="1">
        <v>0.62507238972448198</v>
      </c>
      <c r="K2059" s="1" t="s">
        <v>181</v>
      </c>
    </row>
    <row r="2060" spans="1:11" x14ac:dyDescent="0.25">
      <c r="A2060" s="1" t="s">
        <v>6476</v>
      </c>
      <c r="B2060" s="1" t="s">
        <v>6477</v>
      </c>
      <c r="D2060" s="1" t="s">
        <v>6478</v>
      </c>
      <c r="E2060" s="1" t="s">
        <v>209</v>
      </c>
      <c r="F2060" s="1" t="s">
        <v>5017</v>
      </c>
      <c r="G2060" s="1" t="s">
        <v>5018</v>
      </c>
      <c r="H2060" s="1">
        <v>0.1</v>
      </c>
      <c r="I2060" s="1">
        <v>0.1</v>
      </c>
      <c r="J2060" s="1">
        <v>0.52680885941659084</v>
      </c>
      <c r="K2060" s="1" t="s">
        <v>181</v>
      </c>
    </row>
    <row r="2061" spans="1:11" x14ac:dyDescent="0.25">
      <c r="A2061" s="1" t="s">
        <v>6479</v>
      </c>
      <c r="B2061" s="1" t="s">
        <v>6480</v>
      </c>
      <c r="D2061" s="1" t="s">
        <v>6481</v>
      </c>
      <c r="E2061" s="1" t="s">
        <v>209</v>
      </c>
      <c r="F2061" s="1" t="s">
        <v>5017</v>
      </c>
      <c r="G2061" s="1" t="s">
        <v>5018</v>
      </c>
      <c r="H2061" s="1">
        <v>0.1</v>
      </c>
      <c r="I2061" s="1">
        <v>0.1</v>
      </c>
      <c r="J2061" s="1">
        <v>0.59179652816486361</v>
      </c>
      <c r="K2061" s="1" t="s">
        <v>181</v>
      </c>
    </row>
    <row r="2062" spans="1:11" x14ac:dyDescent="0.25">
      <c r="A2062" s="1" t="s">
        <v>6482</v>
      </c>
      <c r="B2062" s="1" t="s">
        <v>6483</v>
      </c>
      <c r="D2062" s="1" t="s">
        <v>6484</v>
      </c>
      <c r="E2062" s="1" t="s">
        <v>209</v>
      </c>
      <c r="F2062" s="1" t="s">
        <v>5017</v>
      </c>
      <c r="G2062" s="1" t="s">
        <v>5018</v>
      </c>
      <c r="H2062" s="1">
        <v>0.1</v>
      </c>
      <c r="I2062" s="1">
        <v>0.1</v>
      </c>
      <c r="J2062" s="1">
        <v>0.59960113583988051</v>
      </c>
      <c r="K2062" s="1" t="s">
        <v>181</v>
      </c>
    </row>
    <row r="2063" spans="1:11" x14ac:dyDescent="0.25">
      <c r="A2063" s="1" t="s">
        <v>6485</v>
      </c>
      <c r="B2063" s="1" t="s">
        <v>6486</v>
      </c>
      <c r="D2063" s="1" t="s">
        <v>6487</v>
      </c>
      <c r="E2063" s="1" t="s">
        <v>209</v>
      </c>
      <c r="F2063" s="1" t="s">
        <v>5017</v>
      </c>
      <c r="G2063" s="1" t="s">
        <v>5018</v>
      </c>
      <c r="H2063" s="1">
        <v>0.1</v>
      </c>
      <c r="I2063" s="1">
        <v>0.1</v>
      </c>
      <c r="J2063" s="1">
        <v>0.5787423906540996</v>
      </c>
      <c r="K2063" s="1" t="s">
        <v>181</v>
      </c>
    </row>
    <row r="2064" spans="1:11" x14ac:dyDescent="0.25">
      <c r="A2064" s="1" t="s">
        <v>6488</v>
      </c>
      <c r="B2064" s="1" t="s">
        <v>6489</v>
      </c>
      <c r="D2064" s="1" t="s">
        <v>6490</v>
      </c>
      <c r="E2064" s="1" t="s">
        <v>209</v>
      </c>
      <c r="F2064" s="1" t="s">
        <v>5017</v>
      </c>
      <c r="G2064" s="1" t="s">
        <v>5018</v>
      </c>
      <c r="H2064" s="1">
        <v>0.1</v>
      </c>
      <c r="I2064" s="1">
        <v>0.1</v>
      </c>
      <c r="J2064" s="1">
        <v>0.6100127058137691</v>
      </c>
      <c r="K2064" s="1" t="s">
        <v>181</v>
      </c>
    </row>
    <row r="2065" spans="1:11" x14ac:dyDescent="0.25">
      <c r="A2065" s="1" t="s">
        <v>6491</v>
      </c>
      <c r="B2065" s="1" t="s">
        <v>6492</v>
      </c>
      <c r="D2065" s="1" t="s">
        <v>6493</v>
      </c>
      <c r="E2065" s="1" t="s">
        <v>209</v>
      </c>
      <c r="F2065" s="1" t="s">
        <v>5017</v>
      </c>
      <c r="G2065" s="1" t="s">
        <v>5018</v>
      </c>
      <c r="H2065" s="1">
        <v>0.1</v>
      </c>
      <c r="I2065" s="1">
        <v>0.1</v>
      </c>
      <c r="J2065" s="1">
        <v>0.53466531192368671</v>
      </c>
      <c r="K2065" s="1" t="s">
        <v>181</v>
      </c>
    </row>
    <row r="2066" spans="1:11" x14ac:dyDescent="0.25">
      <c r="A2066" s="1" t="s">
        <v>6494</v>
      </c>
      <c r="B2066" s="1" t="s">
        <v>6495</v>
      </c>
      <c r="D2066" s="1" t="s">
        <v>6496</v>
      </c>
      <c r="E2066" s="1" t="s">
        <v>209</v>
      </c>
      <c r="F2066" s="1" t="s">
        <v>5017</v>
      </c>
      <c r="G2066" s="1" t="s">
        <v>5018</v>
      </c>
      <c r="H2066" s="1">
        <v>0.1</v>
      </c>
      <c r="I2066" s="1">
        <v>0.1</v>
      </c>
      <c r="J2066" s="1">
        <v>0.49257162977952057</v>
      </c>
      <c r="K2066" s="1" t="s">
        <v>181</v>
      </c>
    </row>
    <row r="2067" spans="1:11" x14ac:dyDescent="0.25">
      <c r="A2067" s="1" t="s">
        <v>6497</v>
      </c>
      <c r="B2067" s="1" t="s">
        <v>6498</v>
      </c>
      <c r="D2067" s="1" t="s">
        <v>6499</v>
      </c>
      <c r="E2067" s="1" t="s">
        <v>209</v>
      </c>
      <c r="F2067" s="1" t="s">
        <v>5017</v>
      </c>
      <c r="G2067" s="1" t="s">
        <v>5018</v>
      </c>
      <c r="H2067" s="1">
        <v>0.1</v>
      </c>
      <c r="I2067" s="1">
        <v>0.1</v>
      </c>
      <c r="J2067" s="1">
        <v>0.54277693433485952</v>
      </c>
      <c r="K2067" s="1" t="s">
        <v>181</v>
      </c>
    </row>
    <row r="2068" spans="1:11" x14ac:dyDescent="0.25">
      <c r="A2068" s="1" t="s">
        <v>6500</v>
      </c>
      <c r="B2068" s="1" t="s">
        <v>6501</v>
      </c>
      <c r="D2068" s="1" t="s">
        <v>6502</v>
      </c>
      <c r="E2068" s="1" t="s">
        <v>209</v>
      </c>
      <c r="F2068" s="1" t="s">
        <v>5017</v>
      </c>
      <c r="G2068" s="1" t="s">
        <v>5018</v>
      </c>
      <c r="H2068" s="1">
        <v>0.1</v>
      </c>
      <c r="I2068" s="1">
        <v>0.1</v>
      </c>
      <c r="J2068" s="1">
        <v>0.66276106816439284</v>
      </c>
      <c r="K2068" s="1" t="s">
        <v>181</v>
      </c>
    </row>
    <row r="2069" spans="1:11" x14ac:dyDescent="0.25">
      <c r="A2069" s="1" t="s">
        <v>6503</v>
      </c>
      <c r="B2069" s="1" t="s">
        <v>6504</v>
      </c>
      <c r="D2069" s="1" t="s">
        <v>6505</v>
      </c>
      <c r="E2069" s="1" t="s">
        <v>209</v>
      </c>
      <c r="F2069" s="1" t="s">
        <v>5017</v>
      </c>
      <c r="G2069" s="1" t="s">
        <v>5018</v>
      </c>
      <c r="H2069" s="1">
        <v>0.1</v>
      </c>
      <c r="I2069" s="1">
        <v>0.1</v>
      </c>
      <c r="J2069" s="1">
        <v>0.49296131888916883</v>
      </c>
      <c r="K2069" s="1" t="s">
        <v>181</v>
      </c>
    </row>
    <row r="2070" spans="1:11" x14ac:dyDescent="0.25">
      <c r="A2070" s="1" t="s">
        <v>6506</v>
      </c>
      <c r="B2070" s="1" t="s">
        <v>6507</v>
      </c>
      <c r="D2070" s="1" t="s">
        <v>6508</v>
      </c>
      <c r="E2070" s="1" t="s">
        <v>209</v>
      </c>
      <c r="F2070" s="1" t="s">
        <v>5017</v>
      </c>
      <c r="G2070" s="1" t="s">
        <v>5018</v>
      </c>
      <c r="H2070" s="1">
        <v>0.1</v>
      </c>
      <c r="I2070" s="1">
        <v>0.1</v>
      </c>
      <c r="J2070" s="1">
        <v>0.7922270733569089</v>
      </c>
      <c r="K2070" s="1" t="s">
        <v>181</v>
      </c>
    </row>
    <row r="2071" spans="1:11" x14ac:dyDescent="0.25">
      <c r="A2071" s="1" t="s">
        <v>6509</v>
      </c>
      <c r="B2071" s="1" t="s">
        <v>6510</v>
      </c>
      <c r="D2071" s="1" t="s">
        <v>6511</v>
      </c>
      <c r="E2071" s="1" t="s">
        <v>209</v>
      </c>
      <c r="F2071" s="1" t="s">
        <v>5017</v>
      </c>
      <c r="G2071" s="1" t="s">
        <v>5018</v>
      </c>
      <c r="H2071" s="1">
        <v>0.1</v>
      </c>
      <c r="I2071" s="1">
        <v>0.1</v>
      </c>
      <c r="J2071" s="1">
        <v>0.54923234934550669</v>
      </c>
      <c r="K2071" s="1" t="s">
        <v>181</v>
      </c>
    </row>
    <row r="2072" spans="1:11" x14ac:dyDescent="0.25">
      <c r="A2072" s="1" t="s">
        <v>6512</v>
      </c>
      <c r="B2072" s="1" t="s">
        <v>6513</v>
      </c>
      <c r="D2072" s="1" t="s">
        <v>6514</v>
      </c>
      <c r="E2072" s="1" t="s">
        <v>209</v>
      </c>
      <c r="F2072" s="1" t="s">
        <v>5017</v>
      </c>
      <c r="G2072" s="1" t="s">
        <v>5018</v>
      </c>
      <c r="H2072" s="1">
        <v>0.1</v>
      </c>
      <c r="I2072" s="1">
        <v>0.1</v>
      </c>
      <c r="J2072" s="1">
        <v>0.68821914718643096</v>
      </c>
      <c r="K2072" s="1" t="s">
        <v>181</v>
      </c>
    </row>
    <row r="2073" spans="1:11" x14ac:dyDescent="0.25">
      <c r="A2073" s="1" t="s">
        <v>95</v>
      </c>
      <c r="B2073" s="1" t="s">
        <v>6515</v>
      </c>
      <c r="D2073" s="1" t="s">
        <v>6516</v>
      </c>
      <c r="E2073" s="1" t="s">
        <v>209</v>
      </c>
      <c r="F2073" s="1" t="s">
        <v>5017</v>
      </c>
      <c r="G2073" s="1" t="s">
        <v>5018</v>
      </c>
      <c r="H2073" s="1">
        <v>0.1</v>
      </c>
      <c r="I2073" s="1">
        <v>0.1</v>
      </c>
      <c r="J2073" s="1">
        <v>0.69957803200311708</v>
      </c>
      <c r="K2073" s="1" t="s">
        <v>181</v>
      </c>
    </row>
    <row r="2074" spans="1:11" x14ac:dyDescent="0.25">
      <c r="A2074" s="1" t="s">
        <v>6517</v>
      </c>
      <c r="B2074" s="1" t="s">
        <v>6518</v>
      </c>
      <c r="D2074" s="1" t="s">
        <v>6519</v>
      </c>
      <c r="E2074" s="1" t="s">
        <v>209</v>
      </c>
      <c r="F2074" s="1" t="s">
        <v>5017</v>
      </c>
      <c r="G2074" s="1" t="s">
        <v>5018</v>
      </c>
      <c r="H2074" s="1">
        <v>0.1</v>
      </c>
      <c r="I2074" s="1">
        <v>0.1</v>
      </c>
      <c r="J2074" s="1">
        <v>0.57369941794384927</v>
      </c>
      <c r="K2074" s="1" t="s">
        <v>181</v>
      </c>
    </row>
    <row r="2075" spans="1:11" x14ac:dyDescent="0.25">
      <c r="A2075" s="1" t="s">
        <v>94</v>
      </c>
      <c r="B2075" s="1" t="s">
        <v>6520</v>
      </c>
      <c r="D2075" s="1" t="s">
        <v>6521</v>
      </c>
      <c r="E2075" s="1" t="s">
        <v>209</v>
      </c>
      <c r="F2075" s="1" t="s">
        <v>5017</v>
      </c>
      <c r="G2075" s="1" t="s">
        <v>5018</v>
      </c>
      <c r="H2075" s="1">
        <v>0.1</v>
      </c>
      <c r="I2075" s="1">
        <v>0.1</v>
      </c>
      <c r="J2075" s="1">
        <v>0.68447920682451668</v>
      </c>
      <c r="K2075" s="1" t="s">
        <v>181</v>
      </c>
    </row>
    <row r="2076" spans="1:11" x14ac:dyDescent="0.25">
      <c r="A2076" s="1" t="s">
        <v>6522</v>
      </c>
      <c r="B2076" s="1" t="s">
        <v>6523</v>
      </c>
      <c r="D2076" s="1" t="s">
        <v>6524</v>
      </c>
      <c r="E2076" s="1" t="s">
        <v>209</v>
      </c>
      <c r="F2076" s="1" t="s">
        <v>5017</v>
      </c>
      <c r="G2076" s="1" t="s">
        <v>5018</v>
      </c>
      <c r="H2076" s="1">
        <v>0.1</v>
      </c>
      <c r="I2076" s="1">
        <v>0.1</v>
      </c>
      <c r="J2076" s="1">
        <v>0.5456035042601447</v>
      </c>
      <c r="K2076" s="1" t="s">
        <v>181</v>
      </c>
    </row>
    <row r="2077" spans="1:11" x14ac:dyDescent="0.25">
      <c r="A2077" s="1" t="s">
        <v>6525</v>
      </c>
      <c r="B2077" s="1" t="s">
        <v>6526</v>
      </c>
      <c r="D2077" s="1" t="s">
        <v>6527</v>
      </c>
      <c r="E2077" s="1" t="s">
        <v>209</v>
      </c>
      <c r="F2077" s="1" t="s">
        <v>5017</v>
      </c>
      <c r="G2077" s="1" t="s">
        <v>5018</v>
      </c>
      <c r="H2077" s="1">
        <v>0.1</v>
      </c>
      <c r="I2077" s="1">
        <v>0.1</v>
      </c>
      <c r="J2077" s="1">
        <v>0.79016367284730393</v>
      </c>
      <c r="K2077" s="1" t="s">
        <v>181</v>
      </c>
    </row>
    <row r="2078" spans="1:11" x14ac:dyDescent="0.25">
      <c r="A2078" s="1" t="s">
        <v>6528</v>
      </c>
      <c r="B2078" s="1" t="s">
        <v>6529</v>
      </c>
      <c r="D2078" s="1" t="s">
        <v>6530</v>
      </c>
      <c r="E2078" s="1" t="s">
        <v>209</v>
      </c>
      <c r="F2078" s="1" t="s">
        <v>5017</v>
      </c>
      <c r="G2078" s="1" t="s">
        <v>5018</v>
      </c>
      <c r="H2078" s="1">
        <v>0.1</v>
      </c>
      <c r="I2078" s="1">
        <v>0.1</v>
      </c>
      <c r="J2078" s="1">
        <v>0.53754234339166662</v>
      </c>
      <c r="K2078" s="1" t="s">
        <v>181</v>
      </c>
    </row>
    <row r="2079" spans="1:11" x14ac:dyDescent="0.25">
      <c r="A2079" s="1" t="s">
        <v>6531</v>
      </c>
      <c r="B2079" s="1" t="s">
        <v>6532</v>
      </c>
      <c r="D2079" s="1" t="s">
        <v>6533</v>
      </c>
      <c r="E2079" s="1" t="s">
        <v>209</v>
      </c>
      <c r="F2079" s="1" t="s">
        <v>5017</v>
      </c>
      <c r="G2079" s="1" t="s">
        <v>5018</v>
      </c>
      <c r="H2079" s="1">
        <v>0.1</v>
      </c>
      <c r="I2079" s="1">
        <v>0.1</v>
      </c>
      <c r="J2079" s="1">
        <v>0.48406935514070459</v>
      </c>
      <c r="K2079" s="1" t="s">
        <v>181</v>
      </c>
    </row>
    <row r="2080" spans="1:11" x14ac:dyDescent="0.25">
      <c r="A2080" s="1" t="s">
        <v>6534</v>
      </c>
      <c r="B2080" s="1" t="s">
        <v>6535</v>
      </c>
      <c r="D2080" s="1" t="s">
        <v>6536</v>
      </c>
      <c r="E2080" s="1" t="s">
        <v>209</v>
      </c>
      <c r="F2080" s="1" t="s">
        <v>5017</v>
      </c>
      <c r="G2080" s="1" t="s">
        <v>5018</v>
      </c>
      <c r="H2080" s="1">
        <v>0.1</v>
      </c>
      <c r="I2080" s="1">
        <v>0.1</v>
      </c>
      <c r="J2080" s="1">
        <v>0.72249663553459287</v>
      </c>
      <c r="K2080" s="1" t="s">
        <v>181</v>
      </c>
    </row>
    <row r="2081" spans="1:11" x14ac:dyDescent="0.25">
      <c r="A2081" s="1" t="s">
        <v>6537</v>
      </c>
      <c r="B2081" s="1" t="s">
        <v>6538</v>
      </c>
      <c r="D2081" s="1" t="s">
        <v>6539</v>
      </c>
      <c r="E2081" s="1" t="s">
        <v>209</v>
      </c>
      <c r="F2081" s="1" t="s">
        <v>5017</v>
      </c>
      <c r="G2081" s="1" t="s">
        <v>5018</v>
      </c>
      <c r="H2081" s="1">
        <v>0.1</v>
      </c>
      <c r="I2081" s="1">
        <v>0.1</v>
      </c>
      <c r="J2081" s="1">
        <v>0.60718627074933562</v>
      </c>
      <c r="K2081" s="1" t="s">
        <v>181</v>
      </c>
    </row>
    <row r="2082" spans="1:11" x14ac:dyDescent="0.25">
      <c r="A2082" s="1" t="s">
        <v>6540</v>
      </c>
      <c r="B2082" s="1" t="s">
        <v>6541</v>
      </c>
      <c r="D2082" s="1" t="s">
        <v>6542</v>
      </c>
      <c r="E2082" s="1" t="s">
        <v>209</v>
      </c>
      <c r="F2082" s="1" t="s">
        <v>5017</v>
      </c>
      <c r="G2082" s="1" t="s">
        <v>5018</v>
      </c>
      <c r="H2082" s="1">
        <v>0.1</v>
      </c>
      <c r="I2082" s="1">
        <v>0.1</v>
      </c>
      <c r="J2082" s="1">
        <v>0.77164349346722316</v>
      </c>
      <c r="K2082" s="1" t="s">
        <v>181</v>
      </c>
    </row>
    <row r="2083" spans="1:11" x14ac:dyDescent="0.25">
      <c r="A2083" s="1" t="s">
        <v>6543</v>
      </c>
      <c r="B2083" s="1" t="s">
        <v>6544</v>
      </c>
      <c r="D2083" s="1" t="s">
        <v>6545</v>
      </c>
      <c r="E2083" s="1" t="s">
        <v>209</v>
      </c>
      <c r="F2083" s="1" t="s">
        <v>5017</v>
      </c>
      <c r="G2083" s="1" t="s">
        <v>5018</v>
      </c>
      <c r="H2083" s="1">
        <v>0.1</v>
      </c>
      <c r="I2083" s="1">
        <v>0.1</v>
      </c>
      <c r="J2083" s="1">
        <v>0.81788331454644791</v>
      </c>
      <c r="K2083" s="1" t="s">
        <v>181</v>
      </c>
    </row>
    <row r="2084" spans="1:11" x14ac:dyDescent="0.25">
      <c r="A2084" s="1" t="s">
        <v>6546</v>
      </c>
      <c r="B2084" s="1" t="s">
        <v>6547</v>
      </c>
      <c r="D2084" s="1" t="s">
        <v>6548</v>
      </c>
      <c r="E2084" s="1" t="s">
        <v>209</v>
      </c>
      <c r="F2084" s="1" t="s">
        <v>5017</v>
      </c>
      <c r="G2084" s="1" t="s">
        <v>5018</v>
      </c>
      <c r="H2084" s="1">
        <v>0.1</v>
      </c>
      <c r="I2084" s="1">
        <v>0.1</v>
      </c>
      <c r="J2084" s="1">
        <v>0.81322718988159226</v>
      </c>
      <c r="K2084" s="1" t="s">
        <v>181</v>
      </c>
    </row>
    <row r="2085" spans="1:11" x14ac:dyDescent="0.25">
      <c r="A2085" s="1" t="s">
        <v>6549</v>
      </c>
      <c r="B2085" s="1" t="s">
        <v>6550</v>
      </c>
      <c r="D2085" s="1" t="s">
        <v>6551</v>
      </c>
      <c r="E2085" s="1" t="s">
        <v>209</v>
      </c>
      <c r="F2085" s="1" t="s">
        <v>5017</v>
      </c>
      <c r="G2085" s="1" t="s">
        <v>5018</v>
      </c>
      <c r="H2085" s="1">
        <v>0.1</v>
      </c>
      <c r="I2085" s="1">
        <v>0.1</v>
      </c>
      <c r="J2085" s="1">
        <v>0.56034482145976217</v>
      </c>
      <c r="K2085" s="1" t="s">
        <v>181</v>
      </c>
    </row>
    <row r="2086" spans="1:11" x14ac:dyDescent="0.25">
      <c r="A2086" s="1" t="s">
        <v>6552</v>
      </c>
      <c r="B2086" s="1" t="s">
        <v>6553</v>
      </c>
      <c r="D2086" s="1" t="s">
        <v>6554</v>
      </c>
      <c r="E2086" s="1" t="s">
        <v>209</v>
      </c>
      <c r="F2086" s="1" t="s">
        <v>5017</v>
      </c>
      <c r="G2086" s="1" t="s">
        <v>5018</v>
      </c>
      <c r="H2086" s="1">
        <v>0.1</v>
      </c>
      <c r="I2086" s="1">
        <v>0.1</v>
      </c>
      <c r="J2086" s="1">
        <v>0.76453158892223094</v>
      </c>
      <c r="K2086" s="1" t="s">
        <v>181</v>
      </c>
    </row>
    <row r="2087" spans="1:11" x14ac:dyDescent="0.25">
      <c r="A2087" s="1" t="s">
        <v>6555</v>
      </c>
      <c r="B2087" s="1" t="s">
        <v>6556</v>
      </c>
      <c r="D2087" s="1" t="s">
        <v>6557</v>
      </c>
      <c r="E2087" s="1" t="s">
        <v>209</v>
      </c>
      <c r="F2087" s="1" t="s">
        <v>5017</v>
      </c>
      <c r="G2087" s="1" t="s">
        <v>5018</v>
      </c>
      <c r="H2087" s="1">
        <v>0.1</v>
      </c>
      <c r="I2087" s="1">
        <v>0.1</v>
      </c>
      <c r="J2087" s="1">
        <v>0.69543768261482131</v>
      </c>
      <c r="K2087" s="1" t="s">
        <v>181</v>
      </c>
    </row>
    <row r="2088" spans="1:11" x14ac:dyDescent="0.25">
      <c r="A2088" s="1" t="s">
        <v>6558</v>
      </c>
      <c r="B2088" s="1" t="s">
        <v>6559</v>
      </c>
      <c r="D2088" s="1" t="s">
        <v>6560</v>
      </c>
      <c r="E2088" s="1" t="s">
        <v>209</v>
      </c>
      <c r="F2088" s="1" t="s">
        <v>5017</v>
      </c>
      <c r="G2088" s="1" t="s">
        <v>5018</v>
      </c>
      <c r="H2088" s="1">
        <v>0.1</v>
      </c>
      <c r="I2088" s="1">
        <v>0.1</v>
      </c>
      <c r="J2088" s="1">
        <v>0.49649177122085281</v>
      </c>
      <c r="K2088" s="1" t="s">
        <v>181</v>
      </c>
    </row>
    <row r="2089" spans="1:11" x14ac:dyDescent="0.25">
      <c r="A2089" s="1" t="s">
        <v>6561</v>
      </c>
      <c r="B2089" s="1" t="s">
        <v>6562</v>
      </c>
      <c r="D2089" s="1" t="s">
        <v>6563</v>
      </c>
      <c r="E2089" s="1" t="s">
        <v>209</v>
      </c>
      <c r="F2089" s="1" t="s">
        <v>5017</v>
      </c>
      <c r="G2089" s="1" t="s">
        <v>5018</v>
      </c>
      <c r="H2089" s="1">
        <v>0.1</v>
      </c>
      <c r="I2089" s="1">
        <v>0.1</v>
      </c>
      <c r="J2089" s="1">
        <v>0.43866756023804049</v>
      </c>
      <c r="K2089" s="1" t="s">
        <v>181</v>
      </c>
    </row>
    <row r="2090" spans="1:11" x14ac:dyDescent="0.25">
      <c r="A2090" s="1" t="s">
        <v>6564</v>
      </c>
      <c r="B2090" s="1" t="s">
        <v>6565</v>
      </c>
      <c r="D2090" s="1" t="s">
        <v>6566</v>
      </c>
      <c r="E2090" s="1" t="s">
        <v>209</v>
      </c>
      <c r="F2090" s="1" t="s">
        <v>5017</v>
      </c>
      <c r="G2090" s="1" t="s">
        <v>5018</v>
      </c>
      <c r="H2090" s="1">
        <v>0.1</v>
      </c>
      <c r="I2090" s="1">
        <v>0.1</v>
      </c>
      <c r="J2090" s="1">
        <v>0.55068142898830075</v>
      </c>
      <c r="K2090" s="1" t="s">
        <v>181</v>
      </c>
    </row>
    <row r="2091" spans="1:11" x14ac:dyDescent="0.25">
      <c r="A2091" s="1" t="s">
        <v>6567</v>
      </c>
      <c r="B2091" s="1" t="s">
        <v>6568</v>
      </c>
      <c r="D2091" s="1" t="s">
        <v>6569</v>
      </c>
      <c r="E2091" s="1" t="s">
        <v>209</v>
      </c>
      <c r="F2091" s="1" t="s">
        <v>5017</v>
      </c>
      <c r="G2091" s="1" t="s">
        <v>5018</v>
      </c>
      <c r="H2091" s="1">
        <v>0.1</v>
      </c>
      <c r="I2091" s="1">
        <v>0.1</v>
      </c>
      <c r="J2091" s="1">
        <v>0.67121885913997392</v>
      </c>
      <c r="K2091" s="1" t="s">
        <v>181</v>
      </c>
    </row>
    <row r="2092" spans="1:11" x14ac:dyDescent="0.25">
      <c r="A2092" s="1" t="s">
        <v>6570</v>
      </c>
      <c r="B2092" s="1" t="s">
        <v>6571</v>
      </c>
      <c r="D2092" s="1" t="s">
        <v>6572</v>
      </c>
      <c r="E2092" s="1" t="s">
        <v>209</v>
      </c>
      <c r="F2092" s="1" t="s">
        <v>5017</v>
      </c>
      <c r="G2092" s="1" t="s">
        <v>5018</v>
      </c>
      <c r="H2092" s="1">
        <v>0.1</v>
      </c>
      <c r="I2092" s="1">
        <v>0.1</v>
      </c>
      <c r="J2092" s="1">
        <v>0.67455317229650424</v>
      </c>
      <c r="K2092" s="1" t="s">
        <v>181</v>
      </c>
    </row>
    <row r="2093" spans="1:11" x14ac:dyDescent="0.25">
      <c r="A2093" s="1" t="s">
        <v>6573</v>
      </c>
      <c r="B2093" s="1" t="s">
        <v>6574</v>
      </c>
      <c r="D2093" s="1" t="s">
        <v>6575</v>
      </c>
      <c r="E2093" s="1" t="s">
        <v>209</v>
      </c>
      <c r="F2093" s="1" t="s">
        <v>5017</v>
      </c>
      <c r="G2093" s="1" t="s">
        <v>5018</v>
      </c>
      <c r="H2093" s="1">
        <v>0.1</v>
      </c>
      <c r="I2093" s="1">
        <v>0.1</v>
      </c>
      <c r="J2093" s="1">
        <v>0.76789333858542907</v>
      </c>
      <c r="K2093" s="1" t="s">
        <v>181</v>
      </c>
    </row>
    <row r="2094" spans="1:11" x14ac:dyDescent="0.25">
      <c r="A2094" s="1" t="s">
        <v>6576</v>
      </c>
      <c r="B2094" s="1" t="s">
        <v>6577</v>
      </c>
      <c r="D2094" s="1" t="s">
        <v>6578</v>
      </c>
      <c r="E2094" s="1" t="s">
        <v>209</v>
      </c>
      <c r="F2094" s="1" t="s">
        <v>5017</v>
      </c>
      <c r="G2094" s="1" t="s">
        <v>5018</v>
      </c>
      <c r="H2094" s="1">
        <v>0.1</v>
      </c>
      <c r="I2094" s="1">
        <v>0.1</v>
      </c>
      <c r="J2094" s="1">
        <v>0.97339506804003206</v>
      </c>
      <c r="K2094" s="1" t="s">
        <v>181</v>
      </c>
    </row>
    <row r="2095" spans="1:11" x14ac:dyDescent="0.25">
      <c r="A2095" s="1" t="s">
        <v>6579</v>
      </c>
      <c r="B2095" s="1" t="s">
        <v>6580</v>
      </c>
      <c r="D2095" s="1" t="s">
        <v>6581</v>
      </c>
      <c r="E2095" s="1" t="s">
        <v>209</v>
      </c>
      <c r="F2095" s="1" t="s">
        <v>5017</v>
      </c>
      <c r="G2095" s="1" t="s">
        <v>5018</v>
      </c>
      <c r="H2095" s="1">
        <v>0.1</v>
      </c>
      <c r="I2095" s="1">
        <v>0.1</v>
      </c>
      <c r="J2095" s="1">
        <v>0.66544041621982597</v>
      </c>
      <c r="K2095" s="1" t="s">
        <v>181</v>
      </c>
    </row>
    <row r="2096" spans="1:11" x14ac:dyDescent="0.25">
      <c r="A2096" s="1" t="s">
        <v>6582</v>
      </c>
      <c r="B2096" s="1" t="s">
        <v>6583</v>
      </c>
      <c r="D2096" s="1" t="s">
        <v>6584</v>
      </c>
      <c r="E2096" s="1" t="s">
        <v>209</v>
      </c>
      <c r="F2096" s="1" t="s">
        <v>5017</v>
      </c>
      <c r="G2096" s="1" t="s">
        <v>5018</v>
      </c>
      <c r="H2096" s="1">
        <v>0.1</v>
      </c>
      <c r="I2096" s="1">
        <v>0.1</v>
      </c>
      <c r="J2096" s="1">
        <v>0.45779610303016505</v>
      </c>
      <c r="K2096" s="1" t="s">
        <v>181</v>
      </c>
    </row>
    <row r="2097" spans="1:11" x14ac:dyDescent="0.25">
      <c r="A2097" s="1" t="s">
        <v>6585</v>
      </c>
      <c r="B2097" s="1" t="s">
        <v>6586</v>
      </c>
      <c r="D2097" s="1" t="s">
        <v>6587</v>
      </c>
      <c r="E2097" s="1" t="s">
        <v>209</v>
      </c>
      <c r="F2097" s="1" t="s">
        <v>5017</v>
      </c>
      <c r="G2097" s="1" t="s">
        <v>5018</v>
      </c>
      <c r="H2097" s="1">
        <v>0.1</v>
      </c>
      <c r="I2097" s="1">
        <v>0.1</v>
      </c>
      <c r="J2097" s="1">
        <v>0.73099931849247213</v>
      </c>
      <c r="K2097" s="1" t="s">
        <v>181</v>
      </c>
    </row>
    <row r="2098" spans="1:11" x14ac:dyDescent="0.25">
      <c r="A2098" s="1" t="s">
        <v>6588</v>
      </c>
      <c r="B2098" s="1" t="s">
        <v>6589</v>
      </c>
      <c r="D2098" s="1" t="s">
        <v>6590</v>
      </c>
      <c r="E2098" s="1" t="s">
        <v>209</v>
      </c>
      <c r="F2098" s="1" t="s">
        <v>5017</v>
      </c>
      <c r="G2098" s="1" t="s">
        <v>5018</v>
      </c>
      <c r="H2098" s="1">
        <v>0.1</v>
      </c>
      <c r="I2098" s="1">
        <v>0.1</v>
      </c>
      <c r="J2098" s="1">
        <v>0.60960396663424921</v>
      </c>
      <c r="K2098" s="1" t="s">
        <v>181</v>
      </c>
    </row>
    <row r="2099" spans="1:11" x14ac:dyDescent="0.25">
      <c r="A2099" s="1" t="s">
        <v>6591</v>
      </c>
      <c r="B2099" s="1" t="s">
        <v>6592</v>
      </c>
      <c r="D2099" s="1" t="s">
        <v>6593</v>
      </c>
      <c r="E2099" s="1" t="s">
        <v>209</v>
      </c>
      <c r="F2099" s="1" t="s">
        <v>5017</v>
      </c>
      <c r="G2099" s="1" t="s">
        <v>5018</v>
      </c>
      <c r="H2099" s="1">
        <v>0.1</v>
      </c>
      <c r="I2099" s="1">
        <v>0.1</v>
      </c>
      <c r="J2099" s="1">
        <v>0.55031680525294868</v>
      </c>
      <c r="K2099" s="1" t="s">
        <v>181</v>
      </c>
    </row>
    <row r="2100" spans="1:11" x14ac:dyDescent="0.25">
      <c r="A2100" s="1" t="s">
        <v>6594</v>
      </c>
      <c r="B2100" s="1" t="s">
        <v>6595</v>
      </c>
      <c r="D2100" s="1" t="s">
        <v>6596</v>
      </c>
      <c r="E2100" s="1" t="s">
        <v>209</v>
      </c>
      <c r="F2100" s="1" t="s">
        <v>5017</v>
      </c>
      <c r="G2100" s="1" t="s">
        <v>5018</v>
      </c>
      <c r="H2100" s="1">
        <v>0.1</v>
      </c>
      <c r="I2100" s="1">
        <v>0.1</v>
      </c>
      <c r="J2100" s="1">
        <v>0.58031495210837492</v>
      </c>
      <c r="K2100" s="1" t="s">
        <v>181</v>
      </c>
    </row>
    <row r="2101" spans="1:11" x14ac:dyDescent="0.25">
      <c r="A2101" s="1" t="s">
        <v>6597</v>
      </c>
      <c r="B2101" s="1" t="s">
        <v>6598</v>
      </c>
      <c r="D2101" s="1" t="s">
        <v>6599</v>
      </c>
      <c r="E2101" s="1" t="s">
        <v>209</v>
      </c>
      <c r="F2101" s="1" t="s">
        <v>5017</v>
      </c>
      <c r="G2101" s="1" t="s">
        <v>5018</v>
      </c>
      <c r="H2101" s="1">
        <v>0.1</v>
      </c>
      <c r="I2101" s="1">
        <v>0.1</v>
      </c>
      <c r="J2101" s="1">
        <v>0.5440077919499221</v>
      </c>
      <c r="K2101" s="1" t="s">
        <v>181</v>
      </c>
    </row>
    <row r="2102" spans="1:11" x14ac:dyDescent="0.25">
      <c r="A2102" s="1" t="s">
        <v>6600</v>
      </c>
      <c r="B2102" s="1" t="s">
        <v>6601</v>
      </c>
      <c r="D2102" s="1" t="s">
        <v>6602</v>
      </c>
      <c r="E2102" s="1" t="s">
        <v>209</v>
      </c>
      <c r="F2102" s="1" t="s">
        <v>5017</v>
      </c>
      <c r="G2102" s="1" t="s">
        <v>5018</v>
      </c>
      <c r="H2102" s="1">
        <v>0.1</v>
      </c>
      <c r="I2102" s="1">
        <v>0.1</v>
      </c>
      <c r="J2102" s="1">
        <v>0.54919303688069665</v>
      </c>
      <c r="K2102" s="1" t="s">
        <v>181</v>
      </c>
    </row>
    <row r="2103" spans="1:11" x14ac:dyDescent="0.25">
      <c r="A2103" s="1" t="s">
        <v>6603</v>
      </c>
      <c r="B2103" s="1" t="s">
        <v>6604</v>
      </c>
      <c r="D2103" s="1" t="s">
        <v>6605</v>
      </c>
      <c r="E2103" s="1" t="s">
        <v>209</v>
      </c>
      <c r="F2103" s="1" t="s">
        <v>5017</v>
      </c>
      <c r="G2103" s="1" t="s">
        <v>5018</v>
      </c>
      <c r="H2103" s="1">
        <v>0.1</v>
      </c>
      <c r="I2103" s="1">
        <v>0.1</v>
      </c>
      <c r="J2103" s="1">
        <v>0.55670024179311728</v>
      </c>
      <c r="K2103" s="1" t="s">
        <v>181</v>
      </c>
    </row>
    <row r="2104" spans="1:11" x14ac:dyDescent="0.25">
      <c r="A2104" s="1" t="s">
        <v>6606</v>
      </c>
      <c r="B2104" s="1" t="s">
        <v>6607</v>
      </c>
      <c r="D2104" s="1" t="s">
        <v>6608</v>
      </c>
      <c r="E2104" s="1" t="s">
        <v>209</v>
      </c>
      <c r="F2104" s="1" t="s">
        <v>5017</v>
      </c>
      <c r="G2104" s="1" t="s">
        <v>5018</v>
      </c>
      <c r="H2104" s="1">
        <v>0.1</v>
      </c>
      <c r="I2104" s="1">
        <v>0.1</v>
      </c>
      <c r="J2104" s="1">
        <v>0.49508351101234482</v>
      </c>
      <c r="K2104" s="1" t="s">
        <v>181</v>
      </c>
    </row>
    <row r="2105" spans="1:11" x14ac:dyDescent="0.25">
      <c r="A2105" s="1" t="s">
        <v>6609</v>
      </c>
      <c r="B2105" s="1" t="s">
        <v>6610</v>
      </c>
      <c r="D2105" s="1" t="s">
        <v>6611</v>
      </c>
      <c r="E2105" s="1" t="s">
        <v>209</v>
      </c>
      <c r="F2105" s="1" t="s">
        <v>5017</v>
      </c>
      <c r="G2105" s="1" t="s">
        <v>5018</v>
      </c>
      <c r="H2105" s="1">
        <v>0.1</v>
      </c>
      <c r="I2105" s="1">
        <v>0.1</v>
      </c>
      <c r="J2105" s="1">
        <v>0.77372725254184072</v>
      </c>
      <c r="K2105" s="1" t="s">
        <v>181</v>
      </c>
    </row>
    <row r="2106" spans="1:11" x14ac:dyDescent="0.25">
      <c r="A2106" s="1" t="s">
        <v>6612</v>
      </c>
      <c r="B2106" s="1" t="s">
        <v>6613</v>
      </c>
      <c r="D2106" s="1" t="s">
        <v>6614</v>
      </c>
      <c r="E2106" s="1" t="s">
        <v>209</v>
      </c>
      <c r="F2106" s="1" t="s">
        <v>5017</v>
      </c>
      <c r="G2106" s="1" t="s">
        <v>5018</v>
      </c>
      <c r="H2106" s="1">
        <v>0.1</v>
      </c>
      <c r="I2106" s="1">
        <v>0.1</v>
      </c>
      <c r="J2106" s="1">
        <v>0.70142939944795735</v>
      </c>
      <c r="K2106" s="1" t="s">
        <v>181</v>
      </c>
    </row>
    <row r="2107" spans="1:11" x14ac:dyDescent="0.25">
      <c r="A2107" s="1" t="s">
        <v>6615</v>
      </c>
      <c r="B2107" s="1" t="s">
        <v>6616</v>
      </c>
      <c r="D2107" s="1" t="s">
        <v>6617</v>
      </c>
      <c r="E2107" s="1" t="s">
        <v>209</v>
      </c>
      <c r="F2107" s="1" t="s">
        <v>5017</v>
      </c>
      <c r="G2107" s="1" t="s">
        <v>5018</v>
      </c>
      <c r="H2107" s="1">
        <v>0.1</v>
      </c>
      <c r="I2107" s="1">
        <v>0.1</v>
      </c>
      <c r="J2107" s="1">
        <v>0.56332582315586743</v>
      </c>
      <c r="K2107" s="1" t="s">
        <v>181</v>
      </c>
    </row>
    <row r="2108" spans="1:11" x14ac:dyDescent="0.25">
      <c r="A2108" s="1" t="s">
        <v>6618</v>
      </c>
      <c r="B2108" s="1" t="s">
        <v>6619</v>
      </c>
      <c r="D2108" s="1" t="s">
        <v>6620</v>
      </c>
      <c r="E2108" s="1" t="s">
        <v>209</v>
      </c>
      <c r="F2108" s="1" t="s">
        <v>5017</v>
      </c>
      <c r="G2108" s="1" t="s">
        <v>5018</v>
      </c>
      <c r="H2108" s="1">
        <v>0.1</v>
      </c>
      <c r="I2108" s="1">
        <v>0.1</v>
      </c>
      <c r="J2108" s="1">
        <v>0.65638087845077997</v>
      </c>
      <c r="K2108" s="1" t="s">
        <v>181</v>
      </c>
    </row>
    <row r="2109" spans="1:11" x14ac:dyDescent="0.25">
      <c r="A2109" s="1" t="s">
        <v>6621</v>
      </c>
      <c r="B2109" s="1" t="s">
        <v>6622</v>
      </c>
      <c r="D2109" s="1" t="s">
        <v>6623</v>
      </c>
      <c r="E2109" s="1" t="s">
        <v>209</v>
      </c>
      <c r="F2109" s="1" t="s">
        <v>5017</v>
      </c>
      <c r="G2109" s="1" t="s">
        <v>5018</v>
      </c>
      <c r="H2109" s="1">
        <v>0.1</v>
      </c>
      <c r="I2109" s="1">
        <v>0.1</v>
      </c>
      <c r="J2109" s="1">
        <v>0.6857711461184729</v>
      </c>
      <c r="K2109" s="1" t="s">
        <v>181</v>
      </c>
    </row>
    <row r="2110" spans="1:11" x14ac:dyDescent="0.25">
      <c r="A2110" s="1" t="s">
        <v>6624</v>
      </c>
      <c r="B2110" s="1" t="s">
        <v>6625</v>
      </c>
      <c r="D2110" s="1" t="s">
        <v>6626</v>
      </c>
      <c r="E2110" s="1" t="s">
        <v>209</v>
      </c>
      <c r="F2110" s="1" t="s">
        <v>5017</v>
      </c>
      <c r="G2110" s="1" t="s">
        <v>5018</v>
      </c>
      <c r="H2110" s="1">
        <v>0.1</v>
      </c>
      <c r="I2110" s="1">
        <v>0.1</v>
      </c>
      <c r="J2110" s="1">
        <v>0.7044494661872317</v>
      </c>
      <c r="K2110" s="1" t="s">
        <v>181</v>
      </c>
    </row>
    <row r="2111" spans="1:11" x14ac:dyDescent="0.25">
      <c r="A2111" s="1" t="s">
        <v>6627</v>
      </c>
      <c r="B2111" s="1" t="s">
        <v>6628</v>
      </c>
      <c r="D2111" s="1" t="s">
        <v>6629</v>
      </c>
      <c r="E2111" s="1" t="s">
        <v>209</v>
      </c>
      <c r="F2111" s="1" t="s">
        <v>5017</v>
      </c>
      <c r="G2111" s="1" t="s">
        <v>5018</v>
      </c>
      <c r="H2111" s="1">
        <v>0.1</v>
      </c>
      <c r="I2111" s="1">
        <v>0.1</v>
      </c>
      <c r="J2111" s="1">
        <v>0.64618134963652307</v>
      </c>
      <c r="K2111" s="1" t="s">
        <v>181</v>
      </c>
    </row>
    <row r="2112" spans="1:11" x14ac:dyDescent="0.25">
      <c r="A2112" s="1" t="s">
        <v>6630</v>
      </c>
      <c r="B2112" s="1" t="s">
        <v>6631</v>
      </c>
      <c r="D2112" s="1" t="s">
        <v>6632</v>
      </c>
      <c r="E2112" s="1" t="s">
        <v>209</v>
      </c>
      <c r="F2112" s="1" t="s">
        <v>5017</v>
      </c>
      <c r="G2112" s="1" t="s">
        <v>5018</v>
      </c>
      <c r="H2112" s="1">
        <v>0.1</v>
      </c>
      <c r="I2112" s="1">
        <v>0.1</v>
      </c>
      <c r="J2112" s="1">
        <v>0.67712178548546098</v>
      </c>
      <c r="K2112" s="1" t="s">
        <v>181</v>
      </c>
    </row>
    <row r="2113" spans="1:11" x14ac:dyDescent="0.25">
      <c r="A2113" s="1" t="s">
        <v>6633</v>
      </c>
      <c r="B2113" s="1" t="s">
        <v>6634</v>
      </c>
      <c r="D2113" s="1" t="s">
        <v>6635</v>
      </c>
      <c r="E2113" s="1" t="s">
        <v>209</v>
      </c>
      <c r="F2113" s="1" t="s">
        <v>5017</v>
      </c>
      <c r="G2113" s="1" t="s">
        <v>5018</v>
      </c>
      <c r="H2113" s="1">
        <v>0.1</v>
      </c>
      <c r="I2113" s="1">
        <v>0.1</v>
      </c>
      <c r="J2113" s="1">
        <v>0.74578872463499402</v>
      </c>
      <c r="K2113" s="1" t="s">
        <v>181</v>
      </c>
    </row>
    <row r="2114" spans="1:11" x14ac:dyDescent="0.25">
      <c r="A2114" s="1" t="s">
        <v>6636</v>
      </c>
      <c r="B2114" s="1" t="s">
        <v>6637</v>
      </c>
      <c r="C2114" s="1" t="s">
        <v>6638</v>
      </c>
      <c r="D2114" s="1" t="s">
        <v>6639</v>
      </c>
      <c r="E2114" s="1" t="s">
        <v>178</v>
      </c>
      <c r="F2114" s="1" t="s">
        <v>5017</v>
      </c>
      <c r="G2114" s="1" t="s">
        <v>5018</v>
      </c>
      <c r="H2114" s="1">
        <v>0.1</v>
      </c>
      <c r="I2114" s="1">
        <v>0.1</v>
      </c>
      <c r="J2114" s="1">
        <v>1.1017754611479613</v>
      </c>
      <c r="K2114" s="1" t="s">
        <v>181</v>
      </c>
    </row>
    <row r="2115" spans="1:11" x14ac:dyDescent="0.25">
      <c r="A2115" s="1" t="s">
        <v>6640</v>
      </c>
      <c r="B2115" s="1" t="s">
        <v>6641</v>
      </c>
      <c r="C2115" s="1" t="s">
        <v>6642</v>
      </c>
      <c r="D2115" s="1" t="s">
        <v>6643</v>
      </c>
      <c r="E2115" s="1" t="s">
        <v>178</v>
      </c>
      <c r="F2115" s="1" t="s">
        <v>5017</v>
      </c>
      <c r="G2115" s="1" t="s">
        <v>5018</v>
      </c>
      <c r="H2115" s="1">
        <v>0.1</v>
      </c>
      <c r="I2115" s="1">
        <v>0.1</v>
      </c>
      <c r="J2115" s="1">
        <v>0.70174513260856675</v>
      </c>
      <c r="K2115" s="1" t="s">
        <v>181</v>
      </c>
    </row>
    <row r="2116" spans="1:11" x14ac:dyDescent="0.25">
      <c r="A2116" s="1" t="s">
        <v>6644</v>
      </c>
      <c r="B2116" s="1" t="s">
        <v>6645</v>
      </c>
      <c r="C2116" s="1" t="s">
        <v>6646</v>
      </c>
      <c r="D2116" s="1" t="s">
        <v>6647</v>
      </c>
      <c r="E2116" s="1" t="s">
        <v>178</v>
      </c>
      <c r="F2116" s="1" t="s">
        <v>5017</v>
      </c>
      <c r="G2116" s="1" t="s">
        <v>5018</v>
      </c>
      <c r="H2116" s="1">
        <v>0.1</v>
      </c>
      <c r="I2116" s="1">
        <v>0.1</v>
      </c>
      <c r="J2116" s="1">
        <v>0.74485385276533589</v>
      </c>
      <c r="K2116" s="1" t="s">
        <v>181</v>
      </c>
    </row>
    <row r="2117" spans="1:11" x14ac:dyDescent="0.25">
      <c r="A2117" s="1" t="s">
        <v>6648</v>
      </c>
      <c r="B2117" s="1" t="s">
        <v>6649</v>
      </c>
      <c r="C2117" s="1" t="s">
        <v>6650</v>
      </c>
      <c r="D2117" s="1" t="s">
        <v>6651</v>
      </c>
      <c r="E2117" s="1" t="s">
        <v>178</v>
      </c>
      <c r="F2117" s="1" t="s">
        <v>5017</v>
      </c>
      <c r="G2117" s="1" t="s">
        <v>5018</v>
      </c>
      <c r="H2117" s="1">
        <v>0.1</v>
      </c>
      <c r="I2117" s="1">
        <v>0.1</v>
      </c>
      <c r="J2117" s="1">
        <v>0.92827003154386223</v>
      </c>
      <c r="K2117" s="1" t="s">
        <v>181</v>
      </c>
    </row>
    <row r="2118" spans="1:11" x14ac:dyDescent="0.25">
      <c r="A2118" s="1" t="s">
        <v>6652</v>
      </c>
      <c r="B2118" s="1" t="s">
        <v>6653</v>
      </c>
      <c r="C2118" s="1" t="s">
        <v>6654</v>
      </c>
      <c r="D2118" s="1" t="s">
        <v>6655</v>
      </c>
      <c r="E2118" s="1" t="s">
        <v>178</v>
      </c>
      <c r="F2118" s="1" t="s">
        <v>5017</v>
      </c>
      <c r="G2118" s="1" t="s">
        <v>5018</v>
      </c>
      <c r="H2118" s="1">
        <v>0.1</v>
      </c>
      <c r="I2118" s="1">
        <v>0.1</v>
      </c>
      <c r="J2118" s="1">
        <v>1.0241499688321325</v>
      </c>
      <c r="K2118" s="1" t="s">
        <v>181</v>
      </c>
    </row>
    <row r="2119" spans="1:11" x14ac:dyDescent="0.25">
      <c r="A2119" s="1" t="s">
        <v>6656</v>
      </c>
      <c r="B2119" s="1" t="s">
        <v>6657</v>
      </c>
      <c r="C2119" s="1" t="s">
        <v>6658</v>
      </c>
      <c r="D2119" s="1" t="s">
        <v>6659</v>
      </c>
      <c r="E2119" s="1" t="s">
        <v>178</v>
      </c>
      <c r="F2119" s="1" t="s">
        <v>5017</v>
      </c>
      <c r="G2119" s="1" t="s">
        <v>5018</v>
      </c>
      <c r="H2119" s="1">
        <v>0.1</v>
      </c>
      <c r="I2119" s="1">
        <v>0.1</v>
      </c>
      <c r="J2119" s="1">
        <v>0.73854859642004278</v>
      </c>
      <c r="K2119" s="1" t="s">
        <v>181</v>
      </c>
    </row>
    <row r="2120" spans="1:11" x14ac:dyDescent="0.25">
      <c r="A2120" s="1" t="s">
        <v>6660</v>
      </c>
      <c r="B2120" s="1" t="s">
        <v>6661</v>
      </c>
      <c r="C2120" s="1" t="s">
        <v>6662</v>
      </c>
      <c r="D2120" s="1" t="s">
        <v>6663</v>
      </c>
      <c r="E2120" s="1" t="s">
        <v>178</v>
      </c>
      <c r="F2120" s="1" t="s">
        <v>5017</v>
      </c>
      <c r="G2120" s="1" t="s">
        <v>5018</v>
      </c>
      <c r="H2120" s="1">
        <v>0.1</v>
      </c>
      <c r="I2120" s="1">
        <v>0.1</v>
      </c>
      <c r="J2120" s="1">
        <v>1.0309927847289024</v>
      </c>
      <c r="K2120" s="1" t="s">
        <v>181</v>
      </c>
    </row>
    <row r="2121" spans="1:11" x14ac:dyDescent="0.25">
      <c r="A2121" s="1" t="s">
        <v>6664</v>
      </c>
      <c r="B2121" s="1" t="s">
        <v>6665</v>
      </c>
      <c r="C2121" s="1" t="s">
        <v>6666</v>
      </c>
      <c r="D2121" s="1" t="s">
        <v>6667</v>
      </c>
      <c r="E2121" s="1" t="s">
        <v>178</v>
      </c>
      <c r="F2121" s="1" t="s">
        <v>5017</v>
      </c>
      <c r="G2121" s="1" t="s">
        <v>5018</v>
      </c>
      <c r="H2121" s="1">
        <v>0.1</v>
      </c>
      <c r="I2121" s="1">
        <v>0.1</v>
      </c>
      <c r="J2121" s="1">
        <v>0.9132580420008547</v>
      </c>
      <c r="K2121" s="1" t="s">
        <v>181</v>
      </c>
    </row>
    <row r="2122" spans="1:11" x14ac:dyDescent="0.25">
      <c r="A2122" s="1" t="s">
        <v>6668</v>
      </c>
      <c r="B2122" s="1" t="s">
        <v>6661</v>
      </c>
      <c r="C2122" s="1" t="s">
        <v>6669</v>
      </c>
      <c r="D2122" s="1" t="s">
        <v>6670</v>
      </c>
      <c r="E2122" s="1" t="s">
        <v>178</v>
      </c>
      <c r="F2122" s="1" t="s">
        <v>5017</v>
      </c>
      <c r="G2122" s="1" t="s">
        <v>5018</v>
      </c>
      <c r="H2122" s="1">
        <v>0.1</v>
      </c>
      <c r="I2122" s="1">
        <v>0.1</v>
      </c>
      <c r="J2122" s="1">
        <v>0.91356635159985078</v>
      </c>
      <c r="K2122" s="1" t="s">
        <v>181</v>
      </c>
    </row>
    <row r="2123" spans="1:11" x14ac:dyDescent="0.25">
      <c r="A2123" s="1" t="s">
        <v>6671</v>
      </c>
      <c r="B2123" s="1" t="s">
        <v>6672</v>
      </c>
      <c r="C2123" s="1" t="s">
        <v>6673</v>
      </c>
      <c r="D2123" s="1" t="s">
        <v>6674</v>
      </c>
      <c r="E2123" s="1" t="s">
        <v>178</v>
      </c>
      <c r="F2123" s="1" t="s">
        <v>5017</v>
      </c>
      <c r="G2123" s="1" t="s">
        <v>5018</v>
      </c>
      <c r="H2123" s="1">
        <v>0.1</v>
      </c>
      <c r="I2123" s="1">
        <v>0.1</v>
      </c>
      <c r="J2123" s="1">
        <v>0.92030534206756964</v>
      </c>
      <c r="K2123" s="1" t="s">
        <v>181</v>
      </c>
    </row>
    <row r="2124" spans="1:11" x14ac:dyDescent="0.25">
      <c r="A2124" s="1" t="s">
        <v>6675</v>
      </c>
      <c r="B2124" s="1" t="s">
        <v>6676</v>
      </c>
      <c r="C2124" s="1" t="s">
        <v>6677</v>
      </c>
      <c r="D2124" s="1" t="s">
        <v>6678</v>
      </c>
      <c r="E2124" s="1" t="s">
        <v>178</v>
      </c>
      <c r="F2124" s="1" t="s">
        <v>5017</v>
      </c>
      <c r="G2124" s="1" t="s">
        <v>5018</v>
      </c>
      <c r="H2124" s="1">
        <v>0.1</v>
      </c>
      <c r="I2124" s="1">
        <v>0.1</v>
      </c>
      <c r="J2124" s="1">
        <v>0.9055597828877745</v>
      </c>
      <c r="K2124" s="1" t="s">
        <v>181</v>
      </c>
    </row>
    <row r="2125" spans="1:11" x14ac:dyDescent="0.25">
      <c r="A2125" s="1" t="s">
        <v>6679</v>
      </c>
      <c r="B2125" s="1" t="s">
        <v>6676</v>
      </c>
      <c r="C2125" s="1" t="s">
        <v>6680</v>
      </c>
      <c r="D2125" s="1" t="s">
        <v>6681</v>
      </c>
      <c r="E2125" s="1" t="s">
        <v>178</v>
      </c>
      <c r="F2125" s="1" t="s">
        <v>5017</v>
      </c>
      <c r="G2125" s="1" t="s">
        <v>5018</v>
      </c>
      <c r="H2125" s="1">
        <v>0.1</v>
      </c>
      <c r="I2125" s="1">
        <v>0.1</v>
      </c>
      <c r="J2125" s="1">
        <v>0.93730210338798436</v>
      </c>
      <c r="K2125" s="1" t="s">
        <v>181</v>
      </c>
    </row>
    <row r="2126" spans="1:11" x14ac:dyDescent="0.25">
      <c r="A2126" s="1" t="s">
        <v>6682</v>
      </c>
      <c r="B2126" s="1" t="s">
        <v>6683</v>
      </c>
      <c r="C2126" s="1" t="s">
        <v>6684</v>
      </c>
      <c r="D2126" s="1" t="s">
        <v>6685</v>
      </c>
      <c r="E2126" s="1" t="s">
        <v>178</v>
      </c>
      <c r="F2126" s="1" t="s">
        <v>5017</v>
      </c>
      <c r="G2126" s="1" t="s">
        <v>5018</v>
      </c>
      <c r="H2126" s="1">
        <v>0.1</v>
      </c>
      <c r="I2126" s="1">
        <v>0.1</v>
      </c>
      <c r="J2126" s="1">
        <v>0.7018515685051091</v>
      </c>
      <c r="K2126" s="1" t="s">
        <v>181</v>
      </c>
    </row>
    <row r="2127" spans="1:11" x14ac:dyDescent="0.25">
      <c r="A2127" s="1" t="s">
        <v>6686</v>
      </c>
      <c r="B2127" s="1" t="s">
        <v>6683</v>
      </c>
      <c r="C2127" s="1" t="s">
        <v>6687</v>
      </c>
      <c r="D2127" s="1" t="s">
        <v>6688</v>
      </c>
      <c r="E2127" s="1" t="s">
        <v>178</v>
      </c>
      <c r="F2127" s="1" t="s">
        <v>5017</v>
      </c>
      <c r="G2127" s="1" t="s">
        <v>5018</v>
      </c>
      <c r="H2127" s="1">
        <v>0.1</v>
      </c>
      <c r="I2127" s="1">
        <v>0.1</v>
      </c>
      <c r="J2127" s="1">
        <v>0.56487061809028039</v>
      </c>
      <c r="K2127" s="1" t="s">
        <v>181</v>
      </c>
    </row>
    <row r="2128" spans="1:11" x14ac:dyDescent="0.25">
      <c r="A2128" s="1" t="s">
        <v>6689</v>
      </c>
      <c r="B2128" s="1" t="s">
        <v>6690</v>
      </c>
      <c r="C2128" s="1" t="s">
        <v>6691</v>
      </c>
      <c r="D2128" s="1" t="s">
        <v>6692</v>
      </c>
      <c r="E2128" s="1" t="s">
        <v>178</v>
      </c>
      <c r="F2128" s="1" t="s">
        <v>5017</v>
      </c>
      <c r="G2128" s="1" t="s">
        <v>5018</v>
      </c>
      <c r="H2128" s="1">
        <v>0.1</v>
      </c>
      <c r="I2128" s="1">
        <v>0.1</v>
      </c>
      <c r="J2128" s="1">
        <v>0.87014168425705285</v>
      </c>
      <c r="K2128" s="1" t="s">
        <v>181</v>
      </c>
    </row>
    <row r="2129" spans="1:11" x14ac:dyDescent="0.25">
      <c r="A2129" s="1" t="s">
        <v>6693</v>
      </c>
      <c r="B2129" s="1" t="s">
        <v>6694</v>
      </c>
      <c r="C2129" s="1" t="s">
        <v>6695</v>
      </c>
      <c r="D2129" s="1" t="s">
        <v>6696</v>
      </c>
      <c r="E2129" s="1" t="s">
        <v>178</v>
      </c>
      <c r="F2129" s="1" t="s">
        <v>5017</v>
      </c>
      <c r="G2129" s="1" t="s">
        <v>5018</v>
      </c>
      <c r="H2129" s="1">
        <v>0.1</v>
      </c>
      <c r="I2129" s="1">
        <v>0.1</v>
      </c>
      <c r="J2129" s="1">
        <v>0.62154010869555421</v>
      </c>
      <c r="K2129" s="1" t="s">
        <v>181</v>
      </c>
    </row>
    <row r="2130" spans="1:11" x14ac:dyDescent="0.25">
      <c r="A2130" s="1" t="s">
        <v>6697</v>
      </c>
      <c r="B2130" s="1" t="s">
        <v>311</v>
      </c>
      <c r="C2130" s="1" t="s">
        <v>6698</v>
      </c>
      <c r="D2130" s="1" t="s">
        <v>6699</v>
      </c>
      <c r="E2130" s="1" t="s">
        <v>178</v>
      </c>
      <c r="F2130" s="1" t="s">
        <v>5017</v>
      </c>
      <c r="G2130" s="1" t="s">
        <v>5018</v>
      </c>
      <c r="H2130" s="1">
        <v>0.1</v>
      </c>
      <c r="I2130" s="1">
        <v>0.1</v>
      </c>
      <c r="J2130" s="1">
        <v>1.2374105693371809</v>
      </c>
      <c r="K2130" s="1" t="s">
        <v>181</v>
      </c>
    </row>
    <row r="2131" spans="1:11" x14ac:dyDescent="0.25">
      <c r="A2131" s="1" t="s">
        <v>14</v>
      </c>
      <c r="B2131" s="1" t="s">
        <v>6700</v>
      </c>
      <c r="C2131" s="1" t="s">
        <v>6701</v>
      </c>
      <c r="D2131" s="1" t="s">
        <v>6702</v>
      </c>
      <c r="E2131" s="1" t="s">
        <v>178</v>
      </c>
      <c r="F2131" s="1" t="s">
        <v>5017</v>
      </c>
      <c r="G2131" s="1" t="s">
        <v>5018</v>
      </c>
      <c r="H2131" s="1">
        <v>0.1</v>
      </c>
      <c r="I2131" s="1">
        <v>0.1</v>
      </c>
      <c r="J2131" s="1">
        <v>1.0327562014820217</v>
      </c>
      <c r="K2131" s="1" t="s">
        <v>181</v>
      </c>
    </row>
    <row r="2132" spans="1:11" x14ac:dyDescent="0.25">
      <c r="A2132" s="1" t="s">
        <v>6703</v>
      </c>
      <c r="B2132" s="1" t="s">
        <v>6704</v>
      </c>
      <c r="C2132" s="1" t="s">
        <v>6705</v>
      </c>
      <c r="D2132" s="1" t="s">
        <v>6706</v>
      </c>
      <c r="E2132" s="1" t="s">
        <v>178</v>
      </c>
      <c r="F2132" s="1" t="s">
        <v>5017</v>
      </c>
      <c r="G2132" s="1" t="s">
        <v>5018</v>
      </c>
      <c r="H2132" s="1">
        <v>0.1</v>
      </c>
      <c r="I2132" s="1">
        <v>0.1</v>
      </c>
      <c r="J2132" s="1">
        <v>0.99771399368095415</v>
      </c>
      <c r="K2132" s="1" t="s">
        <v>181</v>
      </c>
    </row>
    <row r="2133" spans="1:11" x14ac:dyDescent="0.25">
      <c r="A2133" s="1" t="s">
        <v>6707</v>
      </c>
      <c r="B2133" s="1" t="s">
        <v>6704</v>
      </c>
      <c r="C2133" s="1" t="s">
        <v>6708</v>
      </c>
      <c r="D2133" s="1" t="s">
        <v>6709</v>
      </c>
      <c r="E2133" s="1" t="s">
        <v>178</v>
      </c>
      <c r="F2133" s="1" t="s">
        <v>5017</v>
      </c>
      <c r="G2133" s="1" t="s">
        <v>5018</v>
      </c>
      <c r="H2133" s="1">
        <v>0.1</v>
      </c>
      <c r="I2133" s="1">
        <v>0.1</v>
      </c>
      <c r="J2133" s="1">
        <v>0.88156860692164407</v>
      </c>
      <c r="K2133" s="1" t="s">
        <v>181</v>
      </c>
    </row>
    <row r="2134" spans="1:11" x14ac:dyDescent="0.25">
      <c r="A2134" s="1" t="s">
        <v>6710</v>
      </c>
      <c r="B2134" s="1" t="s">
        <v>6711</v>
      </c>
      <c r="C2134" s="1" t="s">
        <v>6712</v>
      </c>
      <c r="D2134" s="1" t="s">
        <v>6713</v>
      </c>
      <c r="E2134" s="1" t="s">
        <v>178</v>
      </c>
      <c r="F2134" s="1" t="s">
        <v>5017</v>
      </c>
      <c r="G2134" s="1" t="s">
        <v>5018</v>
      </c>
      <c r="H2134" s="1">
        <v>0.1</v>
      </c>
      <c r="I2134" s="1">
        <v>0.1</v>
      </c>
      <c r="J2134" s="1">
        <v>0.8945772088303674</v>
      </c>
      <c r="K2134" s="1" t="s">
        <v>181</v>
      </c>
    </row>
    <row r="2135" spans="1:11" x14ac:dyDescent="0.25">
      <c r="A2135" s="1" t="s">
        <v>6714</v>
      </c>
      <c r="B2135" s="1" t="s">
        <v>6715</v>
      </c>
      <c r="C2135" s="1" t="s">
        <v>6716</v>
      </c>
      <c r="D2135" s="1" t="s">
        <v>6717</v>
      </c>
      <c r="E2135" s="1" t="s">
        <v>178</v>
      </c>
      <c r="F2135" s="1" t="s">
        <v>5017</v>
      </c>
      <c r="G2135" s="1" t="s">
        <v>5018</v>
      </c>
      <c r="H2135" s="1">
        <v>0.1</v>
      </c>
      <c r="I2135" s="1">
        <v>0.1</v>
      </c>
      <c r="J2135" s="1">
        <v>0.69333548713055648</v>
      </c>
      <c r="K2135" s="1" t="s">
        <v>181</v>
      </c>
    </row>
    <row r="2136" spans="1:11" x14ac:dyDescent="0.25">
      <c r="A2136" s="1" t="s">
        <v>6718</v>
      </c>
      <c r="B2136" s="1" t="s">
        <v>6719</v>
      </c>
      <c r="C2136" s="1" t="s">
        <v>6720</v>
      </c>
      <c r="D2136" s="1" t="s">
        <v>6721</v>
      </c>
      <c r="E2136" s="1" t="s">
        <v>178</v>
      </c>
      <c r="F2136" s="1" t="s">
        <v>5017</v>
      </c>
      <c r="G2136" s="1" t="s">
        <v>5018</v>
      </c>
      <c r="H2136" s="1">
        <v>0.1</v>
      </c>
      <c r="I2136" s="1">
        <v>0.1</v>
      </c>
      <c r="J2136" s="1">
        <v>0.89284091733232218</v>
      </c>
      <c r="K2136" s="1" t="s">
        <v>181</v>
      </c>
    </row>
    <row r="2137" spans="1:11" x14ac:dyDescent="0.25">
      <c r="A2137" s="1" t="s">
        <v>6722</v>
      </c>
      <c r="B2137" s="1" t="s">
        <v>6723</v>
      </c>
      <c r="C2137" s="1" t="s">
        <v>6724</v>
      </c>
      <c r="D2137" s="1" t="s">
        <v>6725</v>
      </c>
      <c r="E2137" s="1" t="s">
        <v>178</v>
      </c>
      <c r="F2137" s="1" t="s">
        <v>5017</v>
      </c>
      <c r="G2137" s="1" t="s">
        <v>5018</v>
      </c>
      <c r="H2137" s="1">
        <v>0.1</v>
      </c>
      <c r="I2137" s="1">
        <v>0.1</v>
      </c>
      <c r="J2137" s="1">
        <v>0.87540807039414292</v>
      </c>
      <c r="K2137" s="1" t="s">
        <v>181</v>
      </c>
    </row>
    <row r="2138" spans="1:11" x14ac:dyDescent="0.25">
      <c r="A2138" s="1" t="s">
        <v>6726</v>
      </c>
      <c r="B2138" s="1" t="s">
        <v>6727</v>
      </c>
      <c r="C2138" s="1" t="s">
        <v>6728</v>
      </c>
      <c r="D2138" s="1" t="s">
        <v>6729</v>
      </c>
      <c r="E2138" s="1" t="s">
        <v>178</v>
      </c>
      <c r="F2138" s="1" t="s">
        <v>5017</v>
      </c>
      <c r="G2138" s="1" t="s">
        <v>5018</v>
      </c>
      <c r="H2138" s="1">
        <v>0.1</v>
      </c>
      <c r="I2138" s="1">
        <v>0.1</v>
      </c>
      <c r="J2138" s="1">
        <v>0.66523776622461628</v>
      </c>
      <c r="K2138" s="1" t="s">
        <v>181</v>
      </c>
    </row>
    <row r="2139" spans="1:11" x14ac:dyDescent="0.25">
      <c r="A2139" s="1" t="s">
        <v>6730</v>
      </c>
      <c r="B2139" s="1" t="s">
        <v>6731</v>
      </c>
      <c r="C2139" s="1" t="s">
        <v>6732</v>
      </c>
      <c r="D2139" s="1" t="s">
        <v>6733</v>
      </c>
      <c r="E2139" s="1" t="s">
        <v>178</v>
      </c>
      <c r="F2139" s="1" t="s">
        <v>5017</v>
      </c>
      <c r="G2139" s="1" t="s">
        <v>5018</v>
      </c>
      <c r="H2139" s="1">
        <v>0.1</v>
      </c>
      <c r="I2139" s="1">
        <v>0.1</v>
      </c>
      <c r="J2139" s="1">
        <v>1.0741121043116839</v>
      </c>
      <c r="K2139" s="1" t="s">
        <v>181</v>
      </c>
    </row>
    <row r="2140" spans="1:11" x14ac:dyDescent="0.25">
      <c r="A2140" s="1" t="s">
        <v>6734</v>
      </c>
      <c r="B2140" s="1" t="s">
        <v>6735</v>
      </c>
      <c r="C2140" s="1" t="s">
        <v>6736</v>
      </c>
      <c r="D2140" s="1" t="s">
        <v>6737</v>
      </c>
      <c r="E2140" s="1" t="s">
        <v>178</v>
      </c>
      <c r="F2140" s="1" t="s">
        <v>5017</v>
      </c>
      <c r="G2140" s="1" t="s">
        <v>5018</v>
      </c>
      <c r="H2140" s="1">
        <v>0.1</v>
      </c>
      <c r="I2140" s="1">
        <v>0.1</v>
      </c>
      <c r="J2140" s="1">
        <v>0.92512015395664926</v>
      </c>
      <c r="K2140" s="1" t="s">
        <v>181</v>
      </c>
    </row>
    <row r="2141" spans="1:11" x14ac:dyDescent="0.25">
      <c r="A2141" s="1" t="s">
        <v>6738</v>
      </c>
      <c r="B2141" s="1" t="s">
        <v>6649</v>
      </c>
      <c r="C2141" s="1" t="s">
        <v>6739</v>
      </c>
      <c r="D2141" s="1" t="s">
        <v>6740</v>
      </c>
      <c r="E2141" s="1" t="s">
        <v>178</v>
      </c>
      <c r="F2141" s="1" t="s">
        <v>5017</v>
      </c>
      <c r="G2141" s="1" t="s">
        <v>5018</v>
      </c>
      <c r="H2141" s="1">
        <v>0.1</v>
      </c>
      <c r="I2141" s="1">
        <v>0.1</v>
      </c>
      <c r="J2141" s="1">
        <v>0.87280551986276078</v>
      </c>
      <c r="K2141" s="1" t="s">
        <v>181</v>
      </c>
    </row>
    <row r="2142" spans="1:11" x14ac:dyDescent="0.25">
      <c r="A2142" s="1" t="s">
        <v>6741</v>
      </c>
      <c r="B2142" s="1" t="s">
        <v>6653</v>
      </c>
      <c r="C2142" s="1" t="s">
        <v>6742</v>
      </c>
      <c r="D2142" s="1" t="s">
        <v>6743</v>
      </c>
      <c r="E2142" s="1" t="s">
        <v>178</v>
      </c>
      <c r="F2142" s="1" t="s">
        <v>5017</v>
      </c>
      <c r="G2142" s="1" t="s">
        <v>5018</v>
      </c>
      <c r="H2142" s="1">
        <v>0.1</v>
      </c>
      <c r="I2142" s="1">
        <v>0.1</v>
      </c>
      <c r="J2142" s="1">
        <v>1.0214965457450129</v>
      </c>
      <c r="K2142" s="1" t="s">
        <v>181</v>
      </c>
    </row>
    <row r="2143" spans="1:11" x14ac:dyDescent="0.25">
      <c r="A2143" s="1" t="s">
        <v>6744</v>
      </c>
      <c r="B2143" s="1" t="s">
        <v>6653</v>
      </c>
      <c r="C2143" s="1" t="s">
        <v>6745</v>
      </c>
      <c r="D2143" s="1" t="s">
        <v>6746</v>
      </c>
      <c r="E2143" s="1" t="s">
        <v>178</v>
      </c>
      <c r="F2143" s="1" t="s">
        <v>5017</v>
      </c>
      <c r="G2143" s="1" t="s">
        <v>5018</v>
      </c>
      <c r="H2143" s="1">
        <v>0.1</v>
      </c>
      <c r="I2143" s="1">
        <v>0.1</v>
      </c>
      <c r="J2143" s="1">
        <v>1.0202035717305653</v>
      </c>
      <c r="K2143" s="1" t="s">
        <v>181</v>
      </c>
    </row>
    <row r="2144" spans="1:11" x14ac:dyDescent="0.25">
      <c r="A2144" s="1" t="s">
        <v>6747</v>
      </c>
      <c r="B2144" s="1" t="s">
        <v>6748</v>
      </c>
      <c r="C2144" s="1" t="s">
        <v>6749</v>
      </c>
      <c r="D2144" s="1" t="s">
        <v>6750</v>
      </c>
      <c r="E2144" s="1" t="s">
        <v>178</v>
      </c>
      <c r="F2144" s="1" t="s">
        <v>5017</v>
      </c>
      <c r="G2144" s="1" t="s">
        <v>5018</v>
      </c>
      <c r="H2144" s="1">
        <v>0.1</v>
      </c>
      <c r="I2144" s="1">
        <v>0.1</v>
      </c>
      <c r="J2144" s="1">
        <v>0.7383516977600838</v>
      </c>
      <c r="K2144" s="1" t="s">
        <v>181</v>
      </c>
    </row>
    <row r="2145" spans="1:11" x14ac:dyDescent="0.25">
      <c r="A2145" s="1" t="s">
        <v>6751</v>
      </c>
      <c r="B2145" s="1" t="s">
        <v>6752</v>
      </c>
      <c r="C2145" s="1" t="s">
        <v>6753</v>
      </c>
      <c r="D2145" s="1" t="s">
        <v>6754</v>
      </c>
      <c r="E2145" s="1" t="s">
        <v>178</v>
      </c>
      <c r="F2145" s="1" t="s">
        <v>5017</v>
      </c>
      <c r="G2145" s="1" t="s">
        <v>5018</v>
      </c>
      <c r="H2145" s="1">
        <v>0.1</v>
      </c>
      <c r="I2145" s="1">
        <v>0.1</v>
      </c>
      <c r="J2145" s="1">
        <v>0.97378674302190693</v>
      </c>
      <c r="K2145" s="1" t="s">
        <v>181</v>
      </c>
    </row>
    <row r="2146" spans="1:11" x14ac:dyDescent="0.25">
      <c r="A2146" s="1" t="s">
        <v>6755</v>
      </c>
      <c r="B2146" s="1" t="s">
        <v>6752</v>
      </c>
      <c r="C2146" s="1" t="s">
        <v>6756</v>
      </c>
      <c r="D2146" s="1" t="s">
        <v>6757</v>
      </c>
      <c r="E2146" s="1" t="s">
        <v>178</v>
      </c>
      <c r="F2146" s="1" t="s">
        <v>5017</v>
      </c>
      <c r="G2146" s="1" t="s">
        <v>5018</v>
      </c>
      <c r="H2146" s="1">
        <v>0.1</v>
      </c>
      <c r="I2146" s="1">
        <v>0.1</v>
      </c>
      <c r="J2146" s="1">
        <v>0.97378674302190693</v>
      </c>
      <c r="K2146" s="1" t="s">
        <v>181</v>
      </c>
    </row>
    <row r="2147" spans="1:11" x14ac:dyDescent="0.25">
      <c r="A2147" s="1" t="s">
        <v>6758</v>
      </c>
      <c r="B2147" s="1" t="s">
        <v>6759</v>
      </c>
      <c r="C2147" s="1" t="s">
        <v>6760</v>
      </c>
      <c r="D2147" s="1" t="s">
        <v>6761</v>
      </c>
      <c r="E2147" s="1" t="s">
        <v>178</v>
      </c>
      <c r="F2147" s="1" t="s">
        <v>5017</v>
      </c>
      <c r="G2147" s="1" t="s">
        <v>5018</v>
      </c>
      <c r="H2147" s="1">
        <v>0.1</v>
      </c>
      <c r="I2147" s="1">
        <v>0.1</v>
      </c>
      <c r="J2147" s="1">
        <v>0.82390552798806516</v>
      </c>
      <c r="K2147" s="1" t="s">
        <v>181</v>
      </c>
    </row>
    <row r="2148" spans="1:11" x14ac:dyDescent="0.25">
      <c r="A2148" s="1" t="s">
        <v>6762</v>
      </c>
      <c r="B2148" s="1" t="s">
        <v>6763</v>
      </c>
      <c r="C2148" s="1" t="s">
        <v>6764</v>
      </c>
      <c r="D2148" s="1" t="s">
        <v>6765</v>
      </c>
      <c r="E2148" s="1" t="s">
        <v>178</v>
      </c>
      <c r="F2148" s="1" t="s">
        <v>5017</v>
      </c>
      <c r="G2148" s="1" t="s">
        <v>5018</v>
      </c>
      <c r="H2148" s="1">
        <v>0.1</v>
      </c>
      <c r="I2148" s="1">
        <v>0.1</v>
      </c>
      <c r="J2148" s="1">
        <v>0.79809309882531765</v>
      </c>
      <c r="K2148" s="1" t="s">
        <v>181</v>
      </c>
    </row>
    <row r="2149" spans="1:11" x14ac:dyDescent="0.25">
      <c r="A2149" s="1" t="s">
        <v>6766</v>
      </c>
      <c r="B2149" s="1" t="s">
        <v>6763</v>
      </c>
      <c r="C2149" s="1" t="s">
        <v>6764</v>
      </c>
      <c r="D2149" s="1" t="s">
        <v>6767</v>
      </c>
      <c r="E2149" s="1" t="s">
        <v>178</v>
      </c>
      <c r="F2149" s="1" t="s">
        <v>5017</v>
      </c>
      <c r="G2149" s="1" t="s">
        <v>5018</v>
      </c>
      <c r="H2149" s="1">
        <v>0.1</v>
      </c>
      <c r="I2149" s="1">
        <v>0.1</v>
      </c>
      <c r="J2149" s="1">
        <v>0.79809309882531765</v>
      </c>
      <c r="K2149" s="1" t="s">
        <v>181</v>
      </c>
    </row>
    <row r="2150" spans="1:11" x14ac:dyDescent="0.25">
      <c r="A2150" s="1" t="s">
        <v>6768</v>
      </c>
      <c r="B2150" s="1" t="s">
        <v>6769</v>
      </c>
      <c r="C2150" s="1" t="s">
        <v>6770</v>
      </c>
      <c r="D2150" s="1" t="s">
        <v>6771</v>
      </c>
      <c r="E2150" s="1" t="s">
        <v>178</v>
      </c>
      <c r="F2150" s="1" t="s">
        <v>5017</v>
      </c>
      <c r="G2150" s="1" t="s">
        <v>5018</v>
      </c>
      <c r="H2150" s="1">
        <v>0.1</v>
      </c>
      <c r="I2150" s="1">
        <v>0.1</v>
      </c>
      <c r="J2150" s="1">
        <v>1.0207660644810088</v>
      </c>
      <c r="K2150" s="1" t="s">
        <v>181</v>
      </c>
    </row>
    <row r="2151" spans="1:11" x14ac:dyDescent="0.25">
      <c r="A2151" s="1" t="s">
        <v>6772</v>
      </c>
      <c r="B2151" s="1" t="s">
        <v>6773</v>
      </c>
      <c r="C2151" s="1" t="s">
        <v>6774</v>
      </c>
      <c r="D2151" s="1" t="s">
        <v>6775</v>
      </c>
      <c r="E2151" s="1" t="s">
        <v>178</v>
      </c>
      <c r="F2151" s="1" t="s">
        <v>5017</v>
      </c>
      <c r="G2151" s="1" t="s">
        <v>5018</v>
      </c>
      <c r="H2151" s="1">
        <v>0.1</v>
      </c>
      <c r="I2151" s="1">
        <v>0.1</v>
      </c>
      <c r="J2151" s="1">
        <v>0.8882086039672884</v>
      </c>
      <c r="K2151" s="1" t="s">
        <v>181</v>
      </c>
    </row>
    <row r="2152" spans="1:11" x14ac:dyDescent="0.25">
      <c r="A2152" s="1" t="s">
        <v>6776</v>
      </c>
      <c r="B2152" s="1" t="s">
        <v>6735</v>
      </c>
      <c r="C2152" s="1" t="s">
        <v>6777</v>
      </c>
      <c r="D2152" s="1" t="s">
        <v>6778</v>
      </c>
      <c r="E2152" s="1" t="s">
        <v>178</v>
      </c>
      <c r="F2152" s="1" t="s">
        <v>5017</v>
      </c>
      <c r="G2152" s="1" t="s">
        <v>5018</v>
      </c>
      <c r="H2152" s="1">
        <v>0.1</v>
      </c>
      <c r="I2152" s="1">
        <v>0.1</v>
      </c>
      <c r="J2152" s="1">
        <v>1.2436203265738124</v>
      </c>
      <c r="K2152" s="1" t="s">
        <v>181</v>
      </c>
    </row>
    <row r="2153" spans="1:11" x14ac:dyDescent="0.25">
      <c r="A2153" s="1" t="s">
        <v>6779</v>
      </c>
      <c r="B2153" s="1" t="s">
        <v>6780</v>
      </c>
      <c r="C2153" s="1" t="s">
        <v>6781</v>
      </c>
      <c r="D2153" s="1" t="s">
        <v>6782</v>
      </c>
      <c r="E2153" s="1" t="s">
        <v>178</v>
      </c>
      <c r="F2153" s="1" t="s">
        <v>5017</v>
      </c>
      <c r="G2153" s="1" t="s">
        <v>5018</v>
      </c>
      <c r="H2153" s="1">
        <v>0.1</v>
      </c>
      <c r="I2153" s="1">
        <v>0.1</v>
      </c>
      <c r="J2153" s="1">
        <v>0.90859998798127906</v>
      </c>
      <c r="K2153" s="1" t="s">
        <v>181</v>
      </c>
    </row>
    <row r="2154" spans="1:11" x14ac:dyDescent="0.25">
      <c r="A2154" s="1" t="s">
        <v>6783</v>
      </c>
      <c r="B2154" s="1" t="s">
        <v>6784</v>
      </c>
      <c r="C2154" s="1" t="s">
        <v>6785</v>
      </c>
      <c r="D2154" s="1" t="s">
        <v>6786</v>
      </c>
      <c r="E2154" s="1" t="s">
        <v>178</v>
      </c>
      <c r="F2154" s="1" t="s">
        <v>5017</v>
      </c>
      <c r="G2154" s="1" t="s">
        <v>5018</v>
      </c>
      <c r="H2154" s="1">
        <v>0.1</v>
      </c>
      <c r="I2154" s="1">
        <v>0.1</v>
      </c>
      <c r="J2154" s="1">
        <v>0.87141646773020554</v>
      </c>
      <c r="K2154" s="1" t="s">
        <v>181</v>
      </c>
    </row>
    <row r="2155" spans="1:11" x14ac:dyDescent="0.25">
      <c r="A2155" s="1" t="s">
        <v>6787</v>
      </c>
      <c r="B2155" s="1" t="s">
        <v>6788</v>
      </c>
      <c r="C2155" s="1" t="s">
        <v>6789</v>
      </c>
      <c r="D2155" s="1" t="s">
        <v>6790</v>
      </c>
      <c r="E2155" s="1" t="s">
        <v>178</v>
      </c>
      <c r="F2155" s="1" t="s">
        <v>5017</v>
      </c>
      <c r="G2155" s="1" t="s">
        <v>5018</v>
      </c>
      <c r="H2155" s="1">
        <v>0.1</v>
      </c>
      <c r="I2155" s="1">
        <v>0.1</v>
      </c>
      <c r="J2155" s="1">
        <v>0.95149797016708515</v>
      </c>
      <c r="K2155" s="1" t="s">
        <v>181</v>
      </c>
    </row>
    <row r="2156" spans="1:11" x14ac:dyDescent="0.25">
      <c r="A2156" s="1" t="s">
        <v>6791</v>
      </c>
      <c r="B2156" s="1" t="s">
        <v>6792</v>
      </c>
      <c r="C2156" s="1" t="s">
        <v>6793</v>
      </c>
      <c r="D2156" s="1" t="s">
        <v>6794</v>
      </c>
      <c r="E2156" s="1" t="s">
        <v>178</v>
      </c>
      <c r="F2156" s="1" t="s">
        <v>5017</v>
      </c>
      <c r="G2156" s="1" t="s">
        <v>5018</v>
      </c>
      <c r="H2156" s="1">
        <v>0.1</v>
      </c>
      <c r="I2156" s="1">
        <v>0.1</v>
      </c>
      <c r="J2156" s="1">
        <v>0.70972147757028003</v>
      </c>
      <c r="K2156" s="1" t="s">
        <v>181</v>
      </c>
    </row>
    <row r="2157" spans="1:11" x14ac:dyDescent="0.25">
      <c r="A2157" s="1" t="s">
        <v>6795</v>
      </c>
      <c r="B2157" s="1" t="s">
        <v>6796</v>
      </c>
      <c r="C2157" s="1" t="s">
        <v>6797</v>
      </c>
      <c r="D2157" s="1" t="s">
        <v>6798</v>
      </c>
      <c r="E2157" s="1" t="s">
        <v>178</v>
      </c>
      <c r="F2157" s="1" t="s">
        <v>5017</v>
      </c>
      <c r="G2157" s="1" t="s">
        <v>5018</v>
      </c>
      <c r="H2157" s="1">
        <v>0.1</v>
      </c>
      <c r="I2157" s="1">
        <v>0.1</v>
      </c>
      <c r="J2157" s="1">
        <v>0.81898905037101066</v>
      </c>
      <c r="K2157" s="1" t="s">
        <v>181</v>
      </c>
    </row>
    <row r="2158" spans="1:11" x14ac:dyDescent="0.25">
      <c r="A2158" s="1" t="s">
        <v>6799</v>
      </c>
      <c r="B2158" s="1" t="s">
        <v>6800</v>
      </c>
      <c r="C2158" s="1" t="s">
        <v>6801</v>
      </c>
      <c r="D2158" s="1" t="s">
        <v>6802</v>
      </c>
      <c r="E2158" s="1" t="s">
        <v>178</v>
      </c>
      <c r="F2158" s="1" t="s">
        <v>5017</v>
      </c>
      <c r="G2158" s="1" t="s">
        <v>5018</v>
      </c>
      <c r="H2158" s="1">
        <v>0.1</v>
      </c>
      <c r="I2158" s="1">
        <v>0.1</v>
      </c>
      <c r="J2158" s="1">
        <v>0.72448287031621061</v>
      </c>
      <c r="K2158" s="1" t="s">
        <v>181</v>
      </c>
    </row>
    <row r="2159" spans="1:11" x14ac:dyDescent="0.25">
      <c r="A2159" s="1" t="s">
        <v>6803</v>
      </c>
      <c r="B2159" s="1" t="s">
        <v>6769</v>
      </c>
      <c r="C2159" s="1" t="s">
        <v>6804</v>
      </c>
      <c r="D2159" s="1" t="s">
        <v>6805</v>
      </c>
      <c r="E2159" s="1" t="s">
        <v>178</v>
      </c>
      <c r="F2159" s="1" t="s">
        <v>5017</v>
      </c>
      <c r="G2159" s="1" t="s">
        <v>5018</v>
      </c>
      <c r="H2159" s="1">
        <v>0.1</v>
      </c>
      <c r="I2159" s="1">
        <v>0.1</v>
      </c>
      <c r="J2159" s="1">
        <v>0.99035133825176802</v>
      </c>
      <c r="K2159" s="1" t="s">
        <v>181</v>
      </c>
    </row>
    <row r="2160" spans="1:11" x14ac:dyDescent="0.25">
      <c r="A2160" s="1" t="s">
        <v>6806</v>
      </c>
      <c r="B2160" s="1" t="s">
        <v>6769</v>
      </c>
      <c r="C2160" s="1" t="s">
        <v>6807</v>
      </c>
      <c r="D2160" s="1" t="s">
        <v>6808</v>
      </c>
      <c r="E2160" s="1" t="s">
        <v>178</v>
      </c>
      <c r="F2160" s="1" t="s">
        <v>5017</v>
      </c>
      <c r="G2160" s="1" t="s">
        <v>5018</v>
      </c>
      <c r="H2160" s="1">
        <v>0.1</v>
      </c>
      <c r="I2160" s="1">
        <v>0.1</v>
      </c>
      <c r="J2160" s="1">
        <v>0.99035133825176802</v>
      </c>
      <c r="K2160" s="1" t="s">
        <v>181</v>
      </c>
    </row>
    <row r="2161" spans="1:11" x14ac:dyDescent="0.25">
      <c r="A2161" s="1" t="s">
        <v>6809</v>
      </c>
      <c r="B2161" s="1" t="s">
        <v>6769</v>
      </c>
      <c r="C2161" s="1" t="s">
        <v>6810</v>
      </c>
      <c r="D2161" s="1" t="s">
        <v>6811</v>
      </c>
      <c r="E2161" s="1" t="s">
        <v>178</v>
      </c>
      <c r="F2161" s="1" t="s">
        <v>5017</v>
      </c>
      <c r="G2161" s="1" t="s">
        <v>5018</v>
      </c>
      <c r="H2161" s="1">
        <v>0.1</v>
      </c>
      <c r="I2161" s="1">
        <v>0.1</v>
      </c>
      <c r="J2161" s="1">
        <v>1.25463150031324</v>
      </c>
      <c r="K2161" s="1" t="s">
        <v>181</v>
      </c>
    </row>
    <row r="2162" spans="1:11" x14ac:dyDescent="0.25">
      <c r="A2162" s="1" t="s">
        <v>6812</v>
      </c>
      <c r="B2162" s="1" t="s">
        <v>6813</v>
      </c>
      <c r="C2162" s="1" t="s">
        <v>6814</v>
      </c>
      <c r="D2162" s="1" t="s">
        <v>6815</v>
      </c>
      <c r="E2162" s="1" t="s">
        <v>178</v>
      </c>
      <c r="F2162" s="1" t="s">
        <v>5017</v>
      </c>
      <c r="G2162" s="1" t="s">
        <v>5018</v>
      </c>
      <c r="H2162" s="1">
        <v>0.1</v>
      </c>
      <c r="I2162" s="1">
        <v>0.1</v>
      </c>
      <c r="J2162" s="1">
        <v>0.68493657654159257</v>
      </c>
      <c r="K2162" s="1" t="s">
        <v>181</v>
      </c>
    </row>
    <row r="2163" spans="1:11" x14ac:dyDescent="0.25">
      <c r="A2163" s="1" t="s">
        <v>6816</v>
      </c>
      <c r="B2163" s="1" t="s">
        <v>6817</v>
      </c>
      <c r="C2163" s="1" t="s">
        <v>6818</v>
      </c>
      <c r="D2163" s="1" t="s">
        <v>6819</v>
      </c>
      <c r="E2163" s="1" t="s">
        <v>178</v>
      </c>
      <c r="F2163" s="1" t="s">
        <v>5017</v>
      </c>
      <c r="G2163" s="1" t="s">
        <v>5018</v>
      </c>
      <c r="H2163" s="1">
        <v>0.1</v>
      </c>
      <c r="I2163" s="1">
        <v>0.1</v>
      </c>
      <c r="J2163" s="1">
        <v>0.71414803303377716</v>
      </c>
      <c r="K2163" s="1" t="s">
        <v>181</v>
      </c>
    </row>
    <row r="2164" spans="1:11" x14ac:dyDescent="0.25">
      <c r="A2164" s="1" t="s">
        <v>6820</v>
      </c>
      <c r="B2164" s="1" t="s">
        <v>6821</v>
      </c>
      <c r="C2164" s="1" t="s">
        <v>6822</v>
      </c>
      <c r="D2164" s="1" t="s">
        <v>6823</v>
      </c>
      <c r="E2164" s="1" t="s">
        <v>178</v>
      </c>
      <c r="F2164" s="1" t="s">
        <v>5017</v>
      </c>
      <c r="G2164" s="1" t="s">
        <v>5018</v>
      </c>
      <c r="H2164" s="1">
        <v>0.1</v>
      </c>
      <c r="I2164" s="1">
        <v>0.1</v>
      </c>
      <c r="J2164" s="1">
        <v>1.6271385394718871</v>
      </c>
      <c r="K2164" s="1" t="s">
        <v>181</v>
      </c>
    </row>
    <row r="2165" spans="1:11" x14ac:dyDescent="0.25">
      <c r="A2165" s="1" t="s">
        <v>142</v>
      </c>
      <c r="B2165" s="1" t="s">
        <v>6824</v>
      </c>
      <c r="C2165" s="1" t="s">
        <v>6825</v>
      </c>
      <c r="D2165" s="1" t="s">
        <v>6826</v>
      </c>
      <c r="E2165" s="1" t="s">
        <v>178</v>
      </c>
      <c r="F2165" s="1" t="s">
        <v>5017</v>
      </c>
      <c r="G2165" s="1" t="s">
        <v>5018</v>
      </c>
      <c r="H2165" s="1">
        <v>0.1</v>
      </c>
      <c r="I2165" s="1">
        <v>0.1</v>
      </c>
      <c r="J2165" s="1">
        <v>0.80121206463126737</v>
      </c>
      <c r="K2165" s="1" t="s">
        <v>181</v>
      </c>
    </row>
    <row r="2166" spans="1:11" x14ac:dyDescent="0.25">
      <c r="A2166" s="1" t="s">
        <v>141</v>
      </c>
      <c r="B2166" s="1" t="s">
        <v>6824</v>
      </c>
      <c r="C2166" s="1" t="s">
        <v>6827</v>
      </c>
      <c r="D2166" s="1" t="s">
        <v>6828</v>
      </c>
      <c r="E2166" s="1" t="s">
        <v>178</v>
      </c>
      <c r="F2166" s="1" t="s">
        <v>5017</v>
      </c>
      <c r="G2166" s="1" t="s">
        <v>5018</v>
      </c>
      <c r="H2166" s="1">
        <v>0.1</v>
      </c>
      <c r="I2166" s="1">
        <v>0.1</v>
      </c>
      <c r="J2166" s="1">
        <v>0.81985086410967678</v>
      </c>
      <c r="K2166" s="1" t="s">
        <v>181</v>
      </c>
    </row>
    <row r="2167" spans="1:11" x14ac:dyDescent="0.25">
      <c r="A2167" s="1" t="s">
        <v>24</v>
      </c>
      <c r="B2167" s="1" t="s">
        <v>6829</v>
      </c>
      <c r="C2167" s="1" t="s">
        <v>6830</v>
      </c>
      <c r="D2167" s="1" t="s">
        <v>6831</v>
      </c>
      <c r="E2167" s="1" t="s">
        <v>178</v>
      </c>
      <c r="F2167" s="1" t="s">
        <v>5017</v>
      </c>
      <c r="G2167" s="1" t="s">
        <v>5018</v>
      </c>
      <c r="H2167" s="1">
        <v>0.1</v>
      </c>
      <c r="I2167" s="1">
        <v>0.1</v>
      </c>
      <c r="J2167" s="1">
        <v>0.79154129518351635</v>
      </c>
      <c r="K2167" s="1" t="s">
        <v>181</v>
      </c>
    </row>
    <row r="2168" spans="1:11" x14ac:dyDescent="0.25">
      <c r="A2168" s="1" t="s">
        <v>6832</v>
      </c>
      <c r="B2168" s="1" t="s">
        <v>6829</v>
      </c>
      <c r="C2168" s="1" t="s">
        <v>6830</v>
      </c>
      <c r="D2168" s="1" t="s">
        <v>6833</v>
      </c>
      <c r="E2168" s="1" t="s">
        <v>178</v>
      </c>
      <c r="F2168" s="1" t="s">
        <v>5017</v>
      </c>
      <c r="G2168" s="1" t="s">
        <v>5018</v>
      </c>
      <c r="H2168" s="1">
        <v>0.1</v>
      </c>
      <c r="I2168" s="1">
        <v>0.1</v>
      </c>
      <c r="J2168" s="1">
        <v>0.79154129518351635</v>
      </c>
      <c r="K2168" s="1" t="s">
        <v>181</v>
      </c>
    </row>
    <row r="2169" spans="1:11" x14ac:dyDescent="0.25">
      <c r="A2169" s="1" t="s">
        <v>6834</v>
      </c>
      <c r="B2169" s="1" t="s">
        <v>6835</v>
      </c>
      <c r="C2169" s="1" t="s">
        <v>6836</v>
      </c>
      <c r="D2169" s="1" t="s">
        <v>6837</v>
      </c>
      <c r="E2169" s="1" t="s">
        <v>178</v>
      </c>
      <c r="F2169" s="1" t="s">
        <v>5017</v>
      </c>
      <c r="G2169" s="1" t="s">
        <v>5018</v>
      </c>
      <c r="H2169" s="1">
        <v>0.1</v>
      </c>
      <c r="I2169" s="1">
        <v>0.1</v>
      </c>
      <c r="J2169" s="1">
        <v>0.97066064300116117</v>
      </c>
      <c r="K2169" s="1" t="s">
        <v>181</v>
      </c>
    </row>
    <row r="2170" spans="1:11" x14ac:dyDescent="0.25">
      <c r="A2170" s="1" t="s">
        <v>6838</v>
      </c>
      <c r="B2170" s="1" t="s">
        <v>6839</v>
      </c>
      <c r="C2170" s="1" t="s">
        <v>6840</v>
      </c>
      <c r="D2170" s="1" t="s">
        <v>6841</v>
      </c>
      <c r="E2170" s="1" t="s">
        <v>178</v>
      </c>
      <c r="F2170" s="1" t="s">
        <v>5017</v>
      </c>
      <c r="G2170" s="1" t="s">
        <v>5018</v>
      </c>
      <c r="H2170" s="1">
        <v>0.1</v>
      </c>
      <c r="I2170" s="1">
        <v>0.1</v>
      </c>
      <c r="J2170" s="1">
        <v>0.84491565425937887</v>
      </c>
      <c r="K2170" s="1" t="s">
        <v>181</v>
      </c>
    </row>
    <row r="2171" spans="1:11" x14ac:dyDescent="0.25">
      <c r="A2171" s="1" t="s">
        <v>6842</v>
      </c>
      <c r="B2171" s="1" t="s">
        <v>6843</v>
      </c>
      <c r="C2171" s="1" t="s">
        <v>6844</v>
      </c>
      <c r="D2171" s="1" t="s">
        <v>6845</v>
      </c>
      <c r="E2171" s="1" t="s">
        <v>178</v>
      </c>
      <c r="F2171" s="1" t="s">
        <v>5017</v>
      </c>
      <c r="G2171" s="1" t="s">
        <v>5018</v>
      </c>
      <c r="H2171" s="1">
        <v>0.1</v>
      </c>
      <c r="I2171" s="1">
        <v>0.1</v>
      </c>
      <c r="J2171" s="1">
        <v>0.95171000467164391</v>
      </c>
      <c r="K2171" s="1" t="s">
        <v>181</v>
      </c>
    </row>
    <row r="2172" spans="1:11" x14ac:dyDescent="0.25">
      <c r="A2172" s="1" t="s">
        <v>6846</v>
      </c>
      <c r="B2172" s="1" t="s">
        <v>6847</v>
      </c>
      <c r="C2172" s="1" t="s">
        <v>6848</v>
      </c>
      <c r="D2172" s="1" t="s">
        <v>6849</v>
      </c>
      <c r="E2172" s="1" t="s">
        <v>178</v>
      </c>
      <c r="F2172" s="1" t="s">
        <v>5017</v>
      </c>
      <c r="G2172" s="1" t="s">
        <v>5018</v>
      </c>
      <c r="H2172" s="1">
        <v>0.1</v>
      </c>
      <c r="I2172" s="1">
        <v>0.1</v>
      </c>
      <c r="J2172" s="1">
        <v>0.79347798579877582</v>
      </c>
      <c r="K2172" s="1" t="s">
        <v>181</v>
      </c>
    </row>
    <row r="2173" spans="1:11" x14ac:dyDescent="0.25">
      <c r="A2173" s="1" t="s">
        <v>6850</v>
      </c>
      <c r="B2173" s="1" t="s">
        <v>6704</v>
      </c>
      <c r="C2173" s="1" t="s">
        <v>6851</v>
      </c>
      <c r="D2173" s="1" t="s">
        <v>6852</v>
      </c>
      <c r="E2173" s="1" t="s">
        <v>178</v>
      </c>
      <c r="F2173" s="1" t="s">
        <v>5017</v>
      </c>
      <c r="G2173" s="1" t="s">
        <v>5018</v>
      </c>
      <c r="H2173" s="1">
        <v>0.1</v>
      </c>
      <c r="I2173" s="1">
        <v>0.1</v>
      </c>
      <c r="J2173" s="1">
        <v>0.97946631527967354</v>
      </c>
      <c r="K2173" s="1" t="s">
        <v>181</v>
      </c>
    </row>
    <row r="2174" spans="1:11" x14ac:dyDescent="0.25">
      <c r="A2174" s="1" t="s">
        <v>6853</v>
      </c>
      <c r="B2174" s="1" t="s">
        <v>6690</v>
      </c>
      <c r="C2174" s="1" t="s">
        <v>6854</v>
      </c>
      <c r="D2174" s="1" t="s">
        <v>6855</v>
      </c>
      <c r="E2174" s="1" t="s">
        <v>178</v>
      </c>
      <c r="F2174" s="1" t="s">
        <v>5017</v>
      </c>
      <c r="G2174" s="1" t="s">
        <v>5018</v>
      </c>
      <c r="H2174" s="1">
        <v>0.1</v>
      </c>
      <c r="I2174" s="1">
        <v>0.1</v>
      </c>
      <c r="J2174" s="1">
        <v>0.90421387710251455</v>
      </c>
      <c r="K2174" s="1" t="s">
        <v>181</v>
      </c>
    </row>
    <row r="2175" spans="1:11" x14ac:dyDescent="0.25">
      <c r="A2175" s="1" t="s">
        <v>6856</v>
      </c>
      <c r="B2175" s="1" t="s">
        <v>6704</v>
      </c>
      <c r="C2175" s="1" t="s">
        <v>6857</v>
      </c>
      <c r="D2175" s="1" t="s">
        <v>6858</v>
      </c>
      <c r="E2175" s="1" t="s">
        <v>178</v>
      </c>
      <c r="F2175" s="1" t="s">
        <v>5017</v>
      </c>
      <c r="G2175" s="1" t="s">
        <v>5018</v>
      </c>
      <c r="H2175" s="1">
        <v>0.1</v>
      </c>
      <c r="I2175" s="1">
        <v>0.1</v>
      </c>
      <c r="J2175" s="1">
        <v>1.0079964992928232</v>
      </c>
      <c r="K2175" s="1" t="s">
        <v>181</v>
      </c>
    </row>
    <row r="2176" spans="1:11" x14ac:dyDescent="0.25">
      <c r="A2176" s="1" t="s">
        <v>6859</v>
      </c>
      <c r="B2176" s="1" t="s">
        <v>6690</v>
      </c>
      <c r="C2176" s="1" t="s">
        <v>6860</v>
      </c>
      <c r="D2176" s="1" t="s">
        <v>6861</v>
      </c>
      <c r="E2176" s="1" t="s">
        <v>178</v>
      </c>
      <c r="F2176" s="1" t="s">
        <v>5017</v>
      </c>
      <c r="G2176" s="1" t="s">
        <v>5018</v>
      </c>
      <c r="H2176" s="1">
        <v>0.1</v>
      </c>
      <c r="I2176" s="1">
        <v>0.1</v>
      </c>
      <c r="J2176" s="1">
        <v>1.2500213467772714</v>
      </c>
      <c r="K2176" s="1" t="s">
        <v>181</v>
      </c>
    </row>
    <row r="2177" spans="1:11" x14ac:dyDescent="0.25">
      <c r="A2177" s="1" t="s">
        <v>6862</v>
      </c>
      <c r="B2177" s="1" t="s">
        <v>6690</v>
      </c>
      <c r="C2177" s="1" t="s">
        <v>6863</v>
      </c>
      <c r="D2177" s="1" t="s">
        <v>6864</v>
      </c>
      <c r="E2177" s="1" t="s">
        <v>178</v>
      </c>
      <c r="F2177" s="1" t="s">
        <v>5017</v>
      </c>
      <c r="G2177" s="1" t="s">
        <v>5018</v>
      </c>
      <c r="H2177" s="1">
        <v>0.1</v>
      </c>
      <c r="I2177" s="1">
        <v>0.1</v>
      </c>
      <c r="J2177" s="1">
        <v>0.82158830066387945</v>
      </c>
      <c r="K2177" s="1" t="s">
        <v>181</v>
      </c>
    </row>
    <row r="2178" spans="1:11" x14ac:dyDescent="0.25">
      <c r="A2178" s="1" t="s">
        <v>6865</v>
      </c>
      <c r="B2178" s="1" t="s">
        <v>6866</v>
      </c>
      <c r="C2178" s="1" t="s">
        <v>6867</v>
      </c>
      <c r="D2178" s="1" t="s">
        <v>6868</v>
      </c>
      <c r="E2178" s="1" t="s">
        <v>178</v>
      </c>
      <c r="F2178" s="1" t="s">
        <v>5017</v>
      </c>
      <c r="G2178" s="1" t="s">
        <v>5018</v>
      </c>
      <c r="H2178" s="1">
        <v>0.1</v>
      </c>
      <c r="I2178" s="1">
        <v>0.1</v>
      </c>
      <c r="J2178" s="1">
        <v>0.54171449270171879</v>
      </c>
      <c r="K2178" s="1" t="s">
        <v>181</v>
      </c>
    </row>
    <row r="2179" spans="1:11" x14ac:dyDescent="0.25">
      <c r="A2179" s="1" t="s">
        <v>6869</v>
      </c>
      <c r="B2179" s="1" t="s">
        <v>6866</v>
      </c>
      <c r="C2179" s="1" t="s">
        <v>6870</v>
      </c>
      <c r="D2179" s="1" t="s">
        <v>6868</v>
      </c>
      <c r="E2179" s="1" t="s">
        <v>178</v>
      </c>
      <c r="F2179" s="1" t="s">
        <v>5017</v>
      </c>
      <c r="G2179" s="1" t="s">
        <v>5018</v>
      </c>
      <c r="H2179" s="1">
        <v>0.1</v>
      </c>
      <c r="I2179" s="1">
        <v>0.1</v>
      </c>
      <c r="J2179" s="1">
        <v>0.88670001225249606</v>
      </c>
      <c r="K2179" s="1" t="s">
        <v>181</v>
      </c>
    </row>
    <row r="2180" spans="1:11" x14ac:dyDescent="0.25">
      <c r="A2180" s="1" t="s">
        <v>6871</v>
      </c>
      <c r="B2180" s="1" t="s">
        <v>6866</v>
      </c>
      <c r="C2180" s="1" t="s">
        <v>6872</v>
      </c>
      <c r="D2180" s="1" t="s">
        <v>6868</v>
      </c>
      <c r="E2180" s="1" t="s">
        <v>178</v>
      </c>
      <c r="F2180" s="1" t="s">
        <v>5017</v>
      </c>
      <c r="G2180" s="1" t="s">
        <v>5018</v>
      </c>
      <c r="H2180" s="1">
        <v>0.1</v>
      </c>
      <c r="I2180" s="1">
        <v>0.1</v>
      </c>
      <c r="J2180" s="1">
        <v>0.88670001225249606</v>
      </c>
      <c r="K2180" s="1" t="s">
        <v>181</v>
      </c>
    </row>
    <row r="2181" spans="1:11" x14ac:dyDescent="0.25">
      <c r="A2181" s="1" t="s">
        <v>6873</v>
      </c>
      <c r="B2181" s="1" t="s">
        <v>6874</v>
      </c>
      <c r="C2181" s="1" t="s">
        <v>6875</v>
      </c>
      <c r="D2181" s="1" t="s">
        <v>6876</v>
      </c>
      <c r="E2181" s="1" t="s">
        <v>178</v>
      </c>
      <c r="F2181" s="1" t="s">
        <v>5017</v>
      </c>
      <c r="G2181" s="1" t="s">
        <v>5018</v>
      </c>
      <c r="H2181" s="1">
        <v>0.1</v>
      </c>
      <c r="I2181" s="1">
        <v>0.1</v>
      </c>
      <c r="J2181" s="1">
        <v>0.58101301125766147</v>
      </c>
      <c r="K2181" s="1" t="s">
        <v>181</v>
      </c>
    </row>
    <row r="2182" spans="1:11" x14ac:dyDescent="0.25">
      <c r="A2182" s="1" t="s">
        <v>6877</v>
      </c>
      <c r="B2182" s="1" t="s">
        <v>6878</v>
      </c>
      <c r="C2182" s="1" t="s">
        <v>6879</v>
      </c>
      <c r="D2182" s="1" t="s">
        <v>6880</v>
      </c>
      <c r="E2182" s="1" t="s">
        <v>178</v>
      </c>
      <c r="F2182" s="1" t="s">
        <v>5017</v>
      </c>
      <c r="G2182" s="1" t="s">
        <v>5018</v>
      </c>
      <c r="H2182" s="1">
        <v>0.1</v>
      </c>
      <c r="I2182" s="1">
        <v>0.1</v>
      </c>
      <c r="J2182" s="1">
        <v>0.67971897198768072</v>
      </c>
      <c r="K2182" s="1" t="s">
        <v>181</v>
      </c>
    </row>
    <row r="2183" spans="1:11" x14ac:dyDescent="0.25">
      <c r="A2183" s="1" t="s">
        <v>6881</v>
      </c>
      <c r="B2183" s="1" t="s">
        <v>6882</v>
      </c>
      <c r="C2183" s="1" t="s">
        <v>6883</v>
      </c>
      <c r="D2183" s="1" t="s">
        <v>6884</v>
      </c>
      <c r="E2183" s="1" t="s">
        <v>178</v>
      </c>
      <c r="F2183" s="1" t="s">
        <v>5017</v>
      </c>
      <c r="G2183" s="1" t="s">
        <v>5018</v>
      </c>
      <c r="H2183" s="1">
        <v>0.1</v>
      </c>
      <c r="I2183" s="1">
        <v>0.1</v>
      </c>
      <c r="J2183" s="1">
        <v>1.0411682502859869</v>
      </c>
      <c r="K2183" s="1" t="s">
        <v>181</v>
      </c>
    </row>
    <row r="2184" spans="1:11" x14ac:dyDescent="0.25">
      <c r="A2184" s="1" t="s">
        <v>6885</v>
      </c>
      <c r="B2184" s="1" t="s">
        <v>6886</v>
      </c>
      <c r="C2184" s="1" t="s">
        <v>6887</v>
      </c>
      <c r="D2184" s="1" t="s">
        <v>6888</v>
      </c>
      <c r="E2184" s="1" t="s">
        <v>178</v>
      </c>
      <c r="F2184" s="1" t="s">
        <v>5017</v>
      </c>
      <c r="G2184" s="1" t="s">
        <v>5018</v>
      </c>
      <c r="H2184" s="1">
        <v>0.1</v>
      </c>
      <c r="I2184" s="1">
        <v>0.1</v>
      </c>
      <c r="J2184" s="1">
        <v>0.86014244641094151</v>
      </c>
      <c r="K2184" s="1" t="s">
        <v>181</v>
      </c>
    </row>
    <row r="2185" spans="1:11" x14ac:dyDescent="0.25">
      <c r="A2185" s="1" t="s">
        <v>6889</v>
      </c>
      <c r="B2185" s="1" t="s">
        <v>6890</v>
      </c>
      <c r="C2185" s="1" t="s">
        <v>6891</v>
      </c>
      <c r="D2185" s="1" t="s">
        <v>6892</v>
      </c>
      <c r="E2185" s="1" t="s">
        <v>178</v>
      </c>
      <c r="F2185" s="1" t="s">
        <v>5017</v>
      </c>
      <c r="G2185" s="1" t="s">
        <v>5018</v>
      </c>
      <c r="H2185" s="1">
        <v>0.1</v>
      </c>
      <c r="I2185" s="1">
        <v>0.1</v>
      </c>
      <c r="J2185" s="1">
        <v>0.83593215205299642</v>
      </c>
      <c r="K2185" s="1" t="s">
        <v>181</v>
      </c>
    </row>
    <row r="2186" spans="1:11" x14ac:dyDescent="0.25">
      <c r="A2186" s="1" t="s">
        <v>160</v>
      </c>
      <c r="B2186" s="1" t="s">
        <v>6893</v>
      </c>
      <c r="C2186" s="1" t="s">
        <v>6894</v>
      </c>
      <c r="D2186" s="1" t="s">
        <v>6895</v>
      </c>
      <c r="E2186" s="1" t="s">
        <v>178</v>
      </c>
      <c r="F2186" s="1" t="s">
        <v>5017</v>
      </c>
      <c r="G2186" s="1" t="s">
        <v>5018</v>
      </c>
      <c r="H2186" s="1">
        <v>0.1</v>
      </c>
      <c r="I2186" s="1">
        <v>0.1</v>
      </c>
      <c r="J2186" s="1">
        <v>0.59714397581341916</v>
      </c>
      <c r="K2186" s="1" t="s">
        <v>181</v>
      </c>
    </row>
    <row r="2187" spans="1:11" x14ac:dyDescent="0.25">
      <c r="A2187" s="1" t="s">
        <v>6896</v>
      </c>
      <c r="B2187" s="1" t="s">
        <v>6661</v>
      </c>
      <c r="C2187" s="1" t="s">
        <v>6897</v>
      </c>
      <c r="D2187" s="1" t="s">
        <v>6898</v>
      </c>
      <c r="E2187" s="1" t="s">
        <v>178</v>
      </c>
      <c r="F2187" s="1" t="s">
        <v>5017</v>
      </c>
      <c r="G2187" s="1" t="s">
        <v>5018</v>
      </c>
      <c r="H2187" s="1">
        <v>0.1</v>
      </c>
      <c r="I2187" s="1">
        <v>0.1</v>
      </c>
      <c r="J2187" s="1">
        <v>0.91409989632434829</v>
      </c>
      <c r="K2187" s="1" t="s">
        <v>181</v>
      </c>
    </row>
    <row r="2188" spans="1:11" x14ac:dyDescent="0.25">
      <c r="A2188" s="1" t="s">
        <v>6899</v>
      </c>
      <c r="B2188" s="1" t="s">
        <v>6900</v>
      </c>
      <c r="C2188" s="1" t="s">
        <v>6901</v>
      </c>
      <c r="D2188" s="1" t="s">
        <v>6902</v>
      </c>
      <c r="E2188" s="1" t="s">
        <v>178</v>
      </c>
      <c r="F2188" s="1" t="s">
        <v>5017</v>
      </c>
      <c r="G2188" s="1" t="s">
        <v>5018</v>
      </c>
      <c r="H2188" s="1">
        <v>0.1</v>
      </c>
      <c r="I2188" s="1">
        <v>0.1</v>
      </c>
      <c r="J2188" s="1">
        <v>0.94896704028355916</v>
      </c>
      <c r="K2188" s="1" t="s">
        <v>181</v>
      </c>
    </row>
    <row r="2189" spans="1:11" x14ac:dyDescent="0.25">
      <c r="A2189" s="1" t="s">
        <v>6903</v>
      </c>
      <c r="B2189" s="1" t="s">
        <v>6904</v>
      </c>
      <c r="C2189" s="1" t="s">
        <v>6905</v>
      </c>
      <c r="D2189" s="1" t="s">
        <v>6906</v>
      </c>
      <c r="E2189" s="1" t="s">
        <v>178</v>
      </c>
      <c r="F2189" s="1" t="s">
        <v>5017</v>
      </c>
      <c r="G2189" s="1" t="s">
        <v>5018</v>
      </c>
      <c r="H2189" s="1">
        <v>0.1</v>
      </c>
      <c r="I2189" s="1">
        <v>0.1</v>
      </c>
      <c r="J2189" s="1">
        <v>0.69252440127124348</v>
      </c>
      <c r="K2189" s="1" t="s">
        <v>181</v>
      </c>
    </row>
    <row r="2190" spans="1:11" x14ac:dyDescent="0.25">
      <c r="A2190" s="1" t="s">
        <v>6907</v>
      </c>
      <c r="B2190" s="1" t="s">
        <v>6908</v>
      </c>
      <c r="C2190" s="1" t="s">
        <v>6909</v>
      </c>
      <c r="D2190" s="1" t="s">
        <v>6910</v>
      </c>
      <c r="E2190" s="1" t="s">
        <v>178</v>
      </c>
      <c r="F2190" s="1" t="s">
        <v>5017</v>
      </c>
      <c r="G2190" s="1" t="s">
        <v>5018</v>
      </c>
      <c r="H2190" s="1">
        <v>0.1</v>
      </c>
      <c r="I2190" s="1">
        <v>0.1</v>
      </c>
      <c r="J2190" s="1">
        <v>0.84266818576264302</v>
      </c>
      <c r="K2190" s="1" t="s">
        <v>181</v>
      </c>
    </row>
    <row r="2191" spans="1:11" x14ac:dyDescent="0.25">
      <c r="A2191" s="1" t="s">
        <v>6911</v>
      </c>
      <c r="B2191" s="1" t="s">
        <v>6878</v>
      </c>
      <c r="C2191" s="1" t="s">
        <v>6912</v>
      </c>
      <c r="D2191" s="1" t="s">
        <v>6913</v>
      </c>
      <c r="E2191" s="1" t="s">
        <v>178</v>
      </c>
      <c r="F2191" s="1" t="s">
        <v>5017</v>
      </c>
      <c r="G2191" s="1" t="s">
        <v>5018</v>
      </c>
      <c r="H2191" s="1">
        <v>0.1</v>
      </c>
      <c r="I2191" s="1">
        <v>0.1</v>
      </c>
      <c r="J2191" s="1">
        <v>0.67971897198768072</v>
      </c>
      <c r="K2191" s="1" t="s">
        <v>181</v>
      </c>
    </row>
    <row r="2192" spans="1:11" x14ac:dyDescent="0.25">
      <c r="A2192" s="1" t="s">
        <v>6914</v>
      </c>
      <c r="B2192" s="1" t="s">
        <v>6878</v>
      </c>
      <c r="C2192" s="1" t="s">
        <v>6915</v>
      </c>
      <c r="D2192" s="1" t="s">
        <v>6916</v>
      </c>
      <c r="E2192" s="1" t="s">
        <v>178</v>
      </c>
      <c r="F2192" s="1" t="s">
        <v>5017</v>
      </c>
      <c r="G2192" s="1" t="s">
        <v>5018</v>
      </c>
      <c r="H2192" s="1">
        <v>0.1</v>
      </c>
      <c r="I2192" s="1">
        <v>0.1</v>
      </c>
      <c r="J2192" s="1">
        <v>0.67971897198768072</v>
      </c>
      <c r="K2192" s="1" t="s">
        <v>181</v>
      </c>
    </row>
    <row r="2193" spans="1:11" x14ac:dyDescent="0.25">
      <c r="A2193" s="1" t="s">
        <v>6917</v>
      </c>
      <c r="B2193" s="1" t="s">
        <v>6878</v>
      </c>
      <c r="C2193" s="1" t="s">
        <v>6918</v>
      </c>
      <c r="D2193" s="1" t="s">
        <v>6919</v>
      </c>
      <c r="E2193" s="1" t="s">
        <v>178</v>
      </c>
      <c r="F2193" s="1" t="s">
        <v>5017</v>
      </c>
      <c r="G2193" s="1" t="s">
        <v>5018</v>
      </c>
      <c r="H2193" s="1">
        <v>0.1</v>
      </c>
      <c r="I2193" s="1">
        <v>0.1</v>
      </c>
      <c r="J2193" s="1">
        <v>0.67722940962645273</v>
      </c>
      <c r="K2193" s="1" t="s">
        <v>181</v>
      </c>
    </row>
    <row r="2194" spans="1:11" x14ac:dyDescent="0.25">
      <c r="A2194" s="1" t="s">
        <v>6920</v>
      </c>
      <c r="B2194" s="1" t="s">
        <v>6878</v>
      </c>
      <c r="C2194" s="1" t="s">
        <v>6921</v>
      </c>
      <c r="D2194" s="1" t="s">
        <v>6922</v>
      </c>
      <c r="E2194" s="1" t="s">
        <v>178</v>
      </c>
      <c r="F2194" s="1" t="s">
        <v>5017</v>
      </c>
      <c r="G2194" s="1" t="s">
        <v>5018</v>
      </c>
      <c r="H2194" s="1">
        <v>0.1</v>
      </c>
      <c r="I2194" s="1">
        <v>0.1</v>
      </c>
      <c r="J2194" s="1">
        <v>0.67971897198768072</v>
      </c>
      <c r="K2194" s="1" t="s">
        <v>181</v>
      </c>
    </row>
    <row r="2195" spans="1:11" x14ac:dyDescent="0.25">
      <c r="A2195" s="1" t="s">
        <v>6923</v>
      </c>
      <c r="B2195" s="1" t="s">
        <v>6924</v>
      </c>
      <c r="C2195" s="1" t="s">
        <v>6925</v>
      </c>
      <c r="D2195" s="1" t="s">
        <v>6926</v>
      </c>
      <c r="E2195" s="1" t="s">
        <v>178</v>
      </c>
      <c r="F2195" s="1" t="s">
        <v>5017</v>
      </c>
      <c r="G2195" s="1" t="s">
        <v>5018</v>
      </c>
      <c r="H2195" s="1">
        <v>0.1</v>
      </c>
      <c r="I2195" s="1">
        <v>0.1</v>
      </c>
      <c r="J2195" s="1">
        <v>1.9571291522968404</v>
      </c>
      <c r="K2195" s="1" t="s">
        <v>181</v>
      </c>
    </row>
    <row r="2196" spans="1:11" x14ac:dyDescent="0.25">
      <c r="A2196" s="1" t="s">
        <v>6927</v>
      </c>
      <c r="B2196" s="1" t="s">
        <v>6928</v>
      </c>
      <c r="C2196" s="1" t="s">
        <v>6929</v>
      </c>
      <c r="D2196" s="1" t="s">
        <v>6930</v>
      </c>
      <c r="E2196" s="1" t="s">
        <v>178</v>
      </c>
      <c r="F2196" s="1" t="s">
        <v>5017</v>
      </c>
      <c r="G2196" s="1" t="s">
        <v>5018</v>
      </c>
      <c r="H2196" s="1">
        <v>0.1</v>
      </c>
      <c r="I2196" s="1">
        <v>0.1</v>
      </c>
      <c r="J2196" s="1">
        <v>1.7780343229833881</v>
      </c>
      <c r="K2196" s="1" t="s">
        <v>181</v>
      </c>
    </row>
    <row r="2197" spans="1:11" x14ac:dyDescent="0.25">
      <c r="A2197" s="1" t="s">
        <v>6931</v>
      </c>
      <c r="B2197" s="1" t="s">
        <v>6932</v>
      </c>
      <c r="C2197" s="1" t="s">
        <v>6933</v>
      </c>
      <c r="D2197" s="1" t="s">
        <v>6934</v>
      </c>
      <c r="E2197" s="1" t="s">
        <v>178</v>
      </c>
      <c r="F2197" s="1" t="s">
        <v>5017</v>
      </c>
      <c r="G2197" s="1" t="s">
        <v>5018</v>
      </c>
      <c r="H2197" s="1">
        <v>0.1</v>
      </c>
      <c r="I2197" s="1">
        <v>0.1</v>
      </c>
      <c r="J2197" s="1">
        <v>0.7851173676091121</v>
      </c>
      <c r="K2197" s="1" t="s">
        <v>181</v>
      </c>
    </row>
    <row r="2198" spans="1:11" x14ac:dyDescent="0.25">
      <c r="A2198" s="1" t="s">
        <v>6935</v>
      </c>
      <c r="B2198" s="1" t="s">
        <v>6936</v>
      </c>
      <c r="C2198" s="1" t="s">
        <v>6937</v>
      </c>
      <c r="D2198" s="1" t="s">
        <v>6938</v>
      </c>
      <c r="E2198" s="1" t="s">
        <v>178</v>
      </c>
      <c r="F2198" s="1" t="s">
        <v>5017</v>
      </c>
      <c r="G2198" s="1" t="s">
        <v>5018</v>
      </c>
      <c r="H2198" s="1">
        <v>0.1</v>
      </c>
      <c r="I2198" s="1">
        <v>0.1</v>
      </c>
      <c r="J2198" s="1">
        <v>0.87297265819152237</v>
      </c>
      <c r="K2198" s="1" t="s">
        <v>181</v>
      </c>
    </row>
    <row r="2199" spans="1:11" x14ac:dyDescent="0.25">
      <c r="A2199" s="1" t="s">
        <v>6939</v>
      </c>
      <c r="B2199" s="1" t="s">
        <v>6940</v>
      </c>
      <c r="C2199" s="1" t="s">
        <v>6941</v>
      </c>
      <c r="D2199" s="1" t="s">
        <v>6942</v>
      </c>
      <c r="E2199" s="1" t="s">
        <v>178</v>
      </c>
      <c r="F2199" s="1" t="s">
        <v>5017</v>
      </c>
      <c r="G2199" s="1" t="s">
        <v>5018</v>
      </c>
      <c r="H2199" s="1">
        <v>0.1</v>
      </c>
      <c r="I2199" s="1">
        <v>0.1</v>
      </c>
      <c r="J2199" s="1">
        <v>0.73092018497883893</v>
      </c>
      <c r="K2199" s="1" t="s">
        <v>181</v>
      </c>
    </row>
    <row r="2200" spans="1:11" x14ac:dyDescent="0.25">
      <c r="A2200" s="1" t="s">
        <v>6943</v>
      </c>
      <c r="B2200" s="1" t="s">
        <v>6940</v>
      </c>
      <c r="C2200" s="1" t="s">
        <v>6944</v>
      </c>
      <c r="D2200" s="1" t="s">
        <v>6945</v>
      </c>
      <c r="E2200" s="1" t="s">
        <v>178</v>
      </c>
      <c r="F2200" s="1" t="s">
        <v>5017</v>
      </c>
      <c r="G2200" s="1" t="s">
        <v>5018</v>
      </c>
      <c r="H2200" s="1">
        <v>0.1</v>
      </c>
      <c r="I2200" s="1">
        <v>0.1</v>
      </c>
      <c r="J2200" s="1">
        <v>0.96894412125843443</v>
      </c>
      <c r="K2200" s="1" t="s">
        <v>181</v>
      </c>
    </row>
    <row r="2201" spans="1:11" x14ac:dyDescent="0.25">
      <c r="A2201" s="1" t="s">
        <v>6946</v>
      </c>
      <c r="B2201" s="1" t="s">
        <v>6947</v>
      </c>
      <c r="C2201" s="1" t="s">
        <v>6948</v>
      </c>
      <c r="D2201" s="1" t="s">
        <v>6949</v>
      </c>
      <c r="E2201" s="1" t="s">
        <v>178</v>
      </c>
      <c r="F2201" s="1" t="s">
        <v>5017</v>
      </c>
      <c r="G2201" s="1" t="s">
        <v>5018</v>
      </c>
      <c r="H2201" s="1">
        <v>0.1</v>
      </c>
      <c r="I2201" s="1">
        <v>0.1</v>
      </c>
      <c r="J2201" s="1">
        <v>0.81291171607706836</v>
      </c>
      <c r="K2201" s="1" t="s">
        <v>181</v>
      </c>
    </row>
    <row r="2202" spans="1:11" x14ac:dyDescent="0.25">
      <c r="A2202" s="1" t="s">
        <v>6950</v>
      </c>
      <c r="B2202" s="1" t="s">
        <v>6951</v>
      </c>
      <c r="C2202" s="1" t="s">
        <v>6952</v>
      </c>
      <c r="D2202" s="1" t="s">
        <v>6953</v>
      </c>
      <c r="E2202" s="1" t="s">
        <v>178</v>
      </c>
      <c r="F2202" s="1" t="s">
        <v>5017</v>
      </c>
      <c r="G2202" s="1" t="s">
        <v>5018</v>
      </c>
      <c r="H2202" s="1">
        <v>0.1</v>
      </c>
      <c r="I2202" s="1">
        <v>0.1</v>
      </c>
      <c r="J2202" s="1">
        <v>0.77124070164925052</v>
      </c>
      <c r="K2202" s="1" t="s">
        <v>181</v>
      </c>
    </row>
    <row r="2203" spans="1:11" x14ac:dyDescent="0.25">
      <c r="A2203" s="1" t="s">
        <v>6954</v>
      </c>
      <c r="B2203" s="1" t="s">
        <v>6955</v>
      </c>
      <c r="C2203" s="1" t="s">
        <v>6956</v>
      </c>
      <c r="D2203" s="1" t="s">
        <v>6957</v>
      </c>
      <c r="E2203" s="1" t="s">
        <v>178</v>
      </c>
      <c r="F2203" s="1" t="s">
        <v>5017</v>
      </c>
      <c r="G2203" s="1" t="s">
        <v>5018</v>
      </c>
      <c r="H2203" s="1">
        <v>0.1</v>
      </c>
      <c r="I2203" s="1">
        <v>0.1</v>
      </c>
      <c r="J2203" s="1">
        <v>0.82271343765929561</v>
      </c>
      <c r="K2203" s="1" t="s">
        <v>181</v>
      </c>
    </row>
    <row r="2204" spans="1:11" x14ac:dyDescent="0.25">
      <c r="A2204" s="1" t="s">
        <v>162</v>
      </c>
      <c r="B2204" s="1" t="s">
        <v>6958</v>
      </c>
      <c r="C2204" s="1" t="s">
        <v>6959</v>
      </c>
      <c r="D2204" s="1" t="s">
        <v>6960</v>
      </c>
      <c r="E2204" s="1" t="s">
        <v>178</v>
      </c>
      <c r="F2204" s="1" t="s">
        <v>5017</v>
      </c>
      <c r="G2204" s="1" t="s">
        <v>5018</v>
      </c>
      <c r="H2204" s="1">
        <v>0.1</v>
      </c>
      <c r="I2204" s="1">
        <v>0.1</v>
      </c>
      <c r="J2204" s="1">
        <v>0.58442637576860512</v>
      </c>
      <c r="K2204" s="1" t="s">
        <v>181</v>
      </c>
    </row>
    <row r="2205" spans="1:11" x14ac:dyDescent="0.25">
      <c r="A2205" s="1" t="s">
        <v>161</v>
      </c>
      <c r="B2205" s="1" t="s">
        <v>6893</v>
      </c>
      <c r="C2205" s="1" t="s">
        <v>6961</v>
      </c>
      <c r="D2205" s="1" t="s">
        <v>6962</v>
      </c>
      <c r="E2205" s="1" t="s">
        <v>178</v>
      </c>
      <c r="F2205" s="1" t="s">
        <v>5017</v>
      </c>
      <c r="G2205" s="1" t="s">
        <v>5018</v>
      </c>
      <c r="H2205" s="1">
        <v>0.1</v>
      </c>
      <c r="I2205" s="1">
        <v>0.1</v>
      </c>
      <c r="J2205" s="1">
        <v>0.56765585955216458</v>
      </c>
      <c r="K2205" s="1" t="s">
        <v>181</v>
      </c>
    </row>
    <row r="2206" spans="1:11" x14ac:dyDescent="0.25">
      <c r="A2206" s="1" t="s">
        <v>6963</v>
      </c>
      <c r="B2206" s="1" t="s">
        <v>6964</v>
      </c>
      <c r="C2206" s="1" t="s">
        <v>6965</v>
      </c>
      <c r="D2206" s="1" t="s">
        <v>6966</v>
      </c>
      <c r="E2206" s="1" t="s">
        <v>178</v>
      </c>
      <c r="F2206" s="1" t="s">
        <v>5017</v>
      </c>
      <c r="G2206" s="1" t="s">
        <v>5018</v>
      </c>
      <c r="H2206" s="1">
        <v>0.1</v>
      </c>
      <c r="I2206" s="1">
        <v>0.1</v>
      </c>
      <c r="J2206" s="1">
        <v>0.71520446634292312</v>
      </c>
      <c r="K2206" s="1" t="s">
        <v>181</v>
      </c>
    </row>
    <row r="2207" spans="1:11" x14ac:dyDescent="0.25">
      <c r="A2207" s="1" t="s">
        <v>6967</v>
      </c>
      <c r="B2207" s="1" t="s">
        <v>6968</v>
      </c>
      <c r="C2207" s="1" t="s">
        <v>6969</v>
      </c>
      <c r="D2207" s="1" t="s">
        <v>6970</v>
      </c>
      <c r="E2207" s="1" t="s">
        <v>178</v>
      </c>
      <c r="F2207" s="1" t="s">
        <v>5017</v>
      </c>
      <c r="G2207" s="1" t="s">
        <v>5018</v>
      </c>
      <c r="H2207" s="1">
        <v>0.1</v>
      </c>
      <c r="I2207" s="1">
        <v>0.1</v>
      </c>
      <c r="J2207" s="1">
        <v>0.78667330143792291</v>
      </c>
      <c r="K2207" s="1" t="s">
        <v>181</v>
      </c>
    </row>
    <row r="2208" spans="1:11" x14ac:dyDescent="0.25">
      <c r="A2208" s="1" t="s">
        <v>6971</v>
      </c>
      <c r="B2208" s="1" t="s">
        <v>6972</v>
      </c>
      <c r="C2208" s="1" t="s">
        <v>6973</v>
      </c>
      <c r="D2208" s="1" t="s">
        <v>6974</v>
      </c>
      <c r="E2208" s="1" t="s">
        <v>178</v>
      </c>
      <c r="F2208" s="1" t="s">
        <v>5017</v>
      </c>
      <c r="G2208" s="1" t="s">
        <v>5018</v>
      </c>
      <c r="H2208" s="1">
        <v>0.1</v>
      </c>
      <c r="I2208" s="1">
        <v>0.1</v>
      </c>
      <c r="J2208" s="1">
        <v>0.77472502252809039</v>
      </c>
      <c r="K2208" s="1" t="s">
        <v>181</v>
      </c>
    </row>
    <row r="2209" spans="1:11" x14ac:dyDescent="0.25">
      <c r="A2209" s="1" t="s">
        <v>6975</v>
      </c>
      <c r="B2209" s="1" t="s">
        <v>6972</v>
      </c>
      <c r="C2209" s="1" t="s">
        <v>6976</v>
      </c>
      <c r="D2209" s="1" t="s">
        <v>6977</v>
      </c>
      <c r="E2209" s="1" t="s">
        <v>178</v>
      </c>
      <c r="F2209" s="1" t="s">
        <v>5017</v>
      </c>
      <c r="G2209" s="1" t="s">
        <v>5018</v>
      </c>
      <c r="H2209" s="1">
        <v>0.1</v>
      </c>
      <c r="I2209" s="1">
        <v>0.1</v>
      </c>
      <c r="J2209" s="1">
        <v>0.83374011286261307</v>
      </c>
      <c r="K2209" s="1" t="s">
        <v>181</v>
      </c>
    </row>
    <row r="2210" spans="1:11" x14ac:dyDescent="0.25">
      <c r="A2210" s="1" t="s">
        <v>6978</v>
      </c>
      <c r="B2210" s="1" t="s">
        <v>6972</v>
      </c>
      <c r="C2210" s="1" t="s">
        <v>6979</v>
      </c>
      <c r="D2210" s="1" t="s">
        <v>6980</v>
      </c>
      <c r="E2210" s="1" t="s">
        <v>178</v>
      </c>
      <c r="F2210" s="1" t="s">
        <v>5017</v>
      </c>
      <c r="G2210" s="1" t="s">
        <v>5018</v>
      </c>
      <c r="H2210" s="1">
        <v>0.1</v>
      </c>
      <c r="I2210" s="1">
        <v>0.1</v>
      </c>
      <c r="J2210" s="1">
        <v>0.83374011286261307</v>
      </c>
      <c r="K2210" s="1" t="s">
        <v>181</v>
      </c>
    </row>
    <row r="2211" spans="1:11" x14ac:dyDescent="0.25">
      <c r="A2211" s="1" t="s">
        <v>6981</v>
      </c>
      <c r="B2211" s="1" t="s">
        <v>6972</v>
      </c>
      <c r="C2211" s="1" t="s">
        <v>6982</v>
      </c>
      <c r="D2211" s="1" t="s">
        <v>6983</v>
      </c>
      <c r="E2211" s="1" t="s">
        <v>178</v>
      </c>
      <c r="F2211" s="1" t="s">
        <v>5017</v>
      </c>
      <c r="G2211" s="1" t="s">
        <v>5018</v>
      </c>
      <c r="H2211" s="1">
        <v>0.1</v>
      </c>
      <c r="I2211" s="1">
        <v>0.1</v>
      </c>
      <c r="J2211" s="1">
        <v>0.84595401930972602</v>
      </c>
      <c r="K2211" s="1" t="s">
        <v>181</v>
      </c>
    </row>
    <row r="2212" spans="1:11" x14ac:dyDescent="0.25">
      <c r="A2212" s="1" t="s">
        <v>6984</v>
      </c>
      <c r="B2212" s="1" t="s">
        <v>6972</v>
      </c>
      <c r="C2212" s="1" t="s">
        <v>6985</v>
      </c>
      <c r="D2212" s="1" t="s">
        <v>6986</v>
      </c>
      <c r="E2212" s="1" t="s">
        <v>178</v>
      </c>
      <c r="F2212" s="1" t="s">
        <v>5017</v>
      </c>
      <c r="G2212" s="1" t="s">
        <v>5018</v>
      </c>
      <c r="H2212" s="1">
        <v>0.1</v>
      </c>
      <c r="I2212" s="1">
        <v>0.1</v>
      </c>
      <c r="J2212" s="1">
        <v>0.84595401930972602</v>
      </c>
      <c r="K2212" s="1" t="s">
        <v>181</v>
      </c>
    </row>
    <row r="2213" spans="1:11" x14ac:dyDescent="0.25">
      <c r="A2213" s="1" t="s">
        <v>6987</v>
      </c>
      <c r="B2213" s="1" t="s">
        <v>6972</v>
      </c>
      <c r="C2213" s="1" t="s">
        <v>6988</v>
      </c>
      <c r="D2213" s="1" t="s">
        <v>6989</v>
      </c>
      <c r="E2213" s="1" t="s">
        <v>178</v>
      </c>
      <c r="F2213" s="1" t="s">
        <v>5017</v>
      </c>
      <c r="G2213" s="1" t="s">
        <v>5018</v>
      </c>
      <c r="H2213" s="1">
        <v>0.1</v>
      </c>
      <c r="I2213" s="1">
        <v>0.1</v>
      </c>
      <c r="J2213" s="1">
        <v>0.84595401930972602</v>
      </c>
      <c r="K2213" s="1" t="s">
        <v>181</v>
      </c>
    </row>
    <row r="2214" spans="1:11" x14ac:dyDescent="0.25">
      <c r="A2214" s="1" t="s">
        <v>6990</v>
      </c>
      <c r="B2214" s="1" t="s">
        <v>6972</v>
      </c>
      <c r="C2214" s="1" t="s">
        <v>6991</v>
      </c>
      <c r="D2214" s="1" t="s">
        <v>6992</v>
      </c>
      <c r="E2214" s="1" t="s">
        <v>178</v>
      </c>
      <c r="F2214" s="1" t="s">
        <v>5017</v>
      </c>
      <c r="G2214" s="1" t="s">
        <v>5018</v>
      </c>
      <c r="H2214" s="1">
        <v>0.1</v>
      </c>
      <c r="I2214" s="1">
        <v>0.1</v>
      </c>
      <c r="J2214" s="1">
        <v>0.85419437206356186</v>
      </c>
      <c r="K2214" s="1" t="s">
        <v>181</v>
      </c>
    </row>
    <row r="2215" spans="1:11" x14ac:dyDescent="0.25">
      <c r="A2215" s="1" t="s">
        <v>6993</v>
      </c>
      <c r="B2215" s="1" t="s">
        <v>6972</v>
      </c>
      <c r="C2215" s="1" t="s">
        <v>6994</v>
      </c>
      <c r="D2215" s="1" t="s">
        <v>6995</v>
      </c>
      <c r="E2215" s="1" t="s">
        <v>178</v>
      </c>
      <c r="F2215" s="1" t="s">
        <v>5017</v>
      </c>
      <c r="G2215" s="1" t="s">
        <v>5018</v>
      </c>
      <c r="H2215" s="1">
        <v>0.1</v>
      </c>
      <c r="I2215" s="1">
        <v>0.1</v>
      </c>
      <c r="J2215" s="1">
        <v>0.85869943563098305</v>
      </c>
      <c r="K2215" s="1" t="s">
        <v>181</v>
      </c>
    </row>
    <row r="2216" spans="1:11" x14ac:dyDescent="0.25">
      <c r="A2216" s="1" t="s">
        <v>6996</v>
      </c>
      <c r="B2216" s="1" t="s">
        <v>6972</v>
      </c>
      <c r="C2216" s="1" t="s">
        <v>6997</v>
      </c>
      <c r="D2216" s="1" t="s">
        <v>6998</v>
      </c>
      <c r="E2216" s="1" t="s">
        <v>178</v>
      </c>
      <c r="F2216" s="1" t="s">
        <v>5017</v>
      </c>
      <c r="G2216" s="1" t="s">
        <v>5018</v>
      </c>
      <c r="H2216" s="1">
        <v>0.1</v>
      </c>
      <c r="I2216" s="1">
        <v>0.1</v>
      </c>
      <c r="J2216" s="1">
        <v>0.85869943563098305</v>
      </c>
      <c r="K2216" s="1" t="s">
        <v>181</v>
      </c>
    </row>
    <row r="2217" spans="1:11" x14ac:dyDescent="0.25">
      <c r="A2217" s="1" t="s">
        <v>6999</v>
      </c>
      <c r="B2217" s="1" t="s">
        <v>6972</v>
      </c>
      <c r="C2217" s="1" t="s">
        <v>7000</v>
      </c>
      <c r="D2217" s="1" t="s">
        <v>7001</v>
      </c>
      <c r="E2217" s="1" t="s">
        <v>178</v>
      </c>
      <c r="F2217" s="1" t="s">
        <v>5017</v>
      </c>
      <c r="G2217" s="1" t="s">
        <v>5018</v>
      </c>
      <c r="H2217" s="1">
        <v>0.1</v>
      </c>
      <c r="I2217" s="1">
        <v>0.1</v>
      </c>
      <c r="J2217" s="1">
        <v>0.82440547219014648</v>
      </c>
      <c r="K2217" s="1" t="s">
        <v>181</v>
      </c>
    </row>
    <row r="2218" spans="1:11" x14ac:dyDescent="0.25">
      <c r="A2218" s="1" t="s">
        <v>7002</v>
      </c>
      <c r="B2218" s="1" t="s">
        <v>6972</v>
      </c>
      <c r="C2218" s="1" t="s">
        <v>7003</v>
      </c>
      <c r="D2218" s="1" t="s">
        <v>7004</v>
      </c>
      <c r="E2218" s="1" t="s">
        <v>178</v>
      </c>
      <c r="F2218" s="1" t="s">
        <v>5017</v>
      </c>
      <c r="G2218" s="1" t="s">
        <v>5018</v>
      </c>
      <c r="H2218" s="1">
        <v>0.1</v>
      </c>
      <c r="I2218" s="1">
        <v>0.1</v>
      </c>
      <c r="J2218" s="1">
        <v>0.81942619364360914</v>
      </c>
      <c r="K2218" s="1" t="s">
        <v>181</v>
      </c>
    </row>
    <row r="2219" spans="1:11" x14ac:dyDescent="0.25">
      <c r="A2219" s="1" t="s">
        <v>7005</v>
      </c>
      <c r="B2219" s="1" t="s">
        <v>6972</v>
      </c>
      <c r="C2219" s="1" t="s">
        <v>7006</v>
      </c>
      <c r="D2219" s="1" t="s">
        <v>7007</v>
      </c>
      <c r="E2219" s="1" t="s">
        <v>178</v>
      </c>
      <c r="F2219" s="1" t="s">
        <v>5017</v>
      </c>
      <c r="G2219" s="1" t="s">
        <v>5018</v>
      </c>
      <c r="H2219" s="1">
        <v>0.1</v>
      </c>
      <c r="I2219" s="1">
        <v>0.1</v>
      </c>
      <c r="J2219" s="1">
        <v>0.81942619364360914</v>
      </c>
      <c r="K2219" s="1" t="s">
        <v>181</v>
      </c>
    </row>
    <row r="2220" spans="1:11" x14ac:dyDescent="0.25">
      <c r="A2220" s="1" t="s">
        <v>7008</v>
      </c>
      <c r="B2220" s="1" t="s">
        <v>7009</v>
      </c>
      <c r="C2220" s="1" t="s">
        <v>7010</v>
      </c>
      <c r="D2220" s="1" t="s">
        <v>7011</v>
      </c>
      <c r="E2220" s="1" t="s">
        <v>178</v>
      </c>
      <c r="F2220" s="1" t="s">
        <v>5017</v>
      </c>
      <c r="G2220" s="1" t="s">
        <v>5018</v>
      </c>
      <c r="H2220" s="1">
        <v>0.1</v>
      </c>
      <c r="I2220" s="1">
        <v>0.1</v>
      </c>
      <c r="J2220" s="1">
        <v>0.79416438748857598</v>
      </c>
      <c r="K2220" s="1" t="s">
        <v>181</v>
      </c>
    </row>
    <row r="2221" spans="1:11" x14ac:dyDescent="0.25">
      <c r="A2221" s="1" t="s">
        <v>7012</v>
      </c>
      <c r="B2221" s="1" t="s">
        <v>7013</v>
      </c>
      <c r="C2221" s="1" t="s">
        <v>7014</v>
      </c>
      <c r="D2221" s="1" t="s">
        <v>7015</v>
      </c>
      <c r="E2221" s="1" t="s">
        <v>178</v>
      </c>
      <c r="F2221" s="1" t="s">
        <v>5017</v>
      </c>
      <c r="G2221" s="1" t="s">
        <v>5018</v>
      </c>
      <c r="H2221" s="1">
        <v>0.1</v>
      </c>
      <c r="I2221" s="1">
        <v>0.1</v>
      </c>
      <c r="J2221" s="1">
        <v>0.81885885187952834</v>
      </c>
      <c r="K2221" s="1" t="s">
        <v>181</v>
      </c>
    </row>
    <row r="2222" spans="1:11" x14ac:dyDescent="0.25">
      <c r="A2222" s="1" t="s">
        <v>7016</v>
      </c>
      <c r="B2222" s="1" t="s">
        <v>7017</v>
      </c>
      <c r="C2222" s="1" t="s">
        <v>7018</v>
      </c>
      <c r="D2222" s="1" t="s">
        <v>7019</v>
      </c>
      <c r="E2222" s="1" t="s">
        <v>178</v>
      </c>
      <c r="F2222" s="1" t="s">
        <v>5017</v>
      </c>
      <c r="G2222" s="1" t="s">
        <v>5018</v>
      </c>
      <c r="H2222" s="1">
        <v>0.1</v>
      </c>
      <c r="I2222" s="1">
        <v>0.1</v>
      </c>
      <c r="J2222" s="1">
        <v>1.0704866855331643</v>
      </c>
      <c r="K2222" s="1" t="s">
        <v>181</v>
      </c>
    </row>
    <row r="2223" spans="1:11" x14ac:dyDescent="0.25">
      <c r="A2223" s="1" t="s">
        <v>7020</v>
      </c>
      <c r="B2223" s="1" t="s">
        <v>7021</v>
      </c>
      <c r="C2223" s="1" t="s">
        <v>7022</v>
      </c>
      <c r="D2223" s="1" t="s">
        <v>7023</v>
      </c>
      <c r="E2223" s="1" t="s">
        <v>178</v>
      </c>
      <c r="F2223" s="1" t="s">
        <v>5017</v>
      </c>
      <c r="G2223" s="1" t="s">
        <v>5018</v>
      </c>
      <c r="H2223" s="1">
        <v>0.1</v>
      </c>
      <c r="I2223" s="1">
        <v>0.1</v>
      </c>
      <c r="J2223" s="1">
        <v>0.81513099984770665</v>
      </c>
      <c r="K2223" s="1" t="s">
        <v>181</v>
      </c>
    </row>
    <row r="2224" spans="1:11" x14ac:dyDescent="0.25">
      <c r="A2224" s="1" t="s">
        <v>28</v>
      </c>
      <c r="B2224" s="1" t="s">
        <v>6940</v>
      </c>
      <c r="C2224" s="1" t="s">
        <v>7024</v>
      </c>
      <c r="D2224" s="1" t="s">
        <v>7025</v>
      </c>
      <c r="E2224" s="1" t="s">
        <v>178</v>
      </c>
      <c r="F2224" s="1" t="s">
        <v>5017</v>
      </c>
      <c r="G2224" s="1" t="s">
        <v>5018</v>
      </c>
      <c r="H2224" s="1">
        <v>0.1</v>
      </c>
      <c r="I2224" s="1">
        <v>0.1</v>
      </c>
      <c r="J2224" s="1">
        <v>0.94596168804308189</v>
      </c>
      <c r="K2224" s="1" t="s">
        <v>181</v>
      </c>
    </row>
    <row r="2225" spans="1:11" x14ac:dyDescent="0.25">
      <c r="A2225" s="1" t="s">
        <v>7026</v>
      </c>
      <c r="B2225" s="1" t="s">
        <v>6924</v>
      </c>
      <c r="C2225" s="1" t="s">
        <v>7027</v>
      </c>
      <c r="D2225" s="1" t="s">
        <v>7028</v>
      </c>
      <c r="E2225" s="1" t="s">
        <v>178</v>
      </c>
      <c r="F2225" s="1" t="s">
        <v>5017</v>
      </c>
      <c r="G2225" s="1" t="s">
        <v>5018</v>
      </c>
      <c r="H2225" s="1">
        <v>0.1</v>
      </c>
      <c r="I2225" s="1">
        <v>0.1</v>
      </c>
      <c r="J2225" s="1">
        <v>0.87179823505025078</v>
      </c>
      <c r="K2225" s="1" t="s">
        <v>181</v>
      </c>
    </row>
    <row r="2226" spans="1:11" x14ac:dyDescent="0.25">
      <c r="A2226" s="1" t="s">
        <v>7029</v>
      </c>
      <c r="B2226" s="1" t="s">
        <v>7030</v>
      </c>
      <c r="C2226" s="1" t="s">
        <v>7031</v>
      </c>
      <c r="D2226" s="1" t="s">
        <v>7032</v>
      </c>
      <c r="E2226" s="1" t="s">
        <v>178</v>
      </c>
      <c r="F2226" s="1" t="s">
        <v>5017</v>
      </c>
      <c r="G2226" s="1" t="s">
        <v>5018</v>
      </c>
      <c r="H2226" s="1">
        <v>0.1</v>
      </c>
      <c r="I2226" s="1">
        <v>0.1</v>
      </c>
      <c r="J2226" s="1">
        <v>1.2378622077767474</v>
      </c>
      <c r="K2226" s="1" t="s">
        <v>181</v>
      </c>
    </row>
    <row r="2227" spans="1:11" x14ac:dyDescent="0.25">
      <c r="A2227" s="1" t="s">
        <v>7033</v>
      </c>
      <c r="B2227" s="1" t="s">
        <v>7034</v>
      </c>
      <c r="C2227" s="1" t="s">
        <v>7035</v>
      </c>
      <c r="D2227" s="1" t="s">
        <v>7036</v>
      </c>
      <c r="E2227" s="1" t="s">
        <v>178</v>
      </c>
      <c r="F2227" s="1" t="s">
        <v>5017</v>
      </c>
      <c r="G2227" s="1" t="s">
        <v>5018</v>
      </c>
      <c r="H2227" s="1">
        <v>0.1</v>
      </c>
      <c r="I2227" s="1">
        <v>0.1</v>
      </c>
      <c r="J2227" s="1">
        <v>0.53267833814644738</v>
      </c>
      <c r="K2227" s="1" t="s">
        <v>181</v>
      </c>
    </row>
    <row r="2228" spans="1:11" x14ac:dyDescent="0.25">
      <c r="A2228" s="1" t="s">
        <v>7037</v>
      </c>
      <c r="B2228" s="1" t="s">
        <v>6723</v>
      </c>
      <c r="C2228" s="1" t="s">
        <v>7038</v>
      </c>
      <c r="D2228" s="1" t="s">
        <v>7039</v>
      </c>
      <c r="E2228" s="1" t="s">
        <v>178</v>
      </c>
      <c r="F2228" s="1" t="s">
        <v>5017</v>
      </c>
      <c r="G2228" s="1" t="s">
        <v>5018</v>
      </c>
      <c r="H2228" s="1">
        <v>0.1</v>
      </c>
      <c r="I2228" s="1">
        <v>0.1</v>
      </c>
      <c r="J2228" s="1">
        <v>0.84402889768862999</v>
      </c>
      <c r="K2228" s="1" t="s">
        <v>181</v>
      </c>
    </row>
    <row r="2229" spans="1:11" x14ac:dyDescent="0.25">
      <c r="A2229" s="1" t="s">
        <v>7040</v>
      </c>
      <c r="B2229" s="1" t="s">
        <v>6723</v>
      </c>
      <c r="C2229" s="1" t="s">
        <v>7041</v>
      </c>
      <c r="D2229" s="1" t="s">
        <v>7042</v>
      </c>
      <c r="E2229" s="1" t="s">
        <v>178</v>
      </c>
      <c r="F2229" s="1" t="s">
        <v>5017</v>
      </c>
      <c r="G2229" s="1" t="s">
        <v>5018</v>
      </c>
      <c r="H2229" s="1">
        <v>0.1</v>
      </c>
      <c r="I2229" s="1">
        <v>0.1</v>
      </c>
      <c r="J2229" s="1">
        <v>0.84402889768862999</v>
      </c>
      <c r="K2229" s="1" t="s">
        <v>181</v>
      </c>
    </row>
    <row r="2230" spans="1:11" x14ac:dyDescent="0.25">
      <c r="A2230" s="1" t="s">
        <v>7043</v>
      </c>
      <c r="B2230" s="1" t="s">
        <v>6723</v>
      </c>
      <c r="C2230" s="1" t="s">
        <v>7044</v>
      </c>
      <c r="D2230" s="1" t="s">
        <v>7045</v>
      </c>
      <c r="E2230" s="1" t="s">
        <v>178</v>
      </c>
      <c r="F2230" s="1" t="s">
        <v>5017</v>
      </c>
      <c r="G2230" s="1" t="s">
        <v>5018</v>
      </c>
      <c r="H2230" s="1">
        <v>0.1</v>
      </c>
      <c r="I2230" s="1">
        <v>0.1</v>
      </c>
      <c r="J2230" s="1">
        <v>0.84402889768862999</v>
      </c>
      <c r="K2230" s="1" t="s">
        <v>181</v>
      </c>
    </row>
    <row r="2231" spans="1:11" x14ac:dyDescent="0.25">
      <c r="A2231" s="1" t="s">
        <v>7046</v>
      </c>
      <c r="B2231" s="1" t="s">
        <v>7047</v>
      </c>
      <c r="C2231" s="1" t="s">
        <v>7048</v>
      </c>
      <c r="D2231" s="1" t="s">
        <v>7049</v>
      </c>
      <c r="E2231" s="1" t="s">
        <v>178</v>
      </c>
      <c r="F2231" s="1" t="s">
        <v>5017</v>
      </c>
      <c r="G2231" s="1" t="s">
        <v>5018</v>
      </c>
      <c r="H2231" s="1">
        <v>0.1</v>
      </c>
      <c r="I2231" s="1">
        <v>0.1</v>
      </c>
      <c r="J2231" s="1">
        <v>1.0277583326513917</v>
      </c>
      <c r="K2231" s="1" t="s">
        <v>181</v>
      </c>
    </row>
    <row r="2232" spans="1:11" x14ac:dyDescent="0.25">
      <c r="A2232" s="1" t="s">
        <v>7050</v>
      </c>
      <c r="B2232" s="1" t="s">
        <v>7051</v>
      </c>
      <c r="C2232" s="1" t="s">
        <v>7052</v>
      </c>
      <c r="D2232" s="1" t="s">
        <v>7053</v>
      </c>
      <c r="E2232" s="1" t="s">
        <v>178</v>
      </c>
      <c r="F2232" s="1" t="s">
        <v>5017</v>
      </c>
      <c r="G2232" s="1" t="s">
        <v>5018</v>
      </c>
      <c r="H2232" s="1">
        <v>0.1</v>
      </c>
      <c r="I2232" s="1">
        <v>0.1</v>
      </c>
      <c r="J2232" s="1">
        <v>0.97002726765880143</v>
      </c>
      <c r="K2232" s="1" t="s">
        <v>181</v>
      </c>
    </row>
    <row r="2233" spans="1:11" x14ac:dyDescent="0.25">
      <c r="A2233" s="1" t="s">
        <v>7054</v>
      </c>
      <c r="B2233" s="1" t="s">
        <v>7055</v>
      </c>
      <c r="C2233" s="1" t="s">
        <v>7056</v>
      </c>
      <c r="D2233" s="1" t="s">
        <v>7057</v>
      </c>
      <c r="E2233" s="1" t="s">
        <v>178</v>
      </c>
      <c r="F2233" s="1" t="s">
        <v>5017</v>
      </c>
      <c r="G2233" s="1" t="s">
        <v>5018</v>
      </c>
      <c r="H2233" s="1">
        <v>0.1</v>
      </c>
      <c r="I2233" s="1">
        <v>0.1</v>
      </c>
      <c r="J2233" s="1">
        <v>0.79239942921872619</v>
      </c>
      <c r="K2233" s="1" t="s">
        <v>181</v>
      </c>
    </row>
    <row r="2234" spans="1:11" x14ac:dyDescent="0.25">
      <c r="A2234" s="1" t="s">
        <v>7058</v>
      </c>
      <c r="B2234" s="1" t="s">
        <v>7059</v>
      </c>
      <c r="C2234" s="1" t="s">
        <v>7060</v>
      </c>
      <c r="D2234" s="1" t="s">
        <v>7061</v>
      </c>
      <c r="E2234" s="1" t="s">
        <v>178</v>
      </c>
      <c r="F2234" s="1" t="s">
        <v>5017</v>
      </c>
      <c r="G2234" s="1" t="s">
        <v>5018</v>
      </c>
      <c r="H2234" s="1">
        <v>0.1</v>
      </c>
      <c r="I2234" s="1">
        <v>0.1</v>
      </c>
      <c r="J2234" s="1">
        <v>0.97624484877478446</v>
      </c>
      <c r="K2234" s="1" t="s">
        <v>181</v>
      </c>
    </row>
    <row r="2235" spans="1:11" x14ac:dyDescent="0.25">
      <c r="A2235" s="1" t="s">
        <v>7062</v>
      </c>
      <c r="B2235" s="1" t="s">
        <v>7063</v>
      </c>
      <c r="C2235" s="1" t="s">
        <v>7064</v>
      </c>
      <c r="D2235" s="1" t="s">
        <v>7065</v>
      </c>
      <c r="E2235" s="1" t="s">
        <v>178</v>
      </c>
      <c r="F2235" s="1" t="s">
        <v>5017</v>
      </c>
      <c r="G2235" s="1" t="s">
        <v>5018</v>
      </c>
      <c r="H2235" s="1">
        <v>0.1</v>
      </c>
      <c r="I2235" s="1">
        <v>0.1</v>
      </c>
      <c r="J2235" s="1">
        <v>0.9036672937685184</v>
      </c>
      <c r="K2235" s="1" t="s">
        <v>181</v>
      </c>
    </row>
    <row r="2236" spans="1:11" x14ac:dyDescent="0.25">
      <c r="A2236" s="1" t="s">
        <v>7066</v>
      </c>
      <c r="B2236" s="1" t="s">
        <v>7067</v>
      </c>
      <c r="C2236" s="1" t="s">
        <v>7068</v>
      </c>
      <c r="D2236" s="1" t="s">
        <v>7069</v>
      </c>
      <c r="E2236" s="1" t="s">
        <v>178</v>
      </c>
      <c r="F2236" s="1" t="s">
        <v>5017</v>
      </c>
      <c r="G2236" s="1" t="s">
        <v>5018</v>
      </c>
      <c r="H2236" s="1">
        <v>0.1</v>
      </c>
      <c r="I2236" s="1">
        <v>0.1</v>
      </c>
      <c r="J2236" s="1">
        <v>0.86211151513029383</v>
      </c>
      <c r="K2236" s="1" t="s">
        <v>181</v>
      </c>
    </row>
    <row r="2237" spans="1:11" x14ac:dyDescent="0.25">
      <c r="A2237" s="1" t="s">
        <v>7070</v>
      </c>
      <c r="B2237" s="1" t="s">
        <v>7071</v>
      </c>
      <c r="C2237" s="1" t="s">
        <v>7072</v>
      </c>
      <c r="D2237" s="1" t="s">
        <v>7073</v>
      </c>
      <c r="E2237" s="1" t="s">
        <v>178</v>
      </c>
      <c r="F2237" s="1" t="s">
        <v>5017</v>
      </c>
      <c r="G2237" s="1" t="s">
        <v>5018</v>
      </c>
      <c r="H2237" s="1">
        <v>0.1</v>
      </c>
      <c r="I2237" s="1">
        <v>0.1</v>
      </c>
      <c r="J2237" s="1">
        <v>0.99036480714552255</v>
      </c>
      <c r="K2237" s="1" t="s">
        <v>181</v>
      </c>
    </row>
    <row r="2238" spans="1:11" x14ac:dyDescent="0.25">
      <c r="A2238" s="1" t="s">
        <v>7074</v>
      </c>
      <c r="B2238" s="1" t="s">
        <v>7075</v>
      </c>
      <c r="C2238" s="1" t="s">
        <v>7076</v>
      </c>
      <c r="D2238" s="1" t="s">
        <v>7077</v>
      </c>
      <c r="E2238" s="1" t="s">
        <v>178</v>
      </c>
      <c r="F2238" s="1" t="s">
        <v>5017</v>
      </c>
      <c r="G2238" s="1" t="s">
        <v>5018</v>
      </c>
      <c r="H2238" s="1">
        <v>0.1</v>
      </c>
      <c r="I2238" s="1">
        <v>0.1</v>
      </c>
      <c r="J2238" s="1">
        <v>1.3792771238130563</v>
      </c>
      <c r="K2238" s="1" t="s">
        <v>181</v>
      </c>
    </row>
    <row r="2239" spans="1:11" x14ac:dyDescent="0.25">
      <c r="A2239" s="1" t="s">
        <v>7078</v>
      </c>
      <c r="B2239" s="1" t="s">
        <v>7071</v>
      </c>
      <c r="C2239" s="1" t="s">
        <v>7079</v>
      </c>
      <c r="D2239" s="1" t="s">
        <v>7080</v>
      </c>
      <c r="E2239" s="1" t="s">
        <v>178</v>
      </c>
      <c r="F2239" s="1" t="s">
        <v>5017</v>
      </c>
      <c r="G2239" s="1" t="s">
        <v>5018</v>
      </c>
      <c r="H2239" s="1">
        <v>0.1</v>
      </c>
      <c r="I2239" s="1">
        <v>0.1</v>
      </c>
      <c r="J2239" s="1">
        <v>0.99107006534267983</v>
      </c>
      <c r="K2239" s="1" t="s">
        <v>181</v>
      </c>
    </row>
    <row r="2240" spans="1:11" x14ac:dyDescent="0.25">
      <c r="A2240" s="1" t="s">
        <v>7081</v>
      </c>
      <c r="B2240" s="1" t="s">
        <v>7082</v>
      </c>
      <c r="C2240" s="1" t="s">
        <v>7083</v>
      </c>
      <c r="D2240" s="1" t="s">
        <v>7084</v>
      </c>
      <c r="E2240" s="1" t="s">
        <v>178</v>
      </c>
      <c r="F2240" s="1" t="s">
        <v>5017</v>
      </c>
      <c r="G2240" s="1" t="s">
        <v>5018</v>
      </c>
      <c r="H2240" s="1">
        <v>0.1</v>
      </c>
      <c r="I2240" s="1">
        <v>0.1</v>
      </c>
      <c r="J2240" s="1">
        <v>1.3128725964087764</v>
      </c>
      <c r="K2240" s="1" t="s">
        <v>181</v>
      </c>
    </row>
    <row r="2241" spans="1:11" x14ac:dyDescent="0.25">
      <c r="A2241" s="1" t="s">
        <v>7085</v>
      </c>
      <c r="B2241" s="1" t="s">
        <v>7086</v>
      </c>
      <c r="C2241" s="1" t="s">
        <v>7087</v>
      </c>
      <c r="D2241" s="1" t="s">
        <v>7088</v>
      </c>
      <c r="E2241" s="1" t="s">
        <v>178</v>
      </c>
      <c r="F2241" s="1" t="s">
        <v>5017</v>
      </c>
      <c r="G2241" s="1" t="s">
        <v>5018</v>
      </c>
      <c r="H2241" s="1">
        <v>0.1</v>
      </c>
      <c r="I2241" s="1">
        <v>0.1</v>
      </c>
      <c r="J2241" s="1">
        <v>2.5396115023916779</v>
      </c>
      <c r="K2241" s="1" t="s">
        <v>181</v>
      </c>
    </row>
    <row r="2242" spans="1:11" x14ac:dyDescent="0.25">
      <c r="A2242" s="1" t="s">
        <v>7089</v>
      </c>
      <c r="B2242" s="1" t="s">
        <v>7090</v>
      </c>
      <c r="C2242" s="1" t="s">
        <v>7091</v>
      </c>
      <c r="D2242" s="1" t="s">
        <v>7092</v>
      </c>
      <c r="E2242" s="1" t="s">
        <v>178</v>
      </c>
      <c r="F2242" s="1" t="s">
        <v>5017</v>
      </c>
      <c r="G2242" s="1" t="s">
        <v>5018</v>
      </c>
      <c r="H2242" s="1">
        <v>0.1</v>
      </c>
      <c r="I2242" s="1">
        <v>0.1</v>
      </c>
      <c r="J2242" s="1">
        <v>0.9963858472973075</v>
      </c>
      <c r="K2242" s="1" t="s">
        <v>181</v>
      </c>
    </row>
    <row r="2243" spans="1:11" x14ac:dyDescent="0.25">
      <c r="A2243" s="1" t="s">
        <v>7093</v>
      </c>
      <c r="B2243" s="1" t="s">
        <v>7094</v>
      </c>
      <c r="C2243" s="1" t="s">
        <v>7095</v>
      </c>
      <c r="D2243" s="1" t="s">
        <v>7096</v>
      </c>
      <c r="E2243" s="1" t="s">
        <v>178</v>
      </c>
      <c r="F2243" s="1" t="s">
        <v>5017</v>
      </c>
      <c r="G2243" s="1" t="s">
        <v>5018</v>
      </c>
      <c r="H2243" s="1">
        <v>0.1</v>
      </c>
      <c r="I2243" s="1">
        <v>0.1</v>
      </c>
      <c r="J2243" s="1">
        <v>1.8083919866439326</v>
      </c>
      <c r="K2243" s="1" t="s">
        <v>181</v>
      </c>
    </row>
    <row r="2244" spans="1:11" x14ac:dyDescent="0.25">
      <c r="A2244" s="1" t="s">
        <v>7097</v>
      </c>
      <c r="B2244" s="1" t="s">
        <v>7030</v>
      </c>
      <c r="C2244" s="1" t="s">
        <v>7098</v>
      </c>
      <c r="D2244" s="1" t="s">
        <v>7099</v>
      </c>
      <c r="E2244" s="1" t="s">
        <v>178</v>
      </c>
      <c r="F2244" s="1" t="s">
        <v>5017</v>
      </c>
      <c r="G2244" s="1" t="s">
        <v>5018</v>
      </c>
      <c r="H2244" s="1">
        <v>0.1</v>
      </c>
      <c r="I2244" s="1">
        <v>0.1</v>
      </c>
      <c r="J2244" s="1">
        <v>1.05748456905401</v>
      </c>
      <c r="K2244" s="1" t="s">
        <v>181</v>
      </c>
    </row>
    <row r="2245" spans="1:11" x14ac:dyDescent="0.25">
      <c r="A2245" s="1" t="s">
        <v>7100</v>
      </c>
      <c r="B2245" s="1" t="s">
        <v>7101</v>
      </c>
      <c r="C2245" s="1" t="s">
        <v>7102</v>
      </c>
      <c r="D2245" s="1" t="s">
        <v>7103</v>
      </c>
      <c r="E2245" s="1" t="s">
        <v>178</v>
      </c>
      <c r="F2245" s="1" t="s">
        <v>5017</v>
      </c>
      <c r="G2245" s="1" t="s">
        <v>5018</v>
      </c>
      <c r="H2245" s="1">
        <v>0.1</v>
      </c>
      <c r="I2245" s="1">
        <v>0.1</v>
      </c>
      <c r="J2245" s="1">
        <v>2.3322295100300465</v>
      </c>
      <c r="K2245" s="1" t="s">
        <v>181</v>
      </c>
    </row>
    <row r="2246" spans="1:11" x14ac:dyDescent="0.25">
      <c r="A2246" s="1" t="s">
        <v>7104</v>
      </c>
      <c r="B2246" s="1" t="s">
        <v>7105</v>
      </c>
      <c r="C2246" s="1" t="s">
        <v>7106</v>
      </c>
      <c r="D2246" s="1" t="s">
        <v>7107</v>
      </c>
      <c r="E2246" s="1" t="s">
        <v>178</v>
      </c>
      <c r="F2246" s="1" t="s">
        <v>5017</v>
      </c>
      <c r="G2246" s="1" t="s">
        <v>5018</v>
      </c>
      <c r="H2246" s="1">
        <v>0.1</v>
      </c>
      <c r="I2246" s="1">
        <v>0.1</v>
      </c>
      <c r="J2246" s="1">
        <v>0.74182545887144613</v>
      </c>
      <c r="K2246" s="1" t="s">
        <v>181</v>
      </c>
    </row>
    <row r="2247" spans="1:11" x14ac:dyDescent="0.25">
      <c r="A2247" s="1" t="s">
        <v>7108</v>
      </c>
      <c r="B2247" s="1" t="s">
        <v>7109</v>
      </c>
      <c r="C2247" s="1" t="s">
        <v>7110</v>
      </c>
      <c r="D2247" s="1" t="s">
        <v>7111</v>
      </c>
      <c r="E2247" s="1" t="s">
        <v>178</v>
      </c>
      <c r="F2247" s="1" t="s">
        <v>5017</v>
      </c>
      <c r="G2247" s="1" t="s">
        <v>5018</v>
      </c>
      <c r="H2247" s="1">
        <v>0.1</v>
      </c>
      <c r="I2247" s="1">
        <v>0.1</v>
      </c>
      <c r="J2247" s="1">
        <v>0.84034576360125479</v>
      </c>
      <c r="K2247" s="1" t="s">
        <v>181</v>
      </c>
    </row>
    <row r="2248" spans="1:11" x14ac:dyDescent="0.25">
      <c r="A2248" s="1" t="s">
        <v>7112</v>
      </c>
      <c r="B2248" s="1" t="s">
        <v>7113</v>
      </c>
      <c r="C2248" s="1" t="s">
        <v>7114</v>
      </c>
      <c r="D2248" s="1" t="s">
        <v>7115</v>
      </c>
      <c r="E2248" s="1" t="s">
        <v>178</v>
      </c>
      <c r="F2248" s="1" t="s">
        <v>5017</v>
      </c>
      <c r="G2248" s="1" t="s">
        <v>5018</v>
      </c>
      <c r="H2248" s="1">
        <v>0.1</v>
      </c>
      <c r="I2248" s="1">
        <v>0.1</v>
      </c>
      <c r="J2248" s="1">
        <v>0.70465431977785375</v>
      </c>
      <c r="K2248" s="1" t="s">
        <v>181</v>
      </c>
    </row>
    <row r="2249" spans="1:11" x14ac:dyDescent="0.25">
      <c r="A2249" s="1" t="s">
        <v>18</v>
      </c>
      <c r="B2249" s="1" t="s">
        <v>311</v>
      </c>
      <c r="C2249" s="1" t="s">
        <v>7116</v>
      </c>
      <c r="D2249" s="1" t="s">
        <v>7117</v>
      </c>
      <c r="E2249" s="1" t="s">
        <v>178</v>
      </c>
      <c r="F2249" s="1" t="s">
        <v>5017</v>
      </c>
      <c r="G2249" s="1" t="s">
        <v>5018</v>
      </c>
      <c r="H2249" s="1">
        <v>0.1</v>
      </c>
      <c r="I2249" s="1">
        <v>0.1</v>
      </c>
      <c r="J2249" s="1">
        <v>2.404533852601165</v>
      </c>
      <c r="K2249" s="1" t="s">
        <v>181</v>
      </c>
    </row>
    <row r="2250" spans="1:11" x14ac:dyDescent="0.25">
      <c r="A2250" s="1" t="s">
        <v>7118</v>
      </c>
      <c r="B2250" s="1" t="s">
        <v>311</v>
      </c>
      <c r="C2250" s="1" t="s">
        <v>7119</v>
      </c>
      <c r="D2250" s="1" t="s">
        <v>7120</v>
      </c>
      <c r="E2250" s="1" t="s">
        <v>178</v>
      </c>
      <c r="F2250" s="1" t="s">
        <v>5017</v>
      </c>
      <c r="G2250" s="1" t="s">
        <v>5018</v>
      </c>
      <c r="H2250" s="1">
        <v>0.1</v>
      </c>
      <c r="I2250" s="1">
        <v>0.1</v>
      </c>
      <c r="J2250" s="1">
        <v>2.404533852601165</v>
      </c>
      <c r="K2250" s="1" t="s">
        <v>181</v>
      </c>
    </row>
    <row r="2251" spans="1:11" x14ac:dyDescent="0.25">
      <c r="A2251" s="1" t="s">
        <v>7121</v>
      </c>
      <c r="B2251" s="1" t="s">
        <v>311</v>
      </c>
      <c r="C2251" s="1" t="s">
        <v>7122</v>
      </c>
      <c r="D2251" s="1" t="s">
        <v>7123</v>
      </c>
      <c r="E2251" s="1" t="s">
        <v>178</v>
      </c>
      <c r="F2251" s="1" t="s">
        <v>5017</v>
      </c>
      <c r="G2251" s="1" t="s">
        <v>5018</v>
      </c>
      <c r="H2251" s="1">
        <v>0.1</v>
      </c>
      <c r="I2251" s="1">
        <v>0.1</v>
      </c>
      <c r="J2251" s="1">
        <v>1.1804867896026141</v>
      </c>
      <c r="K2251" s="1" t="s">
        <v>181</v>
      </c>
    </row>
    <row r="2252" spans="1:11" x14ac:dyDescent="0.25">
      <c r="A2252" s="1" t="s">
        <v>20</v>
      </c>
      <c r="B2252" s="1" t="s">
        <v>311</v>
      </c>
      <c r="C2252" s="1" t="s">
        <v>7124</v>
      </c>
      <c r="D2252" s="1" t="s">
        <v>7125</v>
      </c>
      <c r="E2252" s="1" t="s">
        <v>178</v>
      </c>
      <c r="F2252" s="1" t="s">
        <v>5017</v>
      </c>
      <c r="G2252" s="1" t="s">
        <v>5018</v>
      </c>
      <c r="H2252" s="1">
        <v>0.1</v>
      </c>
      <c r="I2252" s="1">
        <v>0.1</v>
      </c>
      <c r="J2252" s="1">
        <v>1.1804867896026141</v>
      </c>
      <c r="K2252" s="1" t="s">
        <v>181</v>
      </c>
    </row>
    <row r="2253" spans="1:11" x14ac:dyDescent="0.25">
      <c r="A2253" s="1" t="s">
        <v>7126</v>
      </c>
      <c r="B2253" s="1" t="s">
        <v>7127</v>
      </c>
      <c r="C2253" s="1" t="s">
        <v>7128</v>
      </c>
      <c r="D2253" s="1" t="s">
        <v>7129</v>
      </c>
      <c r="E2253" s="1" t="s">
        <v>178</v>
      </c>
      <c r="F2253" s="1" t="s">
        <v>5017</v>
      </c>
      <c r="G2253" s="1" t="s">
        <v>5018</v>
      </c>
      <c r="H2253" s="1">
        <v>0.1</v>
      </c>
      <c r="I2253" s="1">
        <v>0.1</v>
      </c>
      <c r="J2253" s="1">
        <v>0.53507308046310609</v>
      </c>
      <c r="K2253" s="1" t="s">
        <v>181</v>
      </c>
    </row>
    <row r="2254" spans="1:11" x14ac:dyDescent="0.25">
      <c r="A2254" s="1" t="s">
        <v>7130</v>
      </c>
      <c r="B2254" s="1" t="s">
        <v>7131</v>
      </c>
      <c r="C2254" s="1" t="s">
        <v>7132</v>
      </c>
      <c r="D2254" s="1" t="s">
        <v>7133</v>
      </c>
      <c r="E2254" s="1" t="s">
        <v>178</v>
      </c>
      <c r="F2254" s="1" t="s">
        <v>5017</v>
      </c>
      <c r="G2254" s="1" t="s">
        <v>5018</v>
      </c>
      <c r="H2254" s="1">
        <v>0.1</v>
      </c>
      <c r="I2254" s="1">
        <v>0.1</v>
      </c>
      <c r="J2254" s="1">
        <v>0.55945468417497068</v>
      </c>
      <c r="K2254" s="1" t="s">
        <v>181</v>
      </c>
    </row>
    <row r="2255" spans="1:11" x14ac:dyDescent="0.25">
      <c r="A2255" s="1" t="s">
        <v>7134</v>
      </c>
      <c r="B2255" s="1" t="s">
        <v>311</v>
      </c>
      <c r="C2255" s="1" t="s">
        <v>7135</v>
      </c>
      <c r="D2255" s="1" t="s">
        <v>7136</v>
      </c>
      <c r="E2255" s="1" t="s">
        <v>178</v>
      </c>
      <c r="F2255" s="1" t="s">
        <v>5017</v>
      </c>
      <c r="G2255" s="1" t="s">
        <v>5018</v>
      </c>
      <c r="H2255" s="1">
        <v>0.1</v>
      </c>
      <c r="I2255" s="1">
        <v>0.1</v>
      </c>
      <c r="J2255" s="1">
        <v>2.404533852601165</v>
      </c>
      <c r="K2255" s="1" t="s">
        <v>181</v>
      </c>
    </row>
    <row r="2256" spans="1:11" x14ac:dyDescent="0.25">
      <c r="A2256" s="1" t="s">
        <v>7137</v>
      </c>
      <c r="B2256" s="1" t="s">
        <v>6731</v>
      </c>
      <c r="C2256" s="1" t="s">
        <v>7138</v>
      </c>
      <c r="D2256" s="1" t="s">
        <v>7139</v>
      </c>
      <c r="E2256" s="1" t="s">
        <v>178</v>
      </c>
      <c r="F2256" s="1" t="s">
        <v>5017</v>
      </c>
      <c r="G2256" s="1" t="s">
        <v>5018</v>
      </c>
      <c r="H2256" s="1">
        <v>0.1</v>
      </c>
      <c r="I2256" s="1">
        <v>0.1</v>
      </c>
      <c r="J2256" s="1">
        <v>1.0719751474152814</v>
      </c>
      <c r="K2256" s="1" t="s">
        <v>181</v>
      </c>
    </row>
    <row r="2257" spans="1:11" x14ac:dyDescent="0.25">
      <c r="A2257" s="1" t="s">
        <v>7140</v>
      </c>
      <c r="B2257" s="1" t="s">
        <v>7141</v>
      </c>
      <c r="C2257" s="1" t="s">
        <v>7142</v>
      </c>
      <c r="D2257" s="1" t="s">
        <v>7143</v>
      </c>
      <c r="E2257" s="1" t="s">
        <v>178</v>
      </c>
      <c r="F2257" s="1" t="s">
        <v>5017</v>
      </c>
      <c r="G2257" s="1" t="s">
        <v>5018</v>
      </c>
      <c r="H2257" s="1">
        <v>0.1</v>
      </c>
      <c r="I2257" s="1">
        <v>0.1</v>
      </c>
      <c r="J2257" s="1">
        <v>0.72587796447473074</v>
      </c>
      <c r="K2257" s="1" t="s">
        <v>181</v>
      </c>
    </row>
    <row r="2258" spans="1:11" x14ac:dyDescent="0.25">
      <c r="A2258" s="1" t="s">
        <v>7144</v>
      </c>
      <c r="B2258" s="1" t="s">
        <v>7145</v>
      </c>
      <c r="C2258" s="1" t="s">
        <v>7146</v>
      </c>
      <c r="D2258" s="1" t="s">
        <v>7147</v>
      </c>
      <c r="E2258" s="1" t="s">
        <v>178</v>
      </c>
      <c r="F2258" s="1" t="s">
        <v>5017</v>
      </c>
      <c r="G2258" s="1" t="s">
        <v>5018</v>
      </c>
      <c r="H2258" s="1">
        <v>0.1</v>
      </c>
      <c r="I2258" s="1">
        <v>0.1</v>
      </c>
      <c r="J2258" s="1">
        <v>1.1433078625816706</v>
      </c>
      <c r="K2258" s="1" t="s">
        <v>181</v>
      </c>
    </row>
    <row r="2259" spans="1:11" x14ac:dyDescent="0.25">
      <c r="A2259" s="1" t="s">
        <v>19</v>
      </c>
      <c r="B2259" s="1" t="s">
        <v>311</v>
      </c>
      <c r="C2259" s="1" t="s">
        <v>7148</v>
      </c>
      <c r="D2259" s="1" t="s">
        <v>7149</v>
      </c>
      <c r="E2259" s="1" t="s">
        <v>178</v>
      </c>
      <c r="F2259" s="1" t="s">
        <v>5017</v>
      </c>
      <c r="G2259" s="1" t="s">
        <v>5018</v>
      </c>
      <c r="H2259" s="1">
        <v>0.1</v>
      </c>
      <c r="I2259" s="1">
        <v>0.1</v>
      </c>
      <c r="J2259" s="1">
        <v>2.404533852601165</v>
      </c>
      <c r="K2259" s="1" t="s">
        <v>181</v>
      </c>
    </row>
    <row r="2260" spans="1:11" x14ac:dyDescent="0.25">
      <c r="A2260" s="1" t="s">
        <v>7150</v>
      </c>
      <c r="B2260" s="1" t="s">
        <v>311</v>
      </c>
      <c r="C2260" s="1" t="s">
        <v>7151</v>
      </c>
      <c r="D2260" s="1" t="s">
        <v>7152</v>
      </c>
      <c r="E2260" s="1" t="s">
        <v>178</v>
      </c>
      <c r="F2260" s="1" t="s">
        <v>5017</v>
      </c>
      <c r="G2260" s="1" t="s">
        <v>5018</v>
      </c>
      <c r="H2260" s="1">
        <v>0.1</v>
      </c>
      <c r="I2260" s="1">
        <v>0.1</v>
      </c>
      <c r="J2260" s="1">
        <v>2.404533852601165</v>
      </c>
      <c r="K2260" s="1" t="s">
        <v>181</v>
      </c>
    </row>
    <row r="2261" spans="1:11" x14ac:dyDescent="0.25">
      <c r="A2261" s="1" t="s">
        <v>7153</v>
      </c>
      <c r="B2261" s="1" t="s">
        <v>311</v>
      </c>
      <c r="C2261" s="1" t="s">
        <v>7154</v>
      </c>
      <c r="D2261" s="1" t="s">
        <v>7155</v>
      </c>
      <c r="E2261" s="1" t="s">
        <v>178</v>
      </c>
      <c r="F2261" s="1" t="s">
        <v>5017</v>
      </c>
      <c r="G2261" s="1" t="s">
        <v>5018</v>
      </c>
      <c r="H2261" s="1">
        <v>0.1</v>
      </c>
      <c r="I2261" s="1">
        <v>0.1</v>
      </c>
      <c r="J2261" s="1">
        <v>2.404533852601165</v>
      </c>
      <c r="K2261" s="1" t="s">
        <v>181</v>
      </c>
    </row>
    <row r="2262" spans="1:11" x14ac:dyDescent="0.25">
      <c r="A2262" s="1" t="s">
        <v>7156</v>
      </c>
      <c r="B2262" s="1" t="s">
        <v>7157</v>
      </c>
      <c r="C2262" s="1" t="s">
        <v>7158</v>
      </c>
      <c r="D2262" s="1" t="s">
        <v>7159</v>
      </c>
      <c r="E2262" s="1" t="s">
        <v>178</v>
      </c>
      <c r="F2262" s="1" t="s">
        <v>5017</v>
      </c>
      <c r="G2262" s="1" t="s">
        <v>5018</v>
      </c>
      <c r="H2262" s="1">
        <v>0.1</v>
      </c>
      <c r="I2262" s="1">
        <v>0.1</v>
      </c>
      <c r="J2262" s="1">
        <v>0.79201086607202098</v>
      </c>
      <c r="K2262" s="1" t="s">
        <v>181</v>
      </c>
    </row>
    <row r="2263" spans="1:11" x14ac:dyDescent="0.25">
      <c r="A2263" s="1" t="s">
        <v>7160</v>
      </c>
      <c r="B2263" s="1" t="s">
        <v>7161</v>
      </c>
      <c r="C2263" s="1" t="s">
        <v>7162</v>
      </c>
      <c r="D2263" s="1" t="s">
        <v>7163</v>
      </c>
      <c r="E2263" s="1" t="s">
        <v>178</v>
      </c>
      <c r="F2263" s="1" t="s">
        <v>5017</v>
      </c>
      <c r="G2263" s="1" t="s">
        <v>5018</v>
      </c>
      <c r="H2263" s="1">
        <v>0.1</v>
      </c>
      <c r="I2263" s="1">
        <v>0.1</v>
      </c>
      <c r="J2263" s="1">
        <v>0.42888195752531666</v>
      </c>
      <c r="K2263" s="1" t="s">
        <v>181</v>
      </c>
    </row>
    <row r="2264" spans="1:11" x14ac:dyDescent="0.25">
      <c r="A2264" s="1" t="s">
        <v>7164</v>
      </c>
      <c r="B2264" s="1" t="s">
        <v>1109</v>
      </c>
      <c r="C2264" s="1" t="s">
        <v>7165</v>
      </c>
      <c r="D2264" s="1" t="s">
        <v>7166</v>
      </c>
      <c r="E2264" s="1" t="s">
        <v>178</v>
      </c>
      <c r="F2264" s="1" t="s">
        <v>5017</v>
      </c>
      <c r="G2264" s="1" t="s">
        <v>5018</v>
      </c>
      <c r="H2264" s="1">
        <v>0.1</v>
      </c>
      <c r="I2264" s="1">
        <v>0.1</v>
      </c>
      <c r="J2264" s="1">
        <v>1.1817745990486808</v>
      </c>
      <c r="K2264" s="1" t="s">
        <v>181</v>
      </c>
    </row>
    <row r="2265" spans="1:11" x14ac:dyDescent="0.25">
      <c r="A2265" s="1" t="s">
        <v>7167</v>
      </c>
      <c r="B2265" s="1" t="s">
        <v>7161</v>
      </c>
      <c r="C2265" s="1" t="s">
        <v>7168</v>
      </c>
      <c r="D2265" s="1" t="s">
        <v>7169</v>
      </c>
      <c r="E2265" s="1" t="s">
        <v>178</v>
      </c>
      <c r="F2265" s="1" t="s">
        <v>5017</v>
      </c>
      <c r="G2265" s="1" t="s">
        <v>5018</v>
      </c>
      <c r="H2265" s="1">
        <v>0.1</v>
      </c>
      <c r="I2265" s="1">
        <v>0.1</v>
      </c>
      <c r="J2265" s="1">
        <v>0.42888195752531666</v>
      </c>
      <c r="K2265" s="1" t="s">
        <v>181</v>
      </c>
    </row>
    <row r="2266" spans="1:11" x14ac:dyDescent="0.25">
      <c r="A2266" s="1" t="s">
        <v>7170</v>
      </c>
      <c r="B2266" s="1" t="s">
        <v>7161</v>
      </c>
      <c r="C2266" s="1" t="s">
        <v>7171</v>
      </c>
      <c r="D2266" s="1" t="s">
        <v>7172</v>
      </c>
      <c r="E2266" s="1" t="s">
        <v>178</v>
      </c>
      <c r="F2266" s="1" t="s">
        <v>5017</v>
      </c>
      <c r="G2266" s="1" t="s">
        <v>5018</v>
      </c>
      <c r="H2266" s="1">
        <v>0.1</v>
      </c>
      <c r="I2266" s="1">
        <v>0.1</v>
      </c>
      <c r="J2266" s="1">
        <v>0.42888195752531666</v>
      </c>
      <c r="K2266" s="1" t="s">
        <v>181</v>
      </c>
    </row>
    <row r="2267" spans="1:11" x14ac:dyDescent="0.25">
      <c r="A2267" s="1" t="s">
        <v>7173</v>
      </c>
      <c r="B2267" s="1" t="s">
        <v>7161</v>
      </c>
      <c r="C2267" s="1" t="s">
        <v>7174</v>
      </c>
      <c r="D2267" s="1" t="s">
        <v>7175</v>
      </c>
      <c r="E2267" s="1" t="s">
        <v>178</v>
      </c>
      <c r="F2267" s="1" t="s">
        <v>5017</v>
      </c>
      <c r="G2267" s="1" t="s">
        <v>5018</v>
      </c>
      <c r="H2267" s="1">
        <v>0.1</v>
      </c>
      <c r="I2267" s="1">
        <v>0.1</v>
      </c>
      <c r="J2267" s="1">
        <v>0.42888195752531666</v>
      </c>
      <c r="K2267" s="1" t="s">
        <v>181</v>
      </c>
    </row>
    <row r="2268" spans="1:11" x14ac:dyDescent="0.25">
      <c r="A2268" s="1" t="s">
        <v>7176</v>
      </c>
      <c r="B2268" s="1" t="s">
        <v>7161</v>
      </c>
      <c r="C2268" s="1" t="s">
        <v>7177</v>
      </c>
      <c r="D2268" s="1" t="s">
        <v>7178</v>
      </c>
      <c r="E2268" s="1" t="s">
        <v>178</v>
      </c>
      <c r="F2268" s="1" t="s">
        <v>5017</v>
      </c>
      <c r="G2268" s="1" t="s">
        <v>5018</v>
      </c>
      <c r="H2268" s="1">
        <v>0.1</v>
      </c>
      <c r="I2268" s="1">
        <v>0.1</v>
      </c>
      <c r="J2268" s="1">
        <v>0.42888195752531666</v>
      </c>
      <c r="K2268" s="1" t="s">
        <v>181</v>
      </c>
    </row>
    <row r="2269" spans="1:11" x14ac:dyDescent="0.25">
      <c r="A2269" s="1" t="s">
        <v>7179</v>
      </c>
      <c r="B2269" s="1" t="s">
        <v>7161</v>
      </c>
      <c r="C2269" s="1" t="s">
        <v>7180</v>
      </c>
      <c r="D2269" s="1" t="s">
        <v>7181</v>
      </c>
      <c r="E2269" s="1" t="s">
        <v>178</v>
      </c>
      <c r="F2269" s="1" t="s">
        <v>5017</v>
      </c>
      <c r="G2269" s="1" t="s">
        <v>5018</v>
      </c>
      <c r="H2269" s="1">
        <v>0.1</v>
      </c>
      <c r="I2269" s="1">
        <v>0.1</v>
      </c>
      <c r="J2269" s="1">
        <v>0.43512179211449864</v>
      </c>
      <c r="K2269" s="1" t="s">
        <v>181</v>
      </c>
    </row>
    <row r="2270" spans="1:11" x14ac:dyDescent="0.25">
      <c r="A2270" s="1" t="s">
        <v>7182</v>
      </c>
      <c r="B2270" s="1" t="s">
        <v>7161</v>
      </c>
      <c r="C2270" s="1" t="s">
        <v>7183</v>
      </c>
      <c r="D2270" s="1" t="s">
        <v>7184</v>
      </c>
      <c r="E2270" s="1" t="s">
        <v>178</v>
      </c>
      <c r="F2270" s="1" t="s">
        <v>5017</v>
      </c>
      <c r="G2270" s="1" t="s">
        <v>5018</v>
      </c>
      <c r="H2270" s="1">
        <v>0.1</v>
      </c>
      <c r="I2270" s="1">
        <v>0.1</v>
      </c>
      <c r="J2270" s="1">
        <v>0.71902437811248854</v>
      </c>
      <c r="K2270" s="1" t="s">
        <v>181</v>
      </c>
    </row>
    <row r="2271" spans="1:11" x14ac:dyDescent="0.25">
      <c r="A2271" s="1" t="s">
        <v>7185</v>
      </c>
      <c r="B2271" s="1" t="s">
        <v>7161</v>
      </c>
      <c r="C2271" s="1" t="s">
        <v>7186</v>
      </c>
      <c r="D2271" s="1" t="s">
        <v>7187</v>
      </c>
      <c r="E2271" s="1" t="s">
        <v>178</v>
      </c>
      <c r="F2271" s="1" t="s">
        <v>5017</v>
      </c>
      <c r="G2271" s="1" t="s">
        <v>5018</v>
      </c>
      <c r="H2271" s="1">
        <v>0.1</v>
      </c>
      <c r="I2271" s="1">
        <v>0.1</v>
      </c>
      <c r="J2271" s="1">
        <v>0.43512179211449864</v>
      </c>
      <c r="K2271" s="1" t="s">
        <v>181</v>
      </c>
    </row>
    <row r="2272" spans="1:11" x14ac:dyDescent="0.25">
      <c r="A2272" s="1" t="s">
        <v>7188</v>
      </c>
      <c r="B2272" s="1" t="s">
        <v>7161</v>
      </c>
      <c r="C2272" s="1" t="s">
        <v>7189</v>
      </c>
      <c r="D2272" s="1" t="s">
        <v>7190</v>
      </c>
      <c r="E2272" s="1" t="s">
        <v>178</v>
      </c>
      <c r="F2272" s="1" t="s">
        <v>5017</v>
      </c>
      <c r="G2272" s="1" t="s">
        <v>5018</v>
      </c>
      <c r="H2272" s="1">
        <v>0.1</v>
      </c>
      <c r="I2272" s="1">
        <v>0.1</v>
      </c>
      <c r="J2272" s="1">
        <v>0.43512179211449864</v>
      </c>
      <c r="K2272" s="1" t="s">
        <v>181</v>
      </c>
    </row>
    <row r="2273" spans="1:11" x14ac:dyDescent="0.25">
      <c r="A2273" s="1" t="s">
        <v>7191</v>
      </c>
      <c r="B2273" s="1" t="s">
        <v>7161</v>
      </c>
      <c r="C2273" s="1" t="s">
        <v>7192</v>
      </c>
      <c r="D2273" s="1" t="s">
        <v>7193</v>
      </c>
      <c r="E2273" s="1" t="s">
        <v>178</v>
      </c>
      <c r="F2273" s="1" t="s">
        <v>5017</v>
      </c>
      <c r="G2273" s="1" t="s">
        <v>5018</v>
      </c>
      <c r="H2273" s="1">
        <v>0.1</v>
      </c>
      <c r="I2273" s="1">
        <v>0.1</v>
      </c>
      <c r="J2273" s="1">
        <v>0.43512179211449864</v>
      </c>
      <c r="K2273" s="1" t="s">
        <v>181</v>
      </c>
    </row>
    <row r="2274" spans="1:11" x14ac:dyDescent="0.25">
      <c r="A2274" s="1" t="s">
        <v>121</v>
      </c>
      <c r="B2274" s="1" t="s">
        <v>1109</v>
      </c>
      <c r="C2274" s="1" t="s">
        <v>7194</v>
      </c>
      <c r="D2274" s="1" t="s">
        <v>7195</v>
      </c>
      <c r="E2274" s="1" t="s">
        <v>178</v>
      </c>
      <c r="F2274" s="1" t="s">
        <v>5017</v>
      </c>
      <c r="G2274" s="1" t="s">
        <v>5018</v>
      </c>
      <c r="H2274" s="1">
        <v>0.1</v>
      </c>
      <c r="I2274" s="1">
        <v>0.1</v>
      </c>
      <c r="J2274" s="1">
        <v>1.1817745990486808</v>
      </c>
      <c r="K2274" s="1" t="s">
        <v>181</v>
      </c>
    </row>
    <row r="2275" spans="1:11" x14ac:dyDescent="0.25">
      <c r="A2275" s="1" t="s">
        <v>7196</v>
      </c>
      <c r="B2275" s="1" t="s">
        <v>1109</v>
      </c>
      <c r="C2275" s="1" t="s">
        <v>7197</v>
      </c>
      <c r="D2275" s="1" t="s">
        <v>7198</v>
      </c>
      <c r="E2275" s="1" t="s">
        <v>178</v>
      </c>
      <c r="F2275" s="1" t="s">
        <v>5017</v>
      </c>
      <c r="G2275" s="1" t="s">
        <v>5018</v>
      </c>
      <c r="H2275" s="1">
        <v>0.1</v>
      </c>
      <c r="I2275" s="1">
        <v>0.1</v>
      </c>
      <c r="J2275" s="1">
        <v>1.2518859423933715</v>
      </c>
      <c r="K2275" s="1" t="s">
        <v>181</v>
      </c>
    </row>
    <row r="2276" spans="1:11" x14ac:dyDescent="0.25">
      <c r="A2276" s="1" t="s">
        <v>7199</v>
      </c>
      <c r="B2276" s="1" t="s">
        <v>1109</v>
      </c>
      <c r="C2276" s="1" t="s">
        <v>7200</v>
      </c>
      <c r="D2276" s="1" t="s">
        <v>7201</v>
      </c>
      <c r="E2276" s="1" t="s">
        <v>178</v>
      </c>
      <c r="F2276" s="1" t="s">
        <v>5017</v>
      </c>
      <c r="G2276" s="1" t="s">
        <v>5018</v>
      </c>
      <c r="H2276" s="1">
        <v>0.1</v>
      </c>
      <c r="I2276" s="1">
        <v>0.1</v>
      </c>
      <c r="J2276" s="1">
        <v>1.1812577439003167</v>
      </c>
      <c r="K2276" s="1" t="s">
        <v>181</v>
      </c>
    </row>
    <row r="2277" spans="1:11" x14ac:dyDescent="0.25">
      <c r="A2277" s="1" t="s">
        <v>9</v>
      </c>
      <c r="B2277" s="1" t="s">
        <v>1109</v>
      </c>
      <c r="C2277" s="1" t="s">
        <v>7202</v>
      </c>
      <c r="D2277" s="1" t="s">
        <v>7203</v>
      </c>
      <c r="E2277" s="1" t="s">
        <v>178</v>
      </c>
      <c r="F2277" s="1" t="s">
        <v>5017</v>
      </c>
      <c r="G2277" s="1" t="s">
        <v>5018</v>
      </c>
      <c r="H2277" s="1">
        <v>0.1</v>
      </c>
      <c r="I2277" s="1">
        <v>0.1</v>
      </c>
      <c r="J2277" s="1">
        <v>1.4178513382906368</v>
      </c>
      <c r="K2277" s="1" t="s">
        <v>181</v>
      </c>
    </row>
    <row r="2278" spans="1:11" x14ac:dyDescent="0.25">
      <c r="A2278" s="1" t="s">
        <v>124</v>
      </c>
      <c r="B2278" s="1" t="s">
        <v>1109</v>
      </c>
      <c r="C2278" s="1" t="s">
        <v>7204</v>
      </c>
      <c r="D2278" s="1" t="s">
        <v>7205</v>
      </c>
      <c r="E2278" s="1" t="s">
        <v>178</v>
      </c>
      <c r="F2278" s="1" t="s">
        <v>5017</v>
      </c>
      <c r="G2278" s="1" t="s">
        <v>5018</v>
      </c>
      <c r="H2278" s="1">
        <v>0.1</v>
      </c>
      <c r="I2278" s="1">
        <v>0.1</v>
      </c>
      <c r="J2278" s="1">
        <v>1.3051481929297122</v>
      </c>
      <c r="K2278" s="1" t="s">
        <v>181</v>
      </c>
    </row>
    <row r="2279" spans="1:11" x14ac:dyDescent="0.25">
      <c r="A2279" s="1" t="s">
        <v>7206</v>
      </c>
      <c r="B2279" s="1" t="s">
        <v>1109</v>
      </c>
      <c r="C2279" s="1" t="s">
        <v>7207</v>
      </c>
      <c r="D2279" s="1" t="s">
        <v>7208</v>
      </c>
      <c r="E2279" s="1" t="s">
        <v>178</v>
      </c>
      <c r="F2279" s="1" t="s">
        <v>5017</v>
      </c>
      <c r="G2279" s="1" t="s">
        <v>5018</v>
      </c>
      <c r="H2279" s="1">
        <v>0.1</v>
      </c>
      <c r="I2279" s="1">
        <v>0.1</v>
      </c>
      <c r="J2279" s="1">
        <v>1.1963229407792693</v>
      </c>
      <c r="K2279" s="1" t="s">
        <v>181</v>
      </c>
    </row>
    <row r="2280" spans="1:11" x14ac:dyDescent="0.25">
      <c r="A2280" s="1" t="s">
        <v>7209</v>
      </c>
      <c r="B2280" s="1" t="s">
        <v>1109</v>
      </c>
      <c r="C2280" s="1" t="s">
        <v>7210</v>
      </c>
      <c r="D2280" s="1" t="s">
        <v>7211</v>
      </c>
      <c r="E2280" s="1" t="s">
        <v>178</v>
      </c>
      <c r="F2280" s="1" t="s">
        <v>5017</v>
      </c>
      <c r="G2280" s="1" t="s">
        <v>5018</v>
      </c>
      <c r="H2280" s="1">
        <v>0.1</v>
      </c>
      <c r="I2280" s="1">
        <v>0.1</v>
      </c>
      <c r="J2280" s="1">
        <v>1.1814155520546494</v>
      </c>
      <c r="K2280" s="1" t="s">
        <v>181</v>
      </c>
    </row>
    <row r="2281" spans="1:11" x14ac:dyDescent="0.25">
      <c r="A2281" s="1" t="s">
        <v>7212</v>
      </c>
      <c r="B2281" s="1" t="s">
        <v>1109</v>
      </c>
      <c r="C2281" s="1" t="s">
        <v>7213</v>
      </c>
      <c r="D2281" s="1" t="s">
        <v>7214</v>
      </c>
      <c r="E2281" s="1" t="s">
        <v>178</v>
      </c>
      <c r="F2281" s="1" t="s">
        <v>5017</v>
      </c>
      <c r="G2281" s="1" t="s">
        <v>5018</v>
      </c>
      <c r="H2281" s="1">
        <v>0.1</v>
      </c>
      <c r="I2281" s="1">
        <v>0.1</v>
      </c>
      <c r="J2281" s="1">
        <v>1.1967232886021515</v>
      </c>
      <c r="K2281" s="1" t="s">
        <v>181</v>
      </c>
    </row>
    <row r="2282" spans="1:11" x14ac:dyDescent="0.25">
      <c r="A2282" s="1" t="s">
        <v>123</v>
      </c>
      <c r="B2282" s="1" t="s">
        <v>1109</v>
      </c>
      <c r="C2282" s="1" t="s">
        <v>7215</v>
      </c>
      <c r="D2282" s="1" t="s">
        <v>7216</v>
      </c>
      <c r="E2282" s="1" t="s">
        <v>178</v>
      </c>
      <c r="F2282" s="1" t="s">
        <v>5017</v>
      </c>
      <c r="G2282" s="1" t="s">
        <v>5018</v>
      </c>
      <c r="H2282" s="1">
        <v>0.1</v>
      </c>
      <c r="I2282" s="1">
        <v>0.1</v>
      </c>
      <c r="J2282" s="1">
        <v>1.3056945198666017</v>
      </c>
      <c r="K2282" s="1" t="s">
        <v>181</v>
      </c>
    </row>
    <row r="2283" spans="1:11" x14ac:dyDescent="0.25">
      <c r="A2283" s="1" t="s">
        <v>77</v>
      </c>
      <c r="B2283" s="1" t="s">
        <v>1109</v>
      </c>
      <c r="C2283" s="1" t="s">
        <v>7217</v>
      </c>
      <c r="D2283" s="1" t="s">
        <v>7218</v>
      </c>
      <c r="E2283" s="1" t="s">
        <v>178</v>
      </c>
      <c r="F2283" s="1" t="s">
        <v>5017</v>
      </c>
      <c r="G2283" s="1" t="s">
        <v>5018</v>
      </c>
      <c r="H2283" s="1">
        <v>0.1</v>
      </c>
      <c r="I2283" s="1">
        <v>0.1</v>
      </c>
      <c r="J2283" s="1">
        <v>1.3194660776543585</v>
      </c>
      <c r="K2283" s="1" t="s">
        <v>181</v>
      </c>
    </row>
    <row r="2284" spans="1:11" x14ac:dyDescent="0.25">
      <c r="A2284" s="1" t="s">
        <v>7219</v>
      </c>
      <c r="B2284" s="1" t="s">
        <v>1109</v>
      </c>
      <c r="C2284" s="1" t="s">
        <v>7220</v>
      </c>
      <c r="D2284" s="1" t="s">
        <v>7221</v>
      </c>
      <c r="E2284" s="1" t="s">
        <v>178</v>
      </c>
      <c r="F2284" s="1" t="s">
        <v>5017</v>
      </c>
      <c r="G2284" s="1" t="s">
        <v>5018</v>
      </c>
      <c r="H2284" s="1">
        <v>0.1</v>
      </c>
      <c r="I2284" s="1">
        <v>0.1</v>
      </c>
      <c r="J2284" s="1">
        <v>1.3062602415155309</v>
      </c>
      <c r="K2284" s="1" t="s">
        <v>181</v>
      </c>
    </row>
    <row r="2285" spans="1:11" x14ac:dyDescent="0.25">
      <c r="A2285" s="1" t="s">
        <v>7222</v>
      </c>
      <c r="B2285" s="1" t="s">
        <v>1109</v>
      </c>
      <c r="C2285" s="1" t="s">
        <v>7223</v>
      </c>
      <c r="D2285" s="1" t="s">
        <v>7224</v>
      </c>
      <c r="E2285" s="1" t="s">
        <v>178</v>
      </c>
      <c r="F2285" s="1" t="s">
        <v>5017</v>
      </c>
      <c r="G2285" s="1" t="s">
        <v>5018</v>
      </c>
      <c r="H2285" s="1">
        <v>0.1</v>
      </c>
      <c r="I2285" s="1">
        <v>0.1</v>
      </c>
      <c r="J2285" s="1">
        <v>1.3198930828485602</v>
      </c>
      <c r="K2285" s="1" t="s">
        <v>181</v>
      </c>
    </row>
    <row r="2286" spans="1:11" x14ac:dyDescent="0.25">
      <c r="A2286" s="1" t="s">
        <v>7225</v>
      </c>
      <c r="B2286" s="1" t="s">
        <v>1109</v>
      </c>
      <c r="C2286" s="1" t="s">
        <v>7226</v>
      </c>
      <c r="D2286" s="1" t="s">
        <v>7227</v>
      </c>
      <c r="E2286" s="1" t="s">
        <v>178</v>
      </c>
      <c r="F2286" s="1" t="s">
        <v>5017</v>
      </c>
      <c r="G2286" s="1" t="s">
        <v>5018</v>
      </c>
      <c r="H2286" s="1">
        <v>0.1</v>
      </c>
      <c r="I2286" s="1">
        <v>0.1</v>
      </c>
      <c r="J2286" s="1">
        <v>1.1958307979458536</v>
      </c>
      <c r="K2286" s="1" t="s">
        <v>181</v>
      </c>
    </row>
    <row r="2287" spans="1:11" x14ac:dyDescent="0.25">
      <c r="A2287" s="1" t="s">
        <v>7228</v>
      </c>
      <c r="B2287" s="1" t="s">
        <v>1109</v>
      </c>
      <c r="C2287" s="1" t="s">
        <v>7229</v>
      </c>
      <c r="D2287" s="1" t="s">
        <v>7230</v>
      </c>
      <c r="E2287" s="1" t="s">
        <v>178</v>
      </c>
      <c r="F2287" s="1" t="s">
        <v>5017</v>
      </c>
      <c r="G2287" s="1" t="s">
        <v>5018</v>
      </c>
      <c r="H2287" s="1">
        <v>0.1</v>
      </c>
      <c r="I2287" s="1">
        <v>0.1</v>
      </c>
      <c r="J2287" s="1">
        <v>1.1808980676159175</v>
      </c>
      <c r="K2287" s="1" t="s">
        <v>181</v>
      </c>
    </row>
    <row r="2288" spans="1:11" x14ac:dyDescent="0.25">
      <c r="A2288" s="1" t="s">
        <v>7231</v>
      </c>
      <c r="B2288" s="1" t="s">
        <v>1109</v>
      </c>
      <c r="C2288" s="1" t="s">
        <v>7232</v>
      </c>
      <c r="D2288" s="1" t="s">
        <v>7233</v>
      </c>
      <c r="E2288" s="1" t="s">
        <v>178</v>
      </c>
      <c r="F2288" s="1" t="s">
        <v>5017</v>
      </c>
      <c r="G2288" s="1" t="s">
        <v>5018</v>
      </c>
      <c r="H2288" s="1">
        <v>0.1</v>
      </c>
      <c r="I2288" s="1">
        <v>0.1</v>
      </c>
      <c r="J2288" s="1">
        <v>1.1962318046741296</v>
      </c>
      <c r="K2288" s="1" t="s">
        <v>181</v>
      </c>
    </row>
    <row r="2289" spans="1:11" x14ac:dyDescent="0.25">
      <c r="A2289" s="1" t="s">
        <v>7</v>
      </c>
      <c r="B2289" s="1" t="s">
        <v>1109</v>
      </c>
      <c r="C2289" s="1" t="s">
        <v>7234</v>
      </c>
      <c r="D2289" s="1" t="s">
        <v>7235</v>
      </c>
      <c r="E2289" s="1" t="s">
        <v>178</v>
      </c>
      <c r="F2289" s="1" t="s">
        <v>5017</v>
      </c>
      <c r="G2289" s="1" t="s">
        <v>5018</v>
      </c>
      <c r="H2289" s="1">
        <v>0.1</v>
      </c>
      <c r="I2289" s="1">
        <v>0.1</v>
      </c>
      <c r="J2289" s="1">
        <v>1.432837571208645</v>
      </c>
      <c r="K2289" s="1" t="s">
        <v>181</v>
      </c>
    </row>
    <row r="2290" spans="1:11" x14ac:dyDescent="0.25">
      <c r="A2290" s="1" t="s">
        <v>8</v>
      </c>
      <c r="B2290" s="1" t="s">
        <v>1109</v>
      </c>
      <c r="C2290" s="1" t="s">
        <v>7236</v>
      </c>
      <c r="D2290" s="1" t="s">
        <v>7237</v>
      </c>
      <c r="E2290" s="1" t="s">
        <v>178</v>
      </c>
      <c r="F2290" s="1" t="s">
        <v>5017</v>
      </c>
      <c r="G2290" s="1" t="s">
        <v>5018</v>
      </c>
      <c r="H2290" s="1">
        <v>0.1</v>
      </c>
      <c r="I2290" s="1">
        <v>0.1</v>
      </c>
      <c r="J2290" s="1">
        <v>1.4184669839561672</v>
      </c>
      <c r="K2290" s="1" t="s">
        <v>181</v>
      </c>
    </row>
    <row r="2291" spans="1:11" x14ac:dyDescent="0.25">
      <c r="A2291" s="1" t="s">
        <v>4</v>
      </c>
      <c r="B2291" s="1" t="s">
        <v>1109</v>
      </c>
      <c r="C2291" s="1" t="s">
        <v>7238</v>
      </c>
      <c r="D2291" s="1" t="s">
        <v>7239</v>
      </c>
      <c r="E2291" s="1" t="s">
        <v>178</v>
      </c>
      <c r="F2291" s="1" t="s">
        <v>5017</v>
      </c>
      <c r="G2291" s="1" t="s">
        <v>5018</v>
      </c>
      <c r="H2291" s="1">
        <v>0.1</v>
      </c>
      <c r="I2291" s="1">
        <v>0.1</v>
      </c>
      <c r="J2291" s="1">
        <v>1.433302218020021</v>
      </c>
      <c r="K2291" s="1" t="s">
        <v>181</v>
      </c>
    </row>
    <row r="2292" spans="1:11" x14ac:dyDescent="0.25">
      <c r="A2292" s="1" t="s">
        <v>78</v>
      </c>
      <c r="B2292" s="1" t="s">
        <v>1109</v>
      </c>
      <c r="C2292" s="1" t="s">
        <v>7240</v>
      </c>
      <c r="D2292" s="1" t="s">
        <v>7241</v>
      </c>
      <c r="E2292" s="1" t="s">
        <v>178</v>
      </c>
      <c r="F2292" s="1" t="s">
        <v>5017</v>
      </c>
      <c r="G2292" s="1" t="s">
        <v>5018</v>
      </c>
      <c r="H2292" s="1">
        <v>0.1</v>
      </c>
      <c r="I2292" s="1">
        <v>0.1</v>
      </c>
      <c r="J2292" s="1">
        <v>1.3189422270697855</v>
      </c>
      <c r="K2292" s="1" t="s">
        <v>181</v>
      </c>
    </row>
    <row r="2293" spans="1:11" x14ac:dyDescent="0.25">
      <c r="A2293" s="1" t="s">
        <v>7242</v>
      </c>
      <c r="B2293" s="1" t="s">
        <v>1109</v>
      </c>
      <c r="C2293" s="1" t="s">
        <v>7243</v>
      </c>
      <c r="D2293" s="1" t="s">
        <v>7244</v>
      </c>
      <c r="E2293" s="1" t="s">
        <v>178</v>
      </c>
      <c r="F2293" s="1" t="s">
        <v>5017</v>
      </c>
      <c r="G2293" s="1" t="s">
        <v>5018</v>
      </c>
      <c r="H2293" s="1">
        <v>0.1</v>
      </c>
      <c r="I2293" s="1">
        <v>0.1</v>
      </c>
      <c r="J2293" s="1">
        <v>1.3057148613761465</v>
      </c>
      <c r="K2293" s="1" t="s">
        <v>181</v>
      </c>
    </row>
    <row r="2294" spans="1:11" x14ac:dyDescent="0.25">
      <c r="A2294" s="1" t="s">
        <v>7245</v>
      </c>
      <c r="B2294" s="1" t="s">
        <v>1109</v>
      </c>
      <c r="C2294" s="1" t="s">
        <v>7246</v>
      </c>
      <c r="D2294" s="1" t="s">
        <v>7247</v>
      </c>
      <c r="E2294" s="1" t="s">
        <v>178</v>
      </c>
      <c r="F2294" s="1" t="s">
        <v>5017</v>
      </c>
      <c r="G2294" s="1" t="s">
        <v>5018</v>
      </c>
      <c r="H2294" s="1">
        <v>0.1</v>
      </c>
      <c r="I2294" s="1">
        <v>0.1</v>
      </c>
      <c r="J2294" s="1">
        <v>1.3193699105012224</v>
      </c>
      <c r="K2294" s="1" t="s">
        <v>181</v>
      </c>
    </row>
    <row r="2295" spans="1:11" x14ac:dyDescent="0.25">
      <c r="A2295" s="1" t="s">
        <v>7248</v>
      </c>
      <c r="B2295" s="1" t="s">
        <v>1109</v>
      </c>
      <c r="C2295" s="1" t="s">
        <v>7249</v>
      </c>
      <c r="D2295" s="1" t="s">
        <v>7250</v>
      </c>
      <c r="E2295" s="1" t="s">
        <v>178</v>
      </c>
      <c r="F2295" s="1" t="s">
        <v>5017</v>
      </c>
      <c r="G2295" s="1" t="s">
        <v>5018</v>
      </c>
      <c r="H2295" s="1">
        <v>0.1</v>
      </c>
      <c r="I2295" s="1">
        <v>0.1</v>
      </c>
      <c r="J2295" s="1">
        <v>0.94145283940179703</v>
      </c>
      <c r="K2295" s="1" t="s">
        <v>181</v>
      </c>
    </row>
    <row r="2296" spans="1:11" x14ac:dyDescent="0.25">
      <c r="A2296" s="1" t="s">
        <v>7251</v>
      </c>
      <c r="B2296" s="1" t="s">
        <v>1109</v>
      </c>
      <c r="C2296" s="1" t="s">
        <v>7252</v>
      </c>
      <c r="D2296" s="1" t="s">
        <v>7253</v>
      </c>
      <c r="E2296" s="1" t="s">
        <v>178</v>
      </c>
      <c r="F2296" s="1" t="s">
        <v>5017</v>
      </c>
      <c r="G2296" s="1" t="s">
        <v>5018</v>
      </c>
      <c r="H2296" s="1">
        <v>0.1</v>
      </c>
      <c r="I2296" s="1">
        <v>0.1</v>
      </c>
      <c r="J2296" s="1">
        <v>1.1814155520546494</v>
      </c>
      <c r="K2296" s="1" t="s">
        <v>181</v>
      </c>
    </row>
    <row r="2297" spans="1:11" x14ac:dyDescent="0.25">
      <c r="A2297" s="1" t="s">
        <v>7254</v>
      </c>
      <c r="B2297" s="1" t="s">
        <v>1109</v>
      </c>
      <c r="C2297" s="1" t="s">
        <v>7255</v>
      </c>
      <c r="D2297" s="1" t="s">
        <v>7256</v>
      </c>
      <c r="E2297" s="1" t="s">
        <v>178</v>
      </c>
      <c r="F2297" s="1" t="s">
        <v>5017</v>
      </c>
      <c r="G2297" s="1" t="s">
        <v>5018</v>
      </c>
      <c r="H2297" s="1">
        <v>0.1</v>
      </c>
      <c r="I2297" s="1">
        <v>0.1</v>
      </c>
      <c r="J2297" s="1">
        <v>0.94176789529661697</v>
      </c>
      <c r="K2297" s="1" t="s">
        <v>181</v>
      </c>
    </row>
    <row r="2298" spans="1:11" x14ac:dyDescent="0.25">
      <c r="A2298" s="1" t="s">
        <v>122</v>
      </c>
      <c r="B2298" s="1" t="s">
        <v>1109</v>
      </c>
      <c r="C2298" s="1" t="s">
        <v>7257</v>
      </c>
      <c r="D2298" s="1" t="s">
        <v>7258</v>
      </c>
      <c r="E2298" s="1" t="s">
        <v>178</v>
      </c>
      <c r="F2298" s="1" t="s">
        <v>5017</v>
      </c>
      <c r="G2298" s="1" t="s">
        <v>5018</v>
      </c>
      <c r="H2298" s="1">
        <v>0.1</v>
      </c>
      <c r="I2298" s="1">
        <v>0.1</v>
      </c>
      <c r="J2298" s="1">
        <v>1.3056945198666017</v>
      </c>
      <c r="K2298" s="1" t="s">
        <v>181</v>
      </c>
    </row>
    <row r="2299" spans="1:11" x14ac:dyDescent="0.25">
      <c r="A2299" s="1" t="s">
        <v>79</v>
      </c>
      <c r="B2299" s="1" t="s">
        <v>1109</v>
      </c>
      <c r="C2299" s="1" t="s">
        <v>7259</v>
      </c>
      <c r="D2299" s="1" t="s">
        <v>7260</v>
      </c>
      <c r="E2299" s="1" t="s">
        <v>178</v>
      </c>
      <c r="F2299" s="1" t="s">
        <v>5017</v>
      </c>
      <c r="G2299" s="1" t="s">
        <v>5018</v>
      </c>
      <c r="H2299" s="1">
        <v>0.1</v>
      </c>
      <c r="I2299" s="1">
        <v>0.1</v>
      </c>
      <c r="J2299" s="1">
        <v>1.3194660776543585</v>
      </c>
      <c r="K2299" s="1" t="s">
        <v>181</v>
      </c>
    </row>
    <row r="2300" spans="1:11" x14ac:dyDescent="0.25">
      <c r="A2300" s="1" t="s">
        <v>7261</v>
      </c>
      <c r="B2300" s="1" t="s">
        <v>1109</v>
      </c>
      <c r="C2300" s="1" t="s">
        <v>7262</v>
      </c>
      <c r="D2300" s="1" t="s">
        <v>7263</v>
      </c>
      <c r="E2300" s="1" t="s">
        <v>178</v>
      </c>
      <c r="F2300" s="1" t="s">
        <v>5017</v>
      </c>
      <c r="G2300" s="1" t="s">
        <v>5018</v>
      </c>
      <c r="H2300" s="1">
        <v>0.1</v>
      </c>
      <c r="I2300" s="1">
        <v>0.1</v>
      </c>
      <c r="J2300" s="1">
        <v>1.3062602415155309</v>
      </c>
      <c r="K2300" s="1" t="s">
        <v>181</v>
      </c>
    </row>
    <row r="2301" spans="1:11" x14ac:dyDescent="0.25">
      <c r="A2301" s="1" t="s">
        <v>7264</v>
      </c>
      <c r="B2301" s="1" t="s">
        <v>1109</v>
      </c>
      <c r="C2301" s="1" t="s">
        <v>7265</v>
      </c>
      <c r="D2301" s="1" t="s">
        <v>7266</v>
      </c>
      <c r="E2301" s="1" t="s">
        <v>178</v>
      </c>
      <c r="F2301" s="1" t="s">
        <v>5017</v>
      </c>
      <c r="G2301" s="1" t="s">
        <v>5018</v>
      </c>
      <c r="H2301" s="1">
        <v>0.1</v>
      </c>
      <c r="I2301" s="1">
        <v>0.1</v>
      </c>
      <c r="J2301" s="1">
        <v>1.3198930828485602</v>
      </c>
      <c r="K2301" s="1" t="s">
        <v>181</v>
      </c>
    </row>
    <row r="2302" spans="1:11" x14ac:dyDescent="0.25">
      <c r="A2302" s="1" t="s">
        <v>7267</v>
      </c>
      <c r="B2302" s="1" t="s">
        <v>7268</v>
      </c>
      <c r="C2302" s="1" t="s">
        <v>7269</v>
      </c>
      <c r="D2302" s="1" t="s">
        <v>7270</v>
      </c>
      <c r="E2302" s="1" t="s">
        <v>178</v>
      </c>
      <c r="F2302" s="1" t="s">
        <v>5017</v>
      </c>
      <c r="G2302" s="1" t="s">
        <v>5018</v>
      </c>
      <c r="H2302" s="1">
        <v>0.1</v>
      </c>
      <c r="I2302" s="1">
        <v>0.1</v>
      </c>
      <c r="J2302" s="1">
        <v>0.48188299413410884</v>
      </c>
      <c r="K2302" s="1" t="s">
        <v>181</v>
      </c>
    </row>
    <row r="2303" spans="1:11" x14ac:dyDescent="0.25">
      <c r="A2303" s="1" t="s">
        <v>7271</v>
      </c>
      <c r="B2303" s="1" t="s">
        <v>7272</v>
      </c>
      <c r="C2303" s="1" t="s">
        <v>7273</v>
      </c>
      <c r="D2303" s="1" t="s">
        <v>7274</v>
      </c>
      <c r="E2303" s="1" t="s">
        <v>178</v>
      </c>
      <c r="F2303" s="1" t="s">
        <v>5017</v>
      </c>
      <c r="G2303" s="1" t="s">
        <v>5018</v>
      </c>
      <c r="H2303" s="1">
        <v>0.1</v>
      </c>
      <c r="I2303" s="1">
        <v>0.1</v>
      </c>
      <c r="J2303" s="1">
        <v>0.85426902284858353</v>
      </c>
      <c r="K2303" s="1" t="s">
        <v>181</v>
      </c>
    </row>
    <row r="2304" spans="1:11" x14ac:dyDescent="0.25">
      <c r="A2304" s="1" t="s">
        <v>7275</v>
      </c>
      <c r="B2304" s="1" t="s">
        <v>7276</v>
      </c>
      <c r="C2304" s="1" t="s">
        <v>7277</v>
      </c>
      <c r="D2304" s="1" t="s">
        <v>7278</v>
      </c>
      <c r="E2304" s="1" t="s">
        <v>178</v>
      </c>
      <c r="F2304" s="1" t="s">
        <v>5017</v>
      </c>
      <c r="G2304" s="1" t="s">
        <v>5018</v>
      </c>
      <c r="H2304" s="1">
        <v>0.1</v>
      </c>
      <c r="I2304" s="1">
        <v>0.1</v>
      </c>
      <c r="J2304" s="1">
        <v>0.69619354994267268</v>
      </c>
      <c r="K2304" s="1" t="s">
        <v>181</v>
      </c>
    </row>
    <row r="2305" spans="1:11" x14ac:dyDescent="0.25">
      <c r="A2305" s="1" t="s">
        <v>7279</v>
      </c>
      <c r="B2305" s="1" t="s">
        <v>7280</v>
      </c>
      <c r="C2305" s="1" t="s">
        <v>7281</v>
      </c>
      <c r="D2305" s="1" t="s">
        <v>7282</v>
      </c>
      <c r="E2305" s="1" t="s">
        <v>178</v>
      </c>
      <c r="F2305" s="1" t="s">
        <v>5017</v>
      </c>
      <c r="G2305" s="1" t="s">
        <v>5018</v>
      </c>
      <c r="H2305" s="1">
        <v>0.1</v>
      </c>
      <c r="I2305" s="1">
        <v>0.1</v>
      </c>
      <c r="J2305" s="1">
        <v>0.73785056043977737</v>
      </c>
      <c r="K2305" s="1" t="s">
        <v>181</v>
      </c>
    </row>
    <row r="2306" spans="1:11" x14ac:dyDescent="0.25">
      <c r="A2306" s="1" t="s">
        <v>139</v>
      </c>
      <c r="B2306" s="1" t="s">
        <v>7283</v>
      </c>
      <c r="C2306" s="1" t="s">
        <v>7284</v>
      </c>
      <c r="D2306" s="1" t="s">
        <v>7285</v>
      </c>
      <c r="E2306" s="1" t="s">
        <v>178</v>
      </c>
      <c r="F2306" s="1" t="s">
        <v>5017</v>
      </c>
      <c r="G2306" s="1" t="s">
        <v>5018</v>
      </c>
      <c r="H2306" s="1">
        <v>0.1</v>
      </c>
      <c r="I2306" s="1">
        <v>0.1</v>
      </c>
      <c r="J2306" s="1">
        <v>0.67268019804363288</v>
      </c>
      <c r="K2306" s="1" t="s">
        <v>181</v>
      </c>
    </row>
    <row r="2307" spans="1:11" x14ac:dyDescent="0.25">
      <c r="A2307" s="1" t="s">
        <v>7286</v>
      </c>
      <c r="B2307" s="1" t="s">
        <v>7287</v>
      </c>
      <c r="C2307" s="1" t="s">
        <v>7288</v>
      </c>
      <c r="D2307" s="1" t="s">
        <v>7289</v>
      </c>
      <c r="E2307" s="1" t="s">
        <v>178</v>
      </c>
      <c r="F2307" s="1" t="s">
        <v>5017</v>
      </c>
      <c r="G2307" s="1" t="s">
        <v>5018</v>
      </c>
      <c r="H2307" s="1">
        <v>0.1</v>
      </c>
      <c r="I2307" s="1">
        <v>0.1</v>
      </c>
      <c r="J2307" s="1">
        <v>0.49147174402622068</v>
      </c>
      <c r="K2307" s="1" t="s">
        <v>181</v>
      </c>
    </row>
    <row r="2308" spans="1:11" x14ac:dyDescent="0.25">
      <c r="A2308" s="1" t="s">
        <v>7290</v>
      </c>
      <c r="B2308" s="1" t="s">
        <v>7291</v>
      </c>
      <c r="C2308" s="1" t="s">
        <v>7292</v>
      </c>
      <c r="D2308" s="1" t="s">
        <v>7293</v>
      </c>
      <c r="E2308" s="1" t="s">
        <v>178</v>
      </c>
      <c r="F2308" s="1" t="s">
        <v>5017</v>
      </c>
      <c r="G2308" s="1" t="s">
        <v>5018</v>
      </c>
      <c r="H2308" s="1">
        <v>0.1</v>
      </c>
      <c r="I2308" s="1">
        <v>0.1</v>
      </c>
      <c r="J2308" s="1">
        <v>0.61863428091911998</v>
      </c>
      <c r="K2308" s="1" t="s">
        <v>181</v>
      </c>
    </row>
    <row r="2309" spans="1:11" x14ac:dyDescent="0.25">
      <c r="A2309" s="1" t="s">
        <v>135</v>
      </c>
      <c r="B2309" s="1" t="s">
        <v>7294</v>
      </c>
      <c r="C2309" s="1" t="s">
        <v>7295</v>
      </c>
      <c r="D2309" s="1" t="s">
        <v>7296</v>
      </c>
      <c r="E2309" s="1" t="s">
        <v>178</v>
      </c>
      <c r="F2309" s="1" t="s">
        <v>5017</v>
      </c>
      <c r="G2309" s="1" t="s">
        <v>5018</v>
      </c>
      <c r="H2309" s="1">
        <v>0.1</v>
      </c>
      <c r="I2309" s="1">
        <v>0.1</v>
      </c>
      <c r="J2309" s="1">
        <v>0.71417725470807736</v>
      </c>
      <c r="K2309" s="1" t="s">
        <v>181</v>
      </c>
    </row>
    <row r="2310" spans="1:11" x14ac:dyDescent="0.25">
      <c r="A2310" s="1" t="s">
        <v>136</v>
      </c>
      <c r="B2310" s="1" t="s">
        <v>7294</v>
      </c>
      <c r="C2310" s="1" t="s">
        <v>7297</v>
      </c>
      <c r="D2310" s="1" t="s">
        <v>7298</v>
      </c>
      <c r="E2310" s="1" t="s">
        <v>178</v>
      </c>
      <c r="F2310" s="1" t="s">
        <v>5017</v>
      </c>
      <c r="G2310" s="1" t="s">
        <v>5018</v>
      </c>
      <c r="H2310" s="1">
        <v>0.1</v>
      </c>
      <c r="I2310" s="1">
        <v>0.1</v>
      </c>
      <c r="J2310" s="1">
        <v>0.71459675670500911</v>
      </c>
      <c r="K2310" s="1" t="s">
        <v>181</v>
      </c>
    </row>
    <row r="2311" spans="1:11" x14ac:dyDescent="0.25">
      <c r="A2311" s="1" t="s">
        <v>137</v>
      </c>
      <c r="B2311" s="1" t="s">
        <v>7294</v>
      </c>
      <c r="C2311" s="1" t="s">
        <v>7299</v>
      </c>
      <c r="D2311" s="1" t="s">
        <v>7300</v>
      </c>
      <c r="E2311" s="1" t="s">
        <v>178</v>
      </c>
      <c r="F2311" s="1" t="s">
        <v>5017</v>
      </c>
      <c r="G2311" s="1" t="s">
        <v>5018</v>
      </c>
      <c r="H2311" s="1">
        <v>0.1</v>
      </c>
      <c r="I2311" s="1">
        <v>0.1</v>
      </c>
      <c r="J2311" s="1">
        <v>0.70784319741645063</v>
      </c>
      <c r="K2311" s="1" t="s">
        <v>181</v>
      </c>
    </row>
    <row r="2312" spans="1:11" x14ac:dyDescent="0.25">
      <c r="A2312" s="1" t="s">
        <v>138</v>
      </c>
      <c r="B2312" s="1" t="s">
        <v>7301</v>
      </c>
      <c r="C2312" s="1" t="s">
        <v>7302</v>
      </c>
      <c r="D2312" s="1" t="s">
        <v>7303</v>
      </c>
      <c r="E2312" s="1" t="s">
        <v>178</v>
      </c>
      <c r="F2312" s="1" t="s">
        <v>5017</v>
      </c>
      <c r="G2312" s="1" t="s">
        <v>5018</v>
      </c>
      <c r="H2312" s="1">
        <v>0.1</v>
      </c>
      <c r="I2312" s="1">
        <v>0.1</v>
      </c>
      <c r="J2312" s="1">
        <v>0.62438178853742787</v>
      </c>
      <c r="K2312" s="1" t="s">
        <v>181</v>
      </c>
    </row>
    <row r="2313" spans="1:11" x14ac:dyDescent="0.25">
      <c r="A2313" s="1" t="s">
        <v>7304</v>
      </c>
      <c r="B2313" s="1" t="s">
        <v>7305</v>
      </c>
      <c r="C2313" s="1" t="s">
        <v>7306</v>
      </c>
      <c r="D2313" s="1" t="s">
        <v>7307</v>
      </c>
      <c r="E2313" s="1" t="s">
        <v>178</v>
      </c>
      <c r="F2313" s="1" t="s">
        <v>5017</v>
      </c>
      <c r="G2313" s="1" t="s">
        <v>5018</v>
      </c>
      <c r="H2313" s="1">
        <v>0.1</v>
      </c>
      <c r="I2313" s="1">
        <v>0.1</v>
      </c>
      <c r="J2313" s="1">
        <v>0.59628354077252077</v>
      </c>
      <c r="K2313" s="1" t="s">
        <v>181</v>
      </c>
    </row>
    <row r="2314" spans="1:11" x14ac:dyDescent="0.25">
      <c r="A2314" s="1" t="s">
        <v>7308</v>
      </c>
      <c r="B2314" s="1" t="s">
        <v>7309</v>
      </c>
      <c r="C2314" s="1" t="s">
        <v>7310</v>
      </c>
      <c r="D2314" s="1" t="s">
        <v>7311</v>
      </c>
      <c r="E2314" s="1" t="s">
        <v>178</v>
      </c>
      <c r="F2314" s="1" t="s">
        <v>5017</v>
      </c>
      <c r="G2314" s="1" t="s">
        <v>5018</v>
      </c>
      <c r="H2314" s="1">
        <v>0.1</v>
      </c>
      <c r="I2314" s="1">
        <v>0.1</v>
      </c>
      <c r="J2314" s="1">
        <v>0.49177551128753522</v>
      </c>
      <c r="K2314" s="1" t="s">
        <v>181</v>
      </c>
    </row>
    <row r="2315" spans="1:11" x14ac:dyDescent="0.25">
      <c r="A2315" s="1" t="s">
        <v>7312</v>
      </c>
      <c r="B2315" s="1" t="s">
        <v>7309</v>
      </c>
      <c r="C2315" s="1" t="s">
        <v>7313</v>
      </c>
      <c r="D2315" s="1" t="s">
        <v>7314</v>
      </c>
      <c r="E2315" s="1" t="s">
        <v>178</v>
      </c>
      <c r="F2315" s="1" t="s">
        <v>5017</v>
      </c>
      <c r="G2315" s="1" t="s">
        <v>5018</v>
      </c>
      <c r="H2315" s="1">
        <v>0.1</v>
      </c>
      <c r="I2315" s="1">
        <v>0.1</v>
      </c>
      <c r="J2315" s="1">
        <v>0.49177551128753522</v>
      </c>
      <c r="K2315" s="1" t="s">
        <v>181</v>
      </c>
    </row>
    <row r="2316" spans="1:11" x14ac:dyDescent="0.25">
      <c r="A2316" s="1" t="s">
        <v>7315</v>
      </c>
      <c r="B2316" s="1" t="s">
        <v>7316</v>
      </c>
      <c r="C2316" s="1" t="s">
        <v>7317</v>
      </c>
      <c r="D2316" s="1" t="s">
        <v>7318</v>
      </c>
      <c r="E2316" s="1" t="s">
        <v>178</v>
      </c>
      <c r="F2316" s="1" t="s">
        <v>5017</v>
      </c>
      <c r="G2316" s="1" t="s">
        <v>5018</v>
      </c>
      <c r="H2316" s="1">
        <v>0.1</v>
      </c>
      <c r="I2316" s="1">
        <v>0.1</v>
      </c>
      <c r="J2316" s="1">
        <v>0.55386378839280126</v>
      </c>
      <c r="K2316" s="1" t="s">
        <v>181</v>
      </c>
    </row>
    <row r="2317" spans="1:11" x14ac:dyDescent="0.25">
      <c r="A2317" s="1" t="s">
        <v>7319</v>
      </c>
      <c r="B2317" s="1" t="s">
        <v>7320</v>
      </c>
      <c r="C2317" s="1" t="s">
        <v>7321</v>
      </c>
      <c r="D2317" s="1" t="s">
        <v>7322</v>
      </c>
      <c r="E2317" s="1" t="s">
        <v>178</v>
      </c>
      <c r="F2317" s="1" t="s">
        <v>5017</v>
      </c>
      <c r="G2317" s="1" t="s">
        <v>5018</v>
      </c>
      <c r="H2317" s="1">
        <v>0.1</v>
      </c>
      <c r="I2317" s="1">
        <v>0.1</v>
      </c>
      <c r="J2317" s="1">
        <v>0.61237732896206809</v>
      </c>
      <c r="K2317" s="1" t="s">
        <v>181</v>
      </c>
    </row>
    <row r="2318" spans="1:11" x14ac:dyDescent="0.25">
      <c r="A2318" s="1" t="s">
        <v>7323</v>
      </c>
      <c r="B2318" s="1" t="s">
        <v>7276</v>
      </c>
      <c r="C2318" s="1" t="s">
        <v>7324</v>
      </c>
      <c r="D2318" s="1" t="s">
        <v>7325</v>
      </c>
      <c r="E2318" s="1" t="s">
        <v>178</v>
      </c>
      <c r="F2318" s="1" t="s">
        <v>5017</v>
      </c>
      <c r="G2318" s="1" t="s">
        <v>5018</v>
      </c>
      <c r="H2318" s="1">
        <v>0.1</v>
      </c>
      <c r="I2318" s="1">
        <v>0.1</v>
      </c>
      <c r="J2318" s="1">
        <v>0.76935573900083987</v>
      </c>
      <c r="K2318" s="1" t="s">
        <v>181</v>
      </c>
    </row>
    <row r="2319" spans="1:11" x14ac:dyDescent="0.25">
      <c r="A2319" s="1" t="s">
        <v>7326</v>
      </c>
      <c r="B2319" s="1" t="s">
        <v>7327</v>
      </c>
      <c r="C2319" s="1" t="s">
        <v>7328</v>
      </c>
      <c r="D2319" s="1" t="s">
        <v>7329</v>
      </c>
      <c r="E2319" s="1" t="s">
        <v>178</v>
      </c>
      <c r="F2319" s="1" t="s">
        <v>5017</v>
      </c>
      <c r="G2319" s="1" t="s">
        <v>5018</v>
      </c>
      <c r="H2319" s="1">
        <v>0.1</v>
      </c>
      <c r="I2319" s="1">
        <v>0.1</v>
      </c>
      <c r="J2319" s="1">
        <v>0.62373779610883384</v>
      </c>
      <c r="K2319" s="1" t="s">
        <v>181</v>
      </c>
    </row>
    <row r="2320" spans="1:11" x14ac:dyDescent="0.25">
      <c r="A2320" s="1" t="s">
        <v>7330</v>
      </c>
      <c r="B2320" s="1" t="s">
        <v>7294</v>
      </c>
      <c r="C2320" s="1" t="s">
        <v>7331</v>
      </c>
      <c r="D2320" s="1" t="s">
        <v>7332</v>
      </c>
      <c r="E2320" s="1" t="s">
        <v>178</v>
      </c>
      <c r="F2320" s="1" t="s">
        <v>5017</v>
      </c>
      <c r="G2320" s="1" t="s">
        <v>5018</v>
      </c>
      <c r="H2320" s="1">
        <v>0.1</v>
      </c>
      <c r="I2320" s="1">
        <v>0.1</v>
      </c>
      <c r="J2320" s="1">
        <v>0.73755180608660953</v>
      </c>
      <c r="K2320" s="1" t="s">
        <v>181</v>
      </c>
    </row>
    <row r="2321" spans="1:11" x14ac:dyDescent="0.25">
      <c r="A2321" s="1" t="s">
        <v>7333</v>
      </c>
      <c r="B2321" s="1" t="s">
        <v>7334</v>
      </c>
      <c r="C2321" s="1" t="s">
        <v>7335</v>
      </c>
      <c r="D2321" s="1" t="s">
        <v>7336</v>
      </c>
      <c r="E2321" s="1" t="s">
        <v>178</v>
      </c>
      <c r="F2321" s="1" t="s">
        <v>5017</v>
      </c>
      <c r="G2321" s="1" t="s">
        <v>5018</v>
      </c>
      <c r="H2321" s="1">
        <v>0.1</v>
      </c>
      <c r="I2321" s="1">
        <v>0.1</v>
      </c>
      <c r="J2321" s="1">
        <v>0.49324914186954533</v>
      </c>
      <c r="K2321" s="1" t="s">
        <v>181</v>
      </c>
    </row>
    <row r="2322" spans="1:11" x14ac:dyDescent="0.25">
      <c r="A2322" s="1" t="s">
        <v>7337</v>
      </c>
      <c r="B2322" s="1" t="s">
        <v>7338</v>
      </c>
      <c r="C2322" s="1" t="s">
        <v>7339</v>
      </c>
      <c r="D2322" s="1" t="s">
        <v>7340</v>
      </c>
      <c r="E2322" s="1" t="s">
        <v>178</v>
      </c>
      <c r="F2322" s="1" t="s">
        <v>5017</v>
      </c>
      <c r="G2322" s="1" t="s">
        <v>5018</v>
      </c>
      <c r="H2322" s="1">
        <v>0.1</v>
      </c>
      <c r="I2322" s="1">
        <v>0.1</v>
      </c>
      <c r="J2322" s="1">
        <v>0.39370618354235515</v>
      </c>
      <c r="K2322" s="1" t="s">
        <v>181</v>
      </c>
    </row>
    <row r="2323" spans="1:11" x14ac:dyDescent="0.25">
      <c r="A2323" s="1" t="s">
        <v>7341</v>
      </c>
      <c r="B2323" s="1" t="s">
        <v>7342</v>
      </c>
      <c r="C2323" s="1" t="s">
        <v>7343</v>
      </c>
      <c r="D2323" s="1" t="s">
        <v>7344</v>
      </c>
      <c r="E2323" s="1" t="s">
        <v>178</v>
      </c>
      <c r="F2323" s="1" t="s">
        <v>5017</v>
      </c>
      <c r="G2323" s="1" t="s">
        <v>5018</v>
      </c>
      <c r="H2323" s="1">
        <v>0.1</v>
      </c>
      <c r="I2323" s="1">
        <v>0.1</v>
      </c>
      <c r="J2323" s="1">
        <v>0.53725119929870102</v>
      </c>
      <c r="K2323" s="1" t="s">
        <v>181</v>
      </c>
    </row>
    <row r="2324" spans="1:11" x14ac:dyDescent="0.25">
      <c r="A2324" s="1" t="s">
        <v>26</v>
      </c>
      <c r="B2324" s="1" t="s">
        <v>7345</v>
      </c>
      <c r="C2324" s="1" t="s">
        <v>7346</v>
      </c>
      <c r="D2324" s="1" t="s">
        <v>7347</v>
      </c>
      <c r="E2324" s="1" t="s">
        <v>178</v>
      </c>
      <c r="F2324" s="1" t="s">
        <v>5017</v>
      </c>
      <c r="G2324" s="1" t="s">
        <v>5018</v>
      </c>
      <c r="H2324" s="1">
        <v>0.1</v>
      </c>
      <c r="I2324" s="1">
        <v>0.1</v>
      </c>
      <c r="J2324" s="1">
        <v>0.77912057183343864</v>
      </c>
      <c r="K2324" s="1" t="s">
        <v>181</v>
      </c>
    </row>
    <row r="2325" spans="1:11" x14ac:dyDescent="0.25">
      <c r="A2325" s="1" t="s">
        <v>22</v>
      </c>
      <c r="B2325" s="1" t="s">
        <v>6829</v>
      </c>
      <c r="C2325" s="1" t="s">
        <v>6830</v>
      </c>
      <c r="D2325" s="1" t="s">
        <v>7348</v>
      </c>
      <c r="E2325" s="1" t="s">
        <v>178</v>
      </c>
      <c r="F2325" s="1" t="s">
        <v>5017</v>
      </c>
      <c r="G2325" s="1" t="s">
        <v>5018</v>
      </c>
      <c r="H2325" s="1">
        <v>0.1</v>
      </c>
      <c r="I2325" s="1">
        <v>0.1</v>
      </c>
      <c r="J2325" s="1">
        <v>0.79154129518351635</v>
      </c>
      <c r="K2325" s="1" t="s">
        <v>181</v>
      </c>
    </row>
    <row r="2326" spans="1:11" x14ac:dyDescent="0.25">
      <c r="A2326" s="1" t="s">
        <v>7349</v>
      </c>
      <c r="B2326" s="1" t="s">
        <v>7350</v>
      </c>
      <c r="C2326" s="1" t="s">
        <v>7351</v>
      </c>
      <c r="D2326" s="1" t="s">
        <v>7352</v>
      </c>
      <c r="E2326" s="1" t="s">
        <v>178</v>
      </c>
      <c r="F2326" s="1" t="s">
        <v>5017</v>
      </c>
      <c r="G2326" s="1" t="s">
        <v>5018</v>
      </c>
      <c r="H2326" s="1">
        <v>0.1</v>
      </c>
      <c r="I2326" s="1">
        <v>0.1</v>
      </c>
      <c r="J2326" s="1">
        <v>0.39380775930497947</v>
      </c>
      <c r="K2326" s="1" t="s">
        <v>181</v>
      </c>
    </row>
    <row r="2327" spans="1:11" x14ac:dyDescent="0.25">
      <c r="A2327" s="1" t="s">
        <v>87</v>
      </c>
      <c r="B2327" s="1" t="s">
        <v>7353</v>
      </c>
      <c r="C2327" s="1" t="s">
        <v>7354</v>
      </c>
      <c r="D2327" s="1" t="s">
        <v>7355</v>
      </c>
      <c r="E2327" s="1" t="s">
        <v>178</v>
      </c>
      <c r="F2327" s="1" t="s">
        <v>5017</v>
      </c>
      <c r="G2327" s="1" t="s">
        <v>5018</v>
      </c>
      <c r="H2327" s="1">
        <v>0.1</v>
      </c>
      <c r="I2327" s="1">
        <v>0.1</v>
      </c>
      <c r="J2327" s="1">
        <v>0.67651972806743921</v>
      </c>
      <c r="K2327" s="1" t="s">
        <v>181</v>
      </c>
    </row>
    <row r="2328" spans="1:11" x14ac:dyDescent="0.25">
      <c r="A2328" s="1" t="s">
        <v>7356</v>
      </c>
      <c r="B2328" s="1" t="s">
        <v>7357</v>
      </c>
      <c r="C2328" s="1" t="s">
        <v>7358</v>
      </c>
      <c r="D2328" s="1" t="s">
        <v>7359</v>
      </c>
      <c r="E2328" s="1" t="s">
        <v>178</v>
      </c>
      <c r="F2328" s="1" t="s">
        <v>5017</v>
      </c>
      <c r="G2328" s="1" t="s">
        <v>5018</v>
      </c>
      <c r="H2328" s="1">
        <v>0.1</v>
      </c>
      <c r="I2328" s="1">
        <v>0.1</v>
      </c>
      <c r="J2328" s="1">
        <v>0.62081299618985297</v>
      </c>
      <c r="K2328" s="1" t="s">
        <v>181</v>
      </c>
    </row>
    <row r="2329" spans="1:11" x14ac:dyDescent="0.25">
      <c r="A2329" s="1" t="s">
        <v>88</v>
      </c>
      <c r="B2329" s="1" t="s">
        <v>7353</v>
      </c>
      <c r="C2329" s="1" t="s">
        <v>7360</v>
      </c>
      <c r="D2329" s="1" t="s">
        <v>7361</v>
      </c>
      <c r="E2329" s="1" t="s">
        <v>178</v>
      </c>
      <c r="F2329" s="1" t="s">
        <v>5017</v>
      </c>
      <c r="G2329" s="1" t="s">
        <v>5018</v>
      </c>
      <c r="H2329" s="1">
        <v>0.1</v>
      </c>
      <c r="I2329" s="1">
        <v>0.1</v>
      </c>
      <c r="J2329" s="1">
        <v>0.73338938074820614</v>
      </c>
      <c r="K2329" s="1" t="s">
        <v>181</v>
      </c>
    </row>
    <row r="2330" spans="1:11" x14ac:dyDescent="0.25">
      <c r="A2330" s="1" t="s">
        <v>7362</v>
      </c>
      <c r="B2330" s="1" t="s">
        <v>7357</v>
      </c>
      <c r="C2330" s="1" t="s">
        <v>7363</v>
      </c>
      <c r="D2330" s="1" t="s">
        <v>7364</v>
      </c>
      <c r="E2330" s="1" t="s">
        <v>178</v>
      </c>
      <c r="F2330" s="1" t="s">
        <v>5017</v>
      </c>
      <c r="G2330" s="1" t="s">
        <v>5018</v>
      </c>
      <c r="H2330" s="1">
        <v>0.1</v>
      </c>
      <c r="I2330" s="1">
        <v>0.1</v>
      </c>
      <c r="J2330" s="1">
        <v>0.6094899632548697</v>
      </c>
      <c r="K2330" s="1" t="s">
        <v>181</v>
      </c>
    </row>
    <row r="2331" spans="1:11" x14ac:dyDescent="0.25">
      <c r="A2331" s="1" t="s">
        <v>7365</v>
      </c>
      <c r="B2331" s="1" t="s">
        <v>7366</v>
      </c>
      <c r="C2331" s="1" t="s">
        <v>7367</v>
      </c>
      <c r="D2331" s="1" t="s">
        <v>7368</v>
      </c>
      <c r="E2331" s="1" t="s">
        <v>178</v>
      </c>
      <c r="F2331" s="1" t="s">
        <v>5017</v>
      </c>
      <c r="G2331" s="1" t="s">
        <v>5018</v>
      </c>
      <c r="H2331" s="1">
        <v>0.1</v>
      </c>
      <c r="I2331" s="1">
        <v>0.1</v>
      </c>
      <c r="J2331" s="1">
        <v>0.67986952018110225</v>
      </c>
      <c r="K2331" s="1" t="s">
        <v>181</v>
      </c>
    </row>
    <row r="2332" spans="1:11" x14ac:dyDescent="0.25">
      <c r="A2332" s="1" t="s">
        <v>7369</v>
      </c>
      <c r="B2332" s="1" t="s">
        <v>7366</v>
      </c>
      <c r="C2332" s="1" t="s">
        <v>7370</v>
      </c>
      <c r="D2332" s="1" t="s">
        <v>7371</v>
      </c>
      <c r="E2332" s="1" t="s">
        <v>178</v>
      </c>
      <c r="F2332" s="1" t="s">
        <v>5017</v>
      </c>
      <c r="G2332" s="1" t="s">
        <v>5018</v>
      </c>
      <c r="H2332" s="1">
        <v>0.1</v>
      </c>
      <c r="I2332" s="1">
        <v>0.1</v>
      </c>
      <c r="J2332" s="1">
        <v>0.6027465153105519</v>
      </c>
      <c r="K2332" s="1" t="s">
        <v>181</v>
      </c>
    </row>
    <row r="2333" spans="1:11" x14ac:dyDescent="0.25">
      <c r="A2333" s="1" t="s">
        <v>7372</v>
      </c>
      <c r="B2333" s="1" t="s">
        <v>7366</v>
      </c>
      <c r="C2333" s="1" t="s">
        <v>7373</v>
      </c>
      <c r="D2333" s="1" t="s">
        <v>7374</v>
      </c>
      <c r="E2333" s="1" t="s">
        <v>178</v>
      </c>
      <c r="F2333" s="1" t="s">
        <v>5017</v>
      </c>
      <c r="G2333" s="1" t="s">
        <v>5018</v>
      </c>
      <c r="H2333" s="1">
        <v>0.1</v>
      </c>
      <c r="I2333" s="1">
        <v>0.1</v>
      </c>
      <c r="J2333" s="1">
        <v>0.64858170980030549</v>
      </c>
      <c r="K2333" s="1" t="s">
        <v>181</v>
      </c>
    </row>
    <row r="2334" spans="1:11" x14ac:dyDescent="0.25">
      <c r="A2334" s="1" t="s">
        <v>7375</v>
      </c>
      <c r="B2334" s="1" t="s">
        <v>7376</v>
      </c>
      <c r="C2334" s="1" t="s">
        <v>7377</v>
      </c>
      <c r="D2334" s="1" t="s">
        <v>7378</v>
      </c>
      <c r="E2334" s="1" t="s">
        <v>178</v>
      </c>
      <c r="F2334" s="1" t="s">
        <v>5017</v>
      </c>
      <c r="G2334" s="1" t="s">
        <v>5018</v>
      </c>
      <c r="H2334" s="1">
        <v>0.1</v>
      </c>
      <c r="I2334" s="1">
        <v>0.1</v>
      </c>
      <c r="J2334" s="1">
        <v>0.63059891378843047</v>
      </c>
      <c r="K2334" s="1" t="s">
        <v>181</v>
      </c>
    </row>
    <row r="2335" spans="1:11" x14ac:dyDescent="0.25">
      <c r="A2335" s="1" t="s">
        <v>7379</v>
      </c>
      <c r="B2335" s="1" t="s">
        <v>7376</v>
      </c>
      <c r="C2335" s="1" t="s">
        <v>7380</v>
      </c>
      <c r="D2335" s="1" t="s">
        <v>7381</v>
      </c>
      <c r="E2335" s="1" t="s">
        <v>178</v>
      </c>
      <c r="F2335" s="1" t="s">
        <v>5017</v>
      </c>
      <c r="G2335" s="1" t="s">
        <v>5018</v>
      </c>
      <c r="H2335" s="1">
        <v>0.1</v>
      </c>
      <c r="I2335" s="1">
        <v>0.1</v>
      </c>
      <c r="J2335" s="1">
        <v>0.64163159348503529</v>
      </c>
      <c r="K2335" s="1" t="s">
        <v>181</v>
      </c>
    </row>
    <row r="2336" spans="1:11" x14ac:dyDescent="0.25">
      <c r="A2336" s="1" t="s">
        <v>7382</v>
      </c>
      <c r="B2336" s="1" t="s">
        <v>7383</v>
      </c>
      <c r="C2336" s="1" t="s">
        <v>7384</v>
      </c>
      <c r="D2336" s="1" t="s">
        <v>7385</v>
      </c>
      <c r="E2336" s="1" t="s">
        <v>178</v>
      </c>
      <c r="F2336" s="1" t="s">
        <v>5017</v>
      </c>
      <c r="G2336" s="1" t="s">
        <v>5018</v>
      </c>
      <c r="H2336" s="1">
        <v>0.1</v>
      </c>
      <c r="I2336" s="1">
        <v>0.1</v>
      </c>
      <c r="J2336" s="1">
        <v>0.51742329369942586</v>
      </c>
      <c r="K2336" s="1" t="s">
        <v>181</v>
      </c>
    </row>
    <row r="2337" spans="1:11" x14ac:dyDescent="0.25">
      <c r="A2337" s="1" t="s">
        <v>7386</v>
      </c>
      <c r="B2337" s="1" t="s">
        <v>7387</v>
      </c>
      <c r="C2337" s="1" t="s">
        <v>7388</v>
      </c>
      <c r="D2337" s="1" t="s">
        <v>7389</v>
      </c>
      <c r="E2337" s="1" t="s">
        <v>178</v>
      </c>
      <c r="F2337" s="1" t="s">
        <v>5017</v>
      </c>
      <c r="G2337" s="1" t="s">
        <v>5018</v>
      </c>
      <c r="H2337" s="1">
        <v>0.1</v>
      </c>
      <c r="I2337" s="1">
        <v>0.1</v>
      </c>
      <c r="J2337" s="1">
        <v>0.57754225462555631</v>
      </c>
      <c r="K2337" s="1" t="s">
        <v>181</v>
      </c>
    </row>
    <row r="2338" spans="1:11" x14ac:dyDescent="0.25">
      <c r="A2338" s="1" t="s">
        <v>7390</v>
      </c>
      <c r="B2338" s="1" t="s">
        <v>7357</v>
      </c>
      <c r="C2338" s="1" t="s">
        <v>7391</v>
      </c>
      <c r="D2338" s="1" t="s">
        <v>7392</v>
      </c>
      <c r="E2338" s="1" t="s">
        <v>178</v>
      </c>
      <c r="F2338" s="1" t="s">
        <v>5017</v>
      </c>
      <c r="G2338" s="1" t="s">
        <v>5018</v>
      </c>
      <c r="H2338" s="1">
        <v>0.1</v>
      </c>
      <c r="I2338" s="1">
        <v>0.1</v>
      </c>
      <c r="J2338" s="1">
        <v>0.64122212262805511</v>
      </c>
      <c r="K2338" s="1" t="s">
        <v>181</v>
      </c>
    </row>
    <row r="2339" spans="1:11" x14ac:dyDescent="0.25">
      <c r="A2339" s="1" t="s">
        <v>7393</v>
      </c>
      <c r="B2339" s="1" t="s">
        <v>7376</v>
      </c>
      <c r="C2339" s="1" t="s">
        <v>7394</v>
      </c>
      <c r="D2339" s="1" t="s">
        <v>7395</v>
      </c>
      <c r="E2339" s="1" t="s">
        <v>178</v>
      </c>
      <c r="F2339" s="1" t="s">
        <v>5017</v>
      </c>
      <c r="G2339" s="1" t="s">
        <v>5018</v>
      </c>
      <c r="H2339" s="1">
        <v>0.1</v>
      </c>
      <c r="I2339" s="1">
        <v>0.1</v>
      </c>
      <c r="J2339" s="1">
        <v>0.74008237808002431</v>
      </c>
      <c r="K2339" s="1" t="s">
        <v>181</v>
      </c>
    </row>
    <row r="2340" spans="1:11" x14ac:dyDescent="0.25">
      <c r="A2340" s="1" t="s">
        <v>7396</v>
      </c>
      <c r="B2340" s="1" t="s">
        <v>7387</v>
      </c>
      <c r="C2340" s="1" t="s">
        <v>7397</v>
      </c>
      <c r="D2340" s="1" t="s">
        <v>7398</v>
      </c>
      <c r="E2340" s="1" t="s">
        <v>178</v>
      </c>
      <c r="F2340" s="1" t="s">
        <v>5017</v>
      </c>
      <c r="G2340" s="1" t="s">
        <v>5018</v>
      </c>
      <c r="H2340" s="1">
        <v>0.1</v>
      </c>
      <c r="I2340" s="1">
        <v>0.1</v>
      </c>
      <c r="J2340" s="1">
        <v>0.70242990905760871</v>
      </c>
      <c r="K2340" s="1" t="s">
        <v>181</v>
      </c>
    </row>
    <row r="2341" spans="1:11" x14ac:dyDescent="0.25">
      <c r="A2341" s="1" t="s">
        <v>7399</v>
      </c>
      <c r="B2341" s="1" t="s">
        <v>7387</v>
      </c>
      <c r="C2341" s="1" t="s">
        <v>7400</v>
      </c>
      <c r="D2341" s="1" t="s">
        <v>7401</v>
      </c>
      <c r="E2341" s="1" t="s">
        <v>178</v>
      </c>
      <c r="F2341" s="1" t="s">
        <v>5017</v>
      </c>
      <c r="G2341" s="1" t="s">
        <v>5018</v>
      </c>
      <c r="H2341" s="1">
        <v>0.1</v>
      </c>
      <c r="I2341" s="1">
        <v>0.1</v>
      </c>
      <c r="J2341" s="1">
        <v>0.61478864679901379</v>
      </c>
      <c r="K2341" s="1" t="s">
        <v>181</v>
      </c>
    </row>
    <row r="2342" spans="1:11" x14ac:dyDescent="0.25">
      <c r="A2342" s="1" t="s">
        <v>7402</v>
      </c>
      <c r="B2342" s="1" t="s">
        <v>7403</v>
      </c>
      <c r="C2342" s="1" t="s">
        <v>7404</v>
      </c>
      <c r="D2342" s="1" t="s">
        <v>7405</v>
      </c>
      <c r="E2342" s="1" t="s">
        <v>178</v>
      </c>
      <c r="F2342" s="1" t="s">
        <v>5017</v>
      </c>
      <c r="G2342" s="1" t="s">
        <v>5018</v>
      </c>
      <c r="H2342" s="1">
        <v>0.1</v>
      </c>
      <c r="I2342" s="1">
        <v>0.1</v>
      </c>
      <c r="J2342" s="1">
        <v>0.62678567544451913</v>
      </c>
      <c r="K2342" s="1" t="s">
        <v>181</v>
      </c>
    </row>
    <row r="2343" spans="1:11" x14ac:dyDescent="0.25">
      <c r="A2343" s="1" t="s">
        <v>7406</v>
      </c>
      <c r="B2343" s="1" t="s">
        <v>7407</v>
      </c>
      <c r="C2343" s="1" t="s">
        <v>7408</v>
      </c>
      <c r="D2343" s="1" t="s">
        <v>7409</v>
      </c>
      <c r="E2343" s="1" t="s">
        <v>178</v>
      </c>
      <c r="F2343" s="1" t="s">
        <v>5017</v>
      </c>
      <c r="G2343" s="1" t="s">
        <v>5018</v>
      </c>
      <c r="H2343" s="1">
        <v>0.1</v>
      </c>
      <c r="I2343" s="1">
        <v>0.1</v>
      </c>
      <c r="J2343" s="1">
        <v>0.67989232029661906</v>
      </c>
      <c r="K2343" s="1" t="s">
        <v>181</v>
      </c>
    </row>
    <row r="2344" spans="1:11" x14ac:dyDescent="0.25">
      <c r="A2344" s="1" t="s">
        <v>7410</v>
      </c>
      <c r="B2344" s="1" t="s">
        <v>7411</v>
      </c>
      <c r="C2344" s="1" t="s">
        <v>7412</v>
      </c>
      <c r="D2344" s="1" t="s">
        <v>7413</v>
      </c>
      <c r="E2344" s="1" t="s">
        <v>178</v>
      </c>
      <c r="F2344" s="1" t="s">
        <v>5017</v>
      </c>
      <c r="G2344" s="1" t="s">
        <v>5018</v>
      </c>
      <c r="H2344" s="1">
        <v>0.1</v>
      </c>
      <c r="I2344" s="1">
        <v>0.1</v>
      </c>
      <c r="J2344" s="1">
        <v>0.87099585005881464</v>
      </c>
      <c r="K2344" s="1" t="s">
        <v>181</v>
      </c>
    </row>
    <row r="2345" spans="1:11" x14ac:dyDescent="0.25">
      <c r="A2345" s="1" t="s">
        <v>7414</v>
      </c>
      <c r="B2345" s="1" t="s">
        <v>7415</v>
      </c>
      <c r="C2345" s="1" t="s">
        <v>7416</v>
      </c>
      <c r="D2345" s="1" t="s">
        <v>7417</v>
      </c>
      <c r="E2345" s="1" t="s">
        <v>178</v>
      </c>
      <c r="F2345" s="1" t="s">
        <v>5017</v>
      </c>
      <c r="G2345" s="1" t="s">
        <v>5018</v>
      </c>
      <c r="H2345" s="1">
        <v>0.1</v>
      </c>
      <c r="I2345" s="1">
        <v>0.1</v>
      </c>
      <c r="J2345" s="1">
        <v>0.69325680145893298</v>
      </c>
      <c r="K2345" s="1" t="s">
        <v>181</v>
      </c>
    </row>
    <row r="2346" spans="1:11" x14ac:dyDescent="0.25">
      <c r="A2346" s="1" t="s">
        <v>7418</v>
      </c>
      <c r="B2346" s="1" t="s">
        <v>7419</v>
      </c>
      <c r="C2346" s="1" t="s">
        <v>7420</v>
      </c>
      <c r="D2346" s="1" t="s">
        <v>7421</v>
      </c>
      <c r="E2346" s="1" t="s">
        <v>178</v>
      </c>
      <c r="F2346" s="1" t="s">
        <v>5017</v>
      </c>
      <c r="G2346" s="1" t="s">
        <v>5018</v>
      </c>
      <c r="H2346" s="1">
        <v>0.1</v>
      </c>
      <c r="I2346" s="1">
        <v>0.1</v>
      </c>
      <c r="J2346" s="1">
        <v>0.89237214833484768</v>
      </c>
      <c r="K2346" s="1" t="s">
        <v>181</v>
      </c>
    </row>
    <row r="2347" spans="1:11" x14ac:dyDescent="0.25">
      <c r="A2347" s="1" t="s">
        <v>7422</v>
      </c>
      <c r="B2347" s="1" t="s">
        <v>7423</v>
      </c>
      <c r="C2347" s="1" t="s">
        <v>7424</v>
      </c>
      <c r="D2347" s="1" t="s">
        <v>7425</v>
      </c>
      <c r="E2347" s="1" t="s">
        <v>178</v>
      </c>
      <c r="F2347" s="1" t="s">
        <v>5017</v>
      </c>
      <c r="G2347" s="1" t="s">
        <v>5018</v>
      </c>
      <c r="H2347" s="1">
        <v>0.1</v>
      </c>
      <c r="I2347" s="1">
        <v>0.1</v>
      </c>
      <c r="J2347" s="1">
        <v>0.61036090770670548</v>
      </c>
      <c r="K2347" s="1" t="s">
        <v>181</v>
      </c>
    </row>
    <row r="2348" spans="1:11" x14ac:dyDescent="0.25">
      <c r="A2348" s="1" t="s">
        <v>7426</v>
      </c>
      <c r="B2348" s="1" t="s">
        <v>7427</v>
      </c>
      <c r="C2348" s="1" t="s">
        <v>7428</v>
      </c>
      <c r="D2348" s="1" t="s">
        <v>7429</v>
      </c>
      <c r="E2348" s="1" t="s">
        <v>178</v>
      </c>
      <c r="F2348" s="1" t="s">
        <v>5017</v>
      </c>
      <c r="G2348" s="1" t="s">
        <v>5018</v>
      </c>
      <c r="H2348" s="1">
        <v>0.1</v>
      </c>
      <c r="I2348" s="1">
        <v>0.1</v>
      </c>
      <c r="J2348" s="1">
        <v>0.53337392044895982</v>
      </c>
      <c r="K2348" s="1" t="s">
        <v>181</v>
      </c>
    </row>
    <row r="2349" spans="1:11" x14ac:dyDescent="0.25">
      <c r="A2349" s="1" t="s">
        <v>7430</v>
      </c>
      <c r="B2349" s="1" t="s">
        <v>7431</v>
      </c>
      <c r="C2349" s="1" t="s">
        <v>7432</v>
      </c>
      <c r="D2349" s="1" t="s">
        <v>7433</v>
      </c>
      <c r="E2349" s="1" t="s">
        <v>178</v>
      </c>
      <c r="F2349" s="1" t="s">
        <v>5017</v>
      </c>
      <c r="G2349" s="1" t="s">
        <v>5018</v>
      </c>
      <c r="H2349" s="1">
        <v>0.1</v>
      </c>
      <c r="I2349" s="1">
        <v>0.1</v>
      </c>
      <c r="J2349" s="1">
        <v>0.60448617674345761</v>
      </c>
      <c r="K2349" s="1" t="s">
        <v>181</v>
      </c>
    </row>
    <row r="2350" spans="1:11" x14ac:dyDescent="0.25">
      <c r="A2350" s="1" t="s">
        <v>7434</v>
      </c>
      <c r="B2350" s="1" t="s">
        <v>7435</v>
      </c>
      <c r="C2350" s="1" t="s">
        <v>7436</v>
      </c>
      <c r="D2350" s="1" t="s">
        <v>7437</v>
      </c>
      <c r="E2350" s="1" t="s">
        <v>178</v>
      </c>
      <c r="F2350" s="1" t="s">
        <v>5017</v>
      </c>
      <c r="G2350" s="1" t="s">
        <v>5018</v>
      </c>
      <c r="H2350" s="1">
        <v>0.1</v>
      </c>
      <c r="I2350" s="1">
        <v>0.1</v>
      </c>
      <c r="J2350" s="1">
        <v>0.67183194369137611</v>
      </c>
      <c r="K2350" s="1" t="s">
        <v>181</v>
      </c>
    </row>
    <row r="2351" spans="1:11" x14ac:dyDescent="0.25">
      <c r="A2351" s="1" t="s">
        <v>25</v>
      </c>
      <c r="B2351" s="1" t="s">
        <v>7423</v>
      </c>
      <c r="C2351" s="1" t="s">
        <v>7438</v>
      </c>
      <c r="D2351" s="1" t="s">
        <v>7439</v>
      </c>
      <c r="E2351" s="1" t="s">
        <v>178</v>
      </c>
      <c r="F2351" s="1" t="s">
        <v>5017</v>
      </c>
      <c r="G2351" s="1" t="s">
        <v>5018</v>
      </c>
      <c r="H2351" s="1">
        <v>0.1</v>
      </c>
      <c r="I2351" s="1">
        <v>0.1</v>
      </c>
      <c r="J2351" s="1">
        <v>0.78305022213565167</v>
      </c>
      <c r="K2351" s="1" t="s">
        <v>181</v>
      </c>
    </row>
    <row r="2352" spans="1:11" x14ac:dyDescent="0.25">
      <c r="A2352" s="1" t="s">
        <v>7440</v>
      </c>
      <c r="B2352" s="1" t="s">
        <v>7441</v>
      </c>
      <c r="C2352" s="1" t="s">
        <v>7442</v>
      </c>
      <c r="D2352" s="1" t="s">
        <v>7443</v>
      </c>
      <c r="E2352" s="1" t="s">
        <v>178</v>
      </c>
      <c r="F2352" s="1" t="s">
        <v>5017</v>
      </c>
      <c r="G2352" s="1" t="s">
        <v>5018</v>
      </c>
      <c r="H2352" s="1">
        <v>0.1</v>
      </c>
      <c r="I2352" s="1">
        <v>0.1</v>
      </c>
      <c r="J2352" s="1">
        <v>0.8663497923316863</v>
      </c>
      <c r="K2352" s="1" t="s">
        <v>181</v>
      </c>
    </row>
    <row r="2353" spans="1:11" x14ac:dyDescent="0.25">
      <c r="A2353" s="1" t="s">
        <v>7444</v>
      </c>
      <c r="B2353" s="1" t="s">
        <v>7445</v>
      </c>
      <c r="C2353" s="1" t="s">
        <v>7446</v>
      </c>
      <c r="D2353" s="1" t="s">
        <v>7447</v>
      </c>
      <c r="E2353" s="1" t="s">
        <v>178</v>
      </c>
      <c r="F2353" s="1" t="s">
        <v>5017</v>
      </c>
      <c r="G2353" s="1" t="s">
        <v>5018</v>
      </c>
      <c r="H2353" s="1">
        <v>0.1</v>
      </c>
      <c r="I2353" s="1">
        <v>0.1</v>
      </c>
      <c r="J2353" s="1">
        <v>0.86095523531217255</v>
      </c>
      <c r="K2353" s="1" t="s">
        <v>181</v>
      </c>
    </row>
    <row r="2354" spans="1:11" x14ac:dyDescent="0.25">
      <c r="A2354" s="1" t="s">
        <v>7448</v>
      </c>
      <c r="B2354" s="1" t="s">
        <v>7441</v>
      </c>
      <c r="C2354" s="1" t="s">
        <v>7449</v>
      </c>
      <c r="D2354" s="1" t="s">
        <v>7450</v>
      </c>
      <c r="E2354" s="1" t="s">
        <v>178</v>
      </c>
      <c r="F2354" s="1" t="s">
        <v>5017</v>
      </c>
      <c r="G2354" s="1" t="s">
        <v>5018</v>
      </c>
      <c r="H2354" s="1">
        <v>0.1</v>
      </c>
      <c r="I2354" s="1">
        <v>0.1</v>
      </c>
      <c r="J2354" s="1">
        <v>0.79749729248329648</v>
      </c>
      <c r="K2354" s="1" t="s">
        <v>181</v>
      </c>
    </row>
    <row r="2355" spans="1:11" x14ac:dyDescent="0.25">
      <c r="A2355" s="1" t="s">
        <v>7451</v>
      </c>
      <c r="B2355" s="1" t="s">
        <v>7441</v>
      </c>
      <c r="C2355" s="1" t="s">
        <v>7452</v>
      </c>
      <c r="D2355" s="1" t="s">
        <v>7453</v>
      </c>
      <c r="E2355" s="1" t="s">
        <v>178</v>
      </c>
      <c r="F2355" s="1" t="s">
        <v>5017</v>
      </c>
      <c r="G2355" s="1" t="s">
        <v>5018</v>
      </c>
      <c r="H2355" s="1">
        <v>0.1</v>
      </c>
      <c r="I2355" s="1">
        <v>0.1</v>
      </c>
      <c r="J2355" s="1">
        <v>0.79902358590618394</v>
      </c>
      <c r="K2355" s="1" t="s">
        <v>181</v>
      </c>
    </row>
    <row r="2356" spans="1:11" x14ac:dyDescent="0.25">
      <c r="A2356" s="1" t="s">
        <v>7454</v>
      </c>
      <c r="B2356" s="1" t="s">
        <v>7455</v>
      </c>
      <c r="C2356" s="1" t="s">
        <v>7456</v>
      </c>
      <c r="D2356" s="1" t="s">
        <v>7457</v>
      </c>
      <c r="E2356" s="1" t="s">
        <v>178</v>
      </c>
      <c r="F2356" s="1" t="s">
        <v>5017</v>
      </c>
      <c r="G2356" s="1" t="s">
        <v>5018</v>
      </c>
      <c r="H2356" s="1">
        <v>0.1</v>
      </c>
      <c r="I2356" s="1">
        <v>0.1</v>
      </c>
      <c r="J2356" s="1">
        <v>0.74663747944861003</v>
      </c>
      <c r="K2356" s="1" t="s">
        <v>181</v>
      </c>
    </row>
    <row r="2357" spans="1:11" x14ac:dyDescent="0.25">
      <c r="A2357" s="1" t="s">
        <v>7458</v>
      </c>
      <c r="B2357" s="1" t="s">
        <v>7459</v>
      </c>
      <c r="C2357" s="1" t="s">
        <v>7460</v>
      </c>
      <c r="D2357" s="1" t="s">
        <v>7461</v>
      </c>
      <c r="E2357" s="1" t="s">
        <v>178</v>
      </c>
      <c r="F2357" s="1" t="s">
        <v>5017</v>
      </c>
      <c r="G2357" s="1" t="s">
        <v>5018</v>
      </c>
      <c r="H2357" s="1">
        <v>0.1</v>
      </c>
      <c r="I2357" s="1">
        <v>0.1</v>
      </c>
      <c r="J2357" s="1">
        <v>0.90315766100832162</v>
      </c>
      <c r="K2357" s="1" t="s">
        <v>181</v>
      </c>
    </row>
    <row r="2358" spans="1:11" x14ac:dyDescent="0.25">
      <c r="A2358" s="1" t="s">
        <v>7462</v>
      </c>
      <c r="B2358" s="1" t="s">
        <v>7459</v>
      </c>
      <c r="C2358" s="1" t="s">
        <v>7463</v>
      </c>
      <c r="D2358" s="1" t="s">
        <v>7464</v>
      </c>
      <c r="E2358" s="1" t="s">
        <v>178</v>
      </c>
      <c r="F2358" s="1" t="s">
        <v>5017</v>
      </c>
      <c r="G2358" s="1" t="s">
        <v>5018</v>
      </c>
      <c r="H2358" s="1">
        <v>0.1</v>
      </c>
      <c r="I2358" s="1">
        <v>0.1</v>
      </c>
      <c r="J2358" s="1">
        <v>0.90315766100832162</v>
      </c>
      <c r="K2358" s="1" t="s">
        <v>181</v>
      </c>
    </row>
    <row r="2359" spans="1:11" x14ac:dyDescent="0.25">
      <c r="A2359" s="1" t="s">
        <v>7465</v>
      </c>
      <c r="B2359" s="1" t="s">
        <v>7466</v>
      </c>
      <c r="C2359" s="1" t="s">
        <v>7467</v>
      </c>
      <c r="D2359" s="1" t="s">
        <v>7468</v>
      </c>
      <c r="E2359" s="1" t="s">
        <v>178</v>
      </c>
      <c r="F2359" s="1" t="s">
        <v>5017</v>
      </c>
      <c r="G2359" s="1" t="s">
        <v>5018</v>
      </c>
      <c r="H2359" s="1">
        <v>0.1</v>
      </c>
      <c r="I2359" s="1">
        <v>0.1</v>
      </c>
      <c r="J2359" s="1">
        <v>0.85269175888409887</v>
      </c>
      <c r="K2359" s="1" t="s">
        <v>181</v>
      </c>
    </row>
    <row r="2360" spans="1:11" x14ac:dyDescent="0.25">
      <c r="A2360" s="1" t="s">
        <v>7469</v>
      </c>
      <c r="B2360" s="1" t="s">
        <v>7470</v>
      </c>
      <c r="C2360" s="1" t="s">
        <v>7471</v>
      </c>
      <c r="D2360" s="1" t="s">
        <v>7472</v>
      </c>
      <c r="E2360" s="1" t="s">
        <v>178</v>
      </c>
      <c r="F2360" s="1" t="s">
        <v>5017</v>
      </c>
      <c r="G2360" s="1" t="s">
        <v>5018</v>
      </c>
      <c r="H2360" s="1">
        <v>0.1</v>
      </c>
      <c r="I2360" s="1">
        <v>0.1</v>
      </c>
      <c r="J2360" s="1">
        <v>0.9609316536353103</v>
      </c>
      <c r="K2360" s="1" t="s">
        <v>181</v>
      </c>
    </row>
    <row r="2361" spans="1:11" x14ac:dyDescent="0.25">
      <c r="A2361" s="1" t="s">
        <v>7473</v>
      </c>
      <c r="B2361" s="1" t="s">
        <v>7470</v>
      </c>
      <c r="C2361" s="1" t="s">
        <v>7474</v>
      </c>
      <c r="D2361" s="1" t="s">
        <v>7475</v>
      </c>
      <c r="E2361" s="1" t="s">
        <v>178</v>
      </c>
      <c r="F2361" s="1" t="s">
        <v>5017</v>
      </c>
      <c r="G2361" s="1" t="s">
        <v>5018</v>
      </c>
      <c r="H2361" s="1">
        <v>0.1</v>
      </c>
      <c r="I2361" s="1">
        <v>0.1</v>
      </c>
      <c r="J2361" s="1">
        <v>1.182609911056939</v>
      </c>
      <c r="K2361" s="1" t="s">
        <v>181</v>
      </c>
    </row>
    <row r="2362" spans="1:11" x14ac:dyDescent="0.25">
      <c r="A2362" s="1" t="s">
        <v>7476</v>
      </c>
      <c r="B2362" s="1" t="s">
        <v>7477</v>
      </c>
      <c r="C2362" s="1" t="s">
        <v>7478</v>
      </c>
      <c r="D2362" s="1" t="s">
        <v>7479</v>
      </c>
      <c r="E2362" s="1" t="s">
        <v>178</v>
      </c>
      <c r="F2362" s="1" t="s">
        <v>5017</v>
      </c>
      <c r="G2362" s="1" t="s">
        <v>5018</v>
      </c>
      <c r="H2362" s="1">
        <v>0.1</v>
      </c>
      <c r="I2362" s="1">
        <v>0.1</v>
      </c>
      <c r="J2362" s="1">
        <v>1.0959773937500368</v>
      </c>
      <c r="K2362" s="1" t="s">
        <v>181</v>
      </c>
    </row>
    <row r="2363" spans="1:11" x14ac:dyDescent="0.25">
      <c r="A2363" s="1" t="s">
        <v>7480</v>
      </c>
      <c r="B2363" s="1" t="s">
        <v>7101</v>
      </c>
      <c r="C2363" s="1" t="s">
        <v>7481</v>
      </c>
      <c r="D2363" s="1" t="s">
        <v>7482</v>
      </c>
      <c r="E2363" s="1" t="s">
        <v>178</v>
      </c>
      <c r="F2363" s="1" t="s">
        <v>5017</v>
      </c>
      <c r="G2363" s="1" t="s">
        <v>5018</v>
      </c>
      <c r="H2363" s="1">
        <v>0.1</v>
      </c>
      <c r="I2363" s="1">
        <v>0.1</v>
      </c>
      <c r="J2363" s="1">
        <v>1.0840571245667061</v>
      </c>
      <c r="K2363" s="1" t="s">
        <v>181</v>
      </c>
    </row>
    <row r="2364" spans="1:11" x14ac:dyDescent="0.25">
      <c r="A2364" s="1" t="s">
        <v>7483</v>
      </c>
      <c r="B2364" s="1" t="s">
        <v>7484</v>
      </c>
      <c r="C2364" s="1" t="s">
        <v>7485</v>
      </c>
      <c r="D2364" s="1" t="s">
        <v>7486</v>
      </c>
      <c r="E2364" s="1" t="s">
        <v>178</v>
      </c>
      <c r="F2364" s="1" t="s">
        <v>5017</v>
      </c>
      <c r="G2364" s="1" t="s">
        <v>5018</v>
      </c>
      <c r="H2364" s="1">
        <v>0.1</v>
      </c>
      <c r="I2364" s="1">
        <v>0.1</v>
      </c>
      <c r="J2364" s="1">
        <v>0.83919380463186977</v>
      </c>
      <c r="K2364" s="1" t="s">
        <v>181</v>
      </c>
    </row>
    <row r="2365" spans="1:11" x14ac:dyDescent="0.25">
      <c r="A2365" s="1" t="s">
        <v>7487</v>
      </c>
      <c r="B2365" s="1" t="s">
        <v>7488</v>
      </c>
      <c r="C2365" s="1" t="s">
        <v>7489</v>
      </c>
      <c r="D2365" s="1" t="s">
        <v>7490</v>
      </c>
      <c r="E2365" s="1" t="s">
        <v>178</v>
      </c>
      <c r="F2365" s="1" t="s">
        <v>5017</v>
      </c>
      <c r="G2365" s="1" t="s">
        <v>5018</v>
      </c>
      <c r="H2365" s="1">
        <v>0.1</v>
      </c>
      <c r="I2365" s="1">
        <v>0.1</v>
      </c>
      <c r="J2365" s="1">
        <v>0.89110599808952773</v>
      </c>
      <c r="K2365" s="1" t="s">
        <v>181</v>
      </c>
    </row>
    <row r="2366" spans="1:11" x14ac:dyDescent="0.25">
      <c r="A2366" s="1" t="s">
        <v>7491</v>
      </c>
      <c r="B2366" s="1" t="s">
        <v>7492</v>
      </c>
      <c r="C2366" s="1" t="s">
        <v>7493</v>
      </c>
      <c r="D2366" s="1" t="s">
        <v>7494</v>
      </c>
      <c r="E2366" s="1" t="s">
        <v>178</v>
      </c>
      <c r="F2366" s="1" t="s">
        <v>5017</v>
      </c>
      <c r="G2366" s="1" t="s">
        <v>5018</v>
      </c>
      <c r="H2366" s="1">
        <v>0.1</v>
      </c>
      <c r="I2366" s="1">
        <v>0.1</v>
      </c>
      <c r="J2366" s="1">
        <v>0.76524248233086778</v>
      </c>
      <c r="K2366" s="1" t="s">
        <v>181</v>
      </c>
    </row>
    <row r="2367" spans="1:11" x14ac:dyDescent="0.25">
      <c r="A2367" s="1" t="s">
        <v>7495</v>
      </c>
      <c r="B2367" s="1" t="s">
        <v>7496</v>
      </c>
      <c r="C2367" s="1" t="s">
        <v>7497</v>
      </c>
      <c r="D2367" s="1" t="s">
        <v>7498</v>
      </c>
      <c r="E2367" s="1" t="s">
        <v>178</v>
      </c>
      <c r="F2367" s="1" t="s">
        <v>5017</v>
      </c>
      <c r="G2367" s="1" t="s">
        <v>5018</v>
      </c>
      <c r="H2367" s="1">
        <v>0.1</v>
      </c>
      <c r="I2367" s="1">
        <v>0.1</v>
      </c>
      <c r="J2367" s="1">
        <v>0.56499735810060214</v>
      </c>
      <c r="K2367" s="1" t="s">
        <v>181</v>
      </c>
    </row>
    <row r="2368" spans="1:11" x14ac:dyDescent="0.25">
      <c r="A2368" s="1" t="s">
        <v>7499</v>
      </c>
      <c r="B2368" s="1" t="s">
        <v>7500</v>
      </c>
      <c r="C2368" s="1" t="s">
        <v>7501</v>
      </c>
      <c r="D2368" s="1" t="s">
        <v>7502</v>
      </c>
      <c r="E2368" s="1" t="s">
        <v>178</v>
      </c>
      <c r="F2368" s="1" t="s">
        <v>5017</v>
      </c>
      <c r="G2368" s="1" t="s">
        <v>5018</v>
      </c>
      <c r="H2368" s="1">
        <v>0.1</v>
      </c>
      <c r="I2368" s="1">
        <v>0.1</v>
      </c>
      <c r="J2368" s="1">
        <v>0.7338861827889418</v>
      </c>
      <c r="K2368" s="1" t="s">
        <v>181</v>
      </c>
    </row>
    <row r="2369" spans="1:11" x14ac:dyDescent="0.25">
      <c r="A2369" s="1" t="s">
        <v>7503</v>
      </c>
      <c r="B2369" s="1" t="s">
        <v>7504</v>
      </c>
      <c r="C2369" s="1" t="s">
        <v>7505</v>
      </c>
      <c r="D2369" s="1" t="s">
        <v>7506</v>
      </c>
      <c r="E2369" s="1" t="s">
        <v>178</v>
      </c>
      <c r="F2369" s="1" t="s">
        <v>5017</v>
      </c>
      <c r="G2369" s="1" t="s">
        <v>5018</v>
      </c>
      <c r="H2369" s="1">
        <v>0.1</v>
      </c>
      <c r="I2369" s="1">
        <v>0.1</v>
      </c>
      <c r="J2369" s="1">
        <v>1.696241755982892</v>
      </c>
      <c r="K2369" s="1" t="s">
        <v>181</v>
      </c>
    </row>
    <row r="2370" spans="1:11" x14ac:dyDescent="0.25">
      <c r="A2370" s="1" t="s">
        <v>7507</v>
      </c>
      <c r="B2370" s="1" t="s">
        <v>6955</v>
      </c>
      <c r="C2370" s="1" t="s">
        <v>7508</v>
      </c>
      <c r="D2370" s="1" t="s">
        <v>7509</v>
      </c>
      <c r="E2370" s="1" t="s">
        <v>178</v>
      </c>
      <c r="F2370" s="1" t="s">
        <v>5017</v>
      </c>
      <c r="G2370" s="1" t="s">
        <v>5018</v>
      </c>
      <c r="H2370" s="1">
        <v>0.1</v>
      </c>
      <c r="I2370" s="1">
        <v>0.1</v>
      </c>
      <c r="J2370" s="1">
        <v>0.80024988744404835</v>
      </c>
      <c r="K2370" s="1" t="s">
        <v>181</v>
      </c>
    </row>
    <row r="2371" spans="1:11" x14ac:dyDescent="0.25">
      <c r="A2371" s="1" t="s">
        <v>7510</v>
      </c>
      <c r="B2371" s="1" t="s">
        <v>6951</v>
      </c>
      <c r="C2371" s="1" t="s">
        <v>7511</v>
      </c>
      <c r="D2371" s="1" t="s">
        <v>7512</v>
      </c>
      <c r="E2371" s="1" t="s">
        <v>178</v>
      </c>
      <c r="F2371" s="1" t="s">
        <v>5017</v>
      </c>
      <c r="G2371" s="1" t="s">
        <v>5018</v>
      </c>
      <c r="H2371" s="1">
        <v>0.1</v>
      </c>
      <c r="I2371" s="1">
        <v>0.1</v>
      </c>
      <c r="J2371" s="1">
        <v>0.75018257443689895</v>
      </c>
      <c r="K2371" s="1" t="s">
        <v>181</v>
      </c>
    </row>
    <row r="2372" spans="1:11" x14ac:dyDescent="0.25">
      <c r="A2372" s="1" t="s">
        <v>7513</v>
      </c>
      <c r="B2372" s="1" t="s">
        <v>7514</v>
      </c>
      <c r="C2372" s="1" t="s">
        <v>7515</v>
      </c>
      <c r="D2372" s="1" t="s">
        <v>7516</v>
      </c>
      <c r="E2372" s="1" t="s">
        <v>178</v>
      </c>
      <c r="F2372" s="1" t="s">
        <v>5017</v>
      </c>
      <c r="G2372" s="1" t="s">
        <v>5018</v>
      </c>
      <c r="H2372" s="1">
        <v>0.1</v>
      </c>
      <c r="I2372" s="1">
        <v>0.1</v>
      </c>
      <c r="J2372" s="1">
        <v>0.84598146271823815</v>
      </c>
      <c r="K2372" s="1" t="s">
        <v>181</v>
      </c>
    </row>
    <row r="2373" spans="1:11" x14ac:dyDescent="0.25">
      <c r="A2373" s="1" t="s">
        <v>7517</v>
      </c>
      <c r="B2373" s="1" t="s">
        <v>7518</v>
      </c>
      <c r="C2373" s="1" t="s">
        <v>7519</v>
      </c>
      <c r="D2373" s="1" t="s">
        <v>7520</v>
      </c>
      <c r="E2373" s="1" t="s">
        <v>178</v>
      </c>
      <c r="F2373" s="1" t="s">
        <v>5017</v>
      </c>
      <c r="G2373" s="1" t="s">
        <v>5018</v>
      </c>
      <c r="H2373" s="1">
        <v>0.1</v>
      </c>
      <c r="I2373" s="1">
        <v>0.1</v>
      </c>
      <c r="J2373" s="1">
        <v>1.0532173994104563</v>
      </c>
      <c r="K2373" s="1" t="s">
        <v>181</v>
      </c>
    </row>
    <row r="2374" spans="1:11" x14ac:dyDescent="0.25">
      <c r="A2374" s="1" t="s">
        <v>7521</v>
      </c>
      <c r="B2374" s="1" t="s">
        <v>7522</v>
      </c>
      <c r="C2374" s="1" t="s">
        <v>7523</v>
      </c>
      <c r="D2374" s="1" t="s">
        <v>7524</v>
      </c>
      <c r="E2374" s="1" t="s">
        <v>178</v>
      </c>
      <c r="F2374" s="1" t="s">
        <v>5017</v>
      </c>
      <c r="G2374" s="1" t="s">
        <v>5018</v>
      </c>
      <c r="H2374" s="1">
        <v>0.1</v>
      </c>
      <c r="I2374" s="1">
        <v>0.1</v>
      </c>
      <c r="J2374" s="1">
        <v>0.69776034257066843</v>
      </c>
      <c r="K2374" s="1" t="s">
        <v>181</v>
      </c>
    </row>
    <row r="2375" spans="1:11" x14ac:dyDescent="0.25">
      <c r="A2375" s="1" t="s">
        <v>7525</v>
      </c>
      <c r="B2375" s="1" t="s">
        <v>7526</v>
      </c>
      <c r="C2375" s="1" t="s">
        <v>7527</v>
      </c>
      <c r="D2375" s="1" t="s">
        <v>7528</v>
      </c>
      <c r="E2375" s="1" t="s">
        <v>178</v>
      </c>
      <c r="F2375" s="1" t="s">
        <v>5017</v>
      </c>
      <c r="G2375" s="1" t="s">
        <v>5018</v>
      </c>
      <c r="H2375" s="1">
        <v>0.1</v>
      </c>
      <c r="I2375" s="1">
        <v>0.1</v>
      </c>
      <c r="J2375" s="1">
        <v>1.2122293141609164</v>
      </c>
      <c r="K2375" s="1" t="s">
        <v>181</v>
      </c>
    </row>
    <row r="2376" spans="1:11" x14ac:dyDescent="0.25">
      <c r="A2376" s="1" t="s">
        <v>7529</v>
      </c>
      <c r="B2376" s="1" t="s">
        <v>7530</v>
      </c>
      <c r="C2376" s="1" t="s">
        <v>7531</v>
      </c>
      <c r="D2376" s="1" t="s">
        <v>7532</v>
      </c>
      <c r="E2376" s="1" t="s">
        <v>178</v>
      </c>
      <c r="F2376" s="1" t="s">
        <v>5017</v>
      </c>
      <c r="G2376" s="1" t="s">
        <v>5018</v>
      </c>
      <c r="H2376" s="1">
        <v>0.1</v>
      </c>
      <c r="I2376" s="1">
        <v>0.1</v>
      </c>
      <c r="J2376" s="1">
        <v>1.125188347763256</v>
      </c>
      <c r="K2376" s="1" t="s">
        <v>181</v>
      </c>
    </row>
    <row r="2377" spans="1:11" x14ac:dyDescent="0.25">
      <c r="A2377" s="1" t="s">
        <v>7533</v>
      </c>
      <c r="B2377" s="1" t="s">
        <v>7534</v>
      </c>
      <c r="C2377" s="1" t="s">
        <v>7535</v>
      </c>
      <c r="D2377" s="1" t="s">
        <v>7536</v>
      </c>
      <c r="E2377" s="1" t="s">
        <v>178</v>
      </c>
      <c r="F2377" s="1" t="s">
        <v>5017</v>
      </c>
      <c r="G2377" s="1" t="s">
        <v>5018</v>
      </c>
      <c r="H2377" s="1">
        <v>0.1</v>
      </c>
      <c r="I2377" s="1">
        <v>0.1</v>
      </c>
      <c r="J2377" s="1">
        <v>0.84285379981497222</v>
      </c>
      <c r="K2377" s="1" t="s">
        <v>181</v>
      </c>
    </row>
    <row r="2378" spans="1:11" x14ac:dyDescent="0.25">
      <c r="A2378" s="1" t="s">
        <v>7537</v>
      </c>
      <c r="B2378" s="1" t="s">
        <v>7538</v>
      </c>
      <c r="C2378" s="1" t="s">
        <v>7539</v>
      </c>
      <c r="D2378" s="1" t="s">
        <v>7540</v>
      </c>
      <c r="E2378" s="1" t="s">
        <v>178</v>
      </c>
      <c r="F2378" s="1" t="s">
        <v>5017</v>
      </c>
      <c r="G2378" s="1" t="s">
        <v>5018</v>
      </c>
      <c r="H2378" s="1">
        <v>0.1</v>
      </c>
      <c r="I2378" s="1">
        <v>0.1</v>
      </c>
      <c r="J2378" s="1">
        <v>0.85938125835038104</v>
      </c>
      <c r="K2378" s="1" t="s">
        <v>181</v>
      </c>
    </row>
    <row r="2379" spans="1:11" x14ac:dyDescent="0.25">
      <c r="A2379" s="1" t="s">
        <v>7541</v>
      </c>
      <c r="B2379" s="1" t="s">
        <v>7542</v>
      </c>
      <c r="C2379" s="1" t="s">
        <v>7543</v>
      </c>
      <c r="D2379" s="1" t="s">
        <v>7544</v>
      </c>
      <c r="E2379" s="1" t="s">
        <v>178</v>
      </c>
      <c r="F2379" s="1" t="s">
        <v>5017</v>
      </c>
      <c r="G2379" s="1" t="s">
        <v>5018</v>
      </c>
      <c r="H2379" s="1">
        <v>0.1</v>
      </c>
      <c r="I2379" s="1">
        <v>0.1</v>
      </c>
      <c r="J2379" s="1">
        <v>0.78195121560718206</v>
      </c>
      <c r="K2379" s="1" t="s">
        <v>181</v>
      </c>
    </row>
    <row r="2380" spans="1:11" x14ac:dyDescent="0.25">
      <c r="A2380" s="1" t="s">
        <v>7545</v>
      </c>
      <c r="B2380" s="1" t="s">
        <v>7546</v>
      </c>
      <c r="C2380" s="1" t="s">
        <v>7547</v>
      </c>
      <c r="D2380" s="1" t="s">
        <v>7548</v>
      </c>
      <c r="E2380" s="1" t="s">
        <v>178</v>
      </c>
      <c r="F2380" s="1" t="s">
        <v>5017</v>
      </c>
      <c r="G2380" s="1" t="s">
        <v>5018</v>
      </c>
      <c r="H2380" s="1">
        <v>0.1</v>
      </c>
      <c r="I2380" s="1">
        <v>0.1</v>
      </c>
      <c r="J2380" s="1">
        <v>0.6945199879548658</v>
      </c>
      <c r="K2380" s="1" t="s">
        <v>181</v>
      </c>
    </row>
    <row r="2381" spans="1:11" x14ac:dyDescent="0.25">
      <c r="A2381" s="1" t="s">
        <v>7549</v>
      </c>
      <c r="B2381" s="1" t="s">
        <v>6780</v>
      </c>
      <c r="C2381" s="1" t="s">
        <v>7550</v>
      </c>
      <c r="D2381" s="1" t="s">
        <v>7551</v>
      </c>
      <c r="E2381" s="1" t="s">
        <v>178</v>
      </c>
      <c r="F2381" s="1" t="s">
        <v>5017</v>
      </c>
      <c r="G2381" s="1" t="s">
        <v>5018</v>
      </c>
      <c r="H2381" s="1">
        <v>0.1</v>
      </c>
      <c r="I2381" s="1">
        <v>0.1</v>
      </c>
      <c r="J2381" s="1">
        <v>0.90859998798127906</v>
      </c>
      <c r="K2381" s="1" t="s">
        <v>181</v>
      </c>
    </row>
    <row r="2382" spans="1:11" x14ac:dyDescent="0.25">
      <c r="A2382" s="1" t="s">
        <v>7552</v>
      </c>
      <c r="B2382" s="1" t="s">
        <v>7553</v>
      </c>
      <c r="C2382" s="1" t="s">
        <v>7554</v>
      </c>
      <c r="D2382" s="1" t="s">
        <v>7555</v>
      </c>
      <c r="E2382" s="1" t="s">
        <v>178</v>
      </c>
      <c r="F2382" s="1" t="s">
        <v>5017</v>
      </c>
      <c r="G2382" s="1" t="s">
        <v>5018</v>
      </c>
      <c r="H2382" s="1">
        <v>0.1</v>
      </c>
      <c r="I2382" s="1">
        <v>0.1</v>
      </c>
      <c r="J2382" s="1">
        <v>0.81084656624957063</v>
      </c>
      <c r="K2382" s="1" t="s">
        <v>181</v>
      </c>
    </row>
    <row r="2383" spans="1:11" x14ac:dyDescent="0.25">
      <c r="A2383" s="1" t="s">
        <v>7556</v>
      </c>
      <c r="B2383" s="1" t="s">
        <v>7553</v>
      </c>
      <c r="C2383" s="1" t="s">
        <v>7557</v>
      </c>
      <c r="D2383" s="1" t="s">
        <v>7558</v>
      </c>
      <c r="E2383" s="1" t="s">
        <v>178</v>
      </c>
      <c r="F2383" s="1" t="s">
        <v>5017</v>
      </c>
      <c r="G2383" s="1" t="s">
        <v>5018</v>
      </c>
      <c r="H2383" s="1">
        <v>0.1</v>
      </c>
      <c r="I2383" s="1">
        <v>0.1</v>
      </c>
      <c r="J2383" s="1">
        <v>0.81084656624957063</v>
      </c>
      <c r="K2383" s="1" t="s">
        <v>181</v>
      </c>
    </row>
    <row r="2384" spans="1:11" x14ac:dyDescent="0.25">
      <c r="A2384" s="1" t="s">
        <v>7559</v>
      </c>
      <c r="B2384" s="1" t="s">
        <v>7560</v>
      </c>
      <c r="C2384" s="1" t="s">
        <v>7561</v>
      </c>
      <c r="D2384" s="1" t="s">
        <v>7562</v>
      </c>
      <c r="E2384" s="1" t="s">
        <v>178</v>
      </c>
      <c r="F2384" s="1" t="s">
        <v>5017</v>
      </c>
      <c r="G2384" s="1" t="s">
        <v>5018</v>
      </c>
      <c r="H2384" s="1">
        <v>0.1</v>
      </c>
      <c r="I2384" s="1">
        <v>0.1</v>
      </c>
      <c r="J2384" s="1">
        <v>0.87144085801331483</v>
      </c>
      <c r="K2384" s="1" t="s">
        <v>181</v>
      </c>
    </row>
    <row r="2385" spans="1:11" x14ac:dyDescent="0.25">
      <c r="A2385" s="1" t="s">
        <v>7563</v>
      </c>
      <c r="B2385" s="1" t="s">
        <v>7564</v>
      </c>
      <c r="C2385" s="1" t="s">
        <v>7565</v>
      </c>
      <c r="D2385" s="1" t="s">
        <v>7566</v>
      </c>
      <c r="E2385" s="1" t="s">
        <v>178</v>
      </c>
      <c r="F2385" s="1" t="s">
        <v>5017</v>
      </c>
      <c r="G2385" s="1" t="s">
        <v>5018</v>
      </c>
      <c r="H2385" s="1">
        <v>0.1</v>
      </c>
      <c r="I2385" s="1">
        <v>0.1</v>
      </c>
      <c r="J2385" s="1">
        <v>0.89787768186177053</v>
      </c>
      <c r="K2385" s="1" t="s">
        <v>181</v>
      </c>
    </row>
    <row r="2386" spans="1:11" x14ac:dyDescent="0.25">
      <c r="A2386" s="1" t="s">
        <v>7567</v>
      </c>
      <c r="B2386" s="1" t="s">
        <v>7568</v>
      </c>
      <c r="C2386" s="1" t="s">
        <v>7569</v>
      </c>
      <c r="D2386" s="1" t="s">
        <v>7570</v>
      </c>
      <c r="E2386" s="1" t="s">
        <v>178</v>
      </c>
      <c r="F2386" s="1" t="s">
        <v>5017</v>
      </c>
      <c r="G2386" s="1" t="s">
        <v>5018</v>
      </c>
      <c r="H2386" s="1">
        <v>0.1</v>
      </c>
      <c r="I2386" s="1">
        <v>0.1</v>
      </c>
      <c r="J2386" s="1">
        <v>0.91408614375182418</v>
      </c>
      <c r="K2386" s="1" t="s">
        <v>181</v>
      </c>
    </row>
    <row r="2387" spans="1:11" x14ac:dyDescent="0.25">
      <c r="A2387" s="1" t="s">
        <v>7571</v>
      </c>
      <c r="B2387" s="1" t="s">
        <v>7572</v>
      </c>
      <c r="C2387" s="1" t="s">
        <v>7573</v>
      </c>
      <c r="D2387" s="1" t="s">
        <v>7574</v>
      </c>
      <c r="E2387" s="1" t="s">
        <v>178</v>
      </c>
      <c r="F2387" s="1" t="s">
        <v>5017</v>
      </c>
      <c r="G2387" s="1" t="s">
        <v>5018</v>
      </c>
      <c r="H2387" s="1">
        <v>0.1</v>
      </c>
      <c r="I2387" s="1">
        <v>0.1</v>
      </c>
      <c r="J2387" s="1">
        <v>1.1205421315879325</v>
      </c>
      <c r="K2387" s="1" t="s">
        <v>181</v>
      </c>
    </row>
    <row r="2388" spans="1:11" x14ac:dyDescent="0.25">
      <c r="A2388" s="1" t="s">
        <v>7575</v>
      </c>
      <c r="B2388" s="1" t="s">
        <v>7560</v>
      </c>
      <c r="C2388" s="1" t="s">
        <v>7576</v>
      </c>
      <c r="D2388" s="1" t="s">
        <v>7577</v>
      </c>
      <c r="E2388" s="1" t="s">
        <v>178</v>
      </c>
      <c r="F2388" s="1" t="s">
        <v>5017</v>
      </c>
      <c r="G2388" s="1" t="s">
        <v>5018</v>
      </c>
      <c r="H2388" s="1">
        <v>0.1</v>
      </c>
      <c r="I2388" s="1">
        <v>0.1</v>
      </c>
      <c r="J2388" s="1">
        <v>0.94547809253571213</v>
      </c>
      <c r="K2388" s="1" t="s">
        <v>181</v>
      </c>
    </row>
    <row r="2389" spans="1:11" x14ac:dyDescent="0.25">
      <c r="A2389" s="1" t="s">
        <v>7578</v>
      </c>
      <c r="B2389" s="1" t="s">
        <v>7579</v>
      </c>
      <c r="C2389" s="1" t="s">
        <v>7580</v>
      </c>
      <c r="D2389" s="1" t="s">
        <v>7581</v>
      </c>
      <c r="E2389" s="1" t="s">
        <v>178</v>
      </c>
      <c r="F2389" s="1" t="s">
        <v>5017</v>
      </c>
      <c r="G2389" s="1" t="s">
        <v>5018</v>
      </c>
      <c r="H2389" s="1">
        <v>0.1</v>
      </c>
      <c r="I2389" s="1">
        <v>0.1</v>
      </c>
      <c r="J2389" s="1">
        <v>0.84440370868338155</v>
      </c>
      <c r="K2389" s="1" t="s">
        <v>181</v>
      </c>
    </row>
    <row r="2390" spans="1:11" x14ac:dyDescent="0.25">
      <c r="A2390" s="1" t="s">
        <v>7582</v>
      </c>
      <c r="B2390" s="1" t="s">
        <v>7583</v>
      </c>
      <c r="C2390" s="1" t="s">
        <v>7584</v>
      </c>
      <c r="D2390" s="1" t="s">
        <v>7585</v>
      </c>
      <c r="E2390" s="1" t="s">
        <v>178</v>
      </c>
      <c r="F2390" s="1" t="s">
        <v>5017</v>
      </c>
      <c r="G2390" s="1" t="s">
        <v>5018</v>
      </c>
      <c r="H2390" s="1">
        <v>0.1</v>
      </c>
      <c r="I2390" s="1">
        <v>0.1</v>
      </c>
      <c r="J2390" s="1">
        <v>0.65501875069717719</v>
      </c>
      <c r="K2390" s="1" t="s">
        <v>181</v>
      </c>
    </row>
    <row r="2391" spans="1:11" x14ac:dyDescent="0.25">
      <c r="A2391" s="1" t="s">
        <v>7586</v>
      </c>
      <c r="B2391" s="1" t="s">
        <v>7587</v>
      </c>
      <c r="C2391" s="1" t="s">
        <v>7588</v>
      </c>
      <c r="D2391" s="1" t="s">
        <v>7589</v>
      </c>
      <c r="E2391" s="1" t="s">
        <v>178</v>
      </c>
      <c r="F2391" s="1" t="s">
        <v>5017</v>
      </c>
      <c r="G2391" s="1" t="s">
        <v>5018</v>
      </c>
      <c r="H2391" s="1">
        <v>0.1</v>
      </c>
      <c r="I2391" s="1">
        <v>0.1</v>
      </c>
      <c r="J2391" s="1">
        <v>0.94343550861941328</v>
      </c>
      <c r="K2391" s="1" t="s">
        <v>181</v>
      </c>
    </row>
    <row r="2392" spans="1:11" x14ac:dyDescent="0.25">
      <c r="A2392" s="1" t="s">
        <v>7590</v>
      </c>
      <c r="B2392" s="1" t="s">
        <v>7591</v>
      </c>
      <c r="C2392" s="1" t="s">
        <v>7592</v>
      </c>
      <c r="D2392" s="1" t="s">
        <v>7593</v>
      </c>
      <c r="E2392" s="1" t="s">
        <v>178</v>
      </c>
      <c r="F2392" s="1" t="s">
        <v>5017</v>
      </c>
      <c r="G2392" s="1" t="s">
        <v>5018</v>
      </c>
      <c r="H2392" s="1">
        <v>0.1</v>
      </c>
      <c r="I2392" s="1">
        <v>0.1</v>
      </c>
      <c r="J2392" s="1">
        <v>0.99844351559577849</v>
      </c>
      <c r="K2392" s="1" t="s">
        <v>181</v>
      </c>
    </row>
    <row r="2393" spans="1:11" x14ac:dyDescent="0.25">
      <c r="A2393" s="1" t="s">
        <v>7594</v>
      </c>
      <c r="B2393" s="1" t="s">
        <v>7595</v>
      </c>
      <c r="C2393" s="1" t="s">
        <v>7596</v>
      </c>
      <c r="D2393" s="1" t="s">
        <v>7597</v>
      </c>
      <c r="E2393" s="1" t="s">
        <v>178</v>
      </c>
      <c r="F2393" s="1" t="s">
        <v>5017</v>
      </c>
      <c r="G2393" s="1" t="s">
        <v>5018</v>
      </c>
      <c r="H2393" s="1">
        <v>0.1</v>
      </c>
      <c r="I2393" s="1">
        <v>0.1</v>
      </c>
      <c r="J2393" s="1">
        <v>0.86155764813014368</v>
      </c>
      <c r="K2393" s="1" t="s">
        <v>181</v>
      </c>
    </row>
    <row r="2394" spans="1:11" x14ac:dyDescent="0.25">
      <c r="A2394" s="1" t="s">
        <v>7598</v>
      </c>
      <c r="B2394" s="1" t="s">
        <v>7599</v>
      </c>
      <c r="C2394" s="1" t="s">
        <v>7600</v>
      </c>
      <c r="D2394" s="1" t="s">
        <v>7601</v>
      </c>
      <c r="E2394" s="1" t="s">
        <v>178</v>
      </c>
      <c r="F2394" s="1" t="s">
        <v>5017</v>
      </c>
      <c r="G2394" s="1" t="s">
        <v>5018</v>
      </c>
      <c r="H2394" s="1">
        <v>0.1</v>
      </c>
      <c r="I2394" s="1">
        <v>0.1</v>
      </c>
      <c r="J2394" s="1">
        <v>0.75953243349065958</v>
      </c>
      <c r="K2394" s="1" t="s">
        <v>181</v>
      </c>
    </row>
    <row r="2395" spans="1:11" x14ac:dyDescent="0.25">
      <c r="A2395" s="1" t="s">
        <v>7602</v>
      </c>
      <c r="B2395" s="1" t="s">
        <v>7603</v>
      </c>
      <c r="C2395" s="1" t="s">
        <v>7604</v>
      </c>
      <c r="D2395" s="1" t="s">
        <v>7605</v>
      </c>
      <c r="E2395" s="1" t="s">
        <v>178</v>
      </c>
      <c r="F2395" s="1" t="s">
        <v>5017</v>
      </c>
      <c r="G2395" s="1" t="s">
        <v>5018</v>
      </c>
      <c r="H2395" s="1">
        <v>0.1</v>
      </c>
      <c r="I2395" s="1">
        <v>0.1</v>
      </c>
      <c r="J2395" s="1">
        <v>0.93291618850874691</v>
      </c>
      <c r="K2395" s="1" t="s">
        <v>181</v>
      </c>
    </row>
    <row r="2396" spans="1:11" x14ac:dyDescent="0.25">
      <c r="A2396" s="1" t="s">
        <v>7606</v>
      </c>
      <c r="B2396" s="1" t="s">
        <v>7607</v>
      </c>
      <c r="C2396" s="1" t="s">
        <v>7608</v>
      </c>
      <c r="D2396" s="1" t="s">
        <v>7609</v>
      </c>
      <c r="E2396" s="1" t="s">
        <v>178</v>
      </c>
      <c r="F2396" s="1" t="s">
        <v>5017</v>
      </c>
      <c r="G2396" s="1" t="s">
        <v>5018</v>
      </c>
      <c r="H2396" s="1">
        <v>0.1</v>
      </c>
      <c r="I2396" s="1">
        <v>0.1</v>
      </c>
      <c r="J2396" s="1">
        <v>0.85665727402080538</v>
      </c>
      <c r="K2396" s="1" t="s">
        <v>181</v>
      </c>
    </row>
    <row r="2397" spans="1:11" x14ac:dyDescent="0.25">
      <c r="A2397" s="1" t="s">
        <v>7610</v>
      </c>
      <c r="B2397" s="1" t="s">
        <v>7607</v>
      </c>
      <c r="C2397" s="1" t="s">
        <v>7611</v>
      </c>
      <c r="D2397" s="1" t="s">
        <v>7612</v>
      </c>
      <c r="E2397" s="1" t="s">
        <v>178</v>
      </c>
      <c r="F2397" s="1" t="s">
        <v>5017</v>
      </c>
      <c r="G2397" s="1" t="s">
        <v>5018</v>
      </c>
      <c r="H2397" s="1">
        <v>0.1</v>
      </c>
      <c r="I2397" s="1">
        <v>0.1</v>
      </c>
      <c r="J2397" s="1">
        <v>0.93306817954083809</v>
      </c>
      <c r="K2397" s="1" t="s">
        <v>181</v>
      </c>
    </row>
    <row r="2398" spans="1:11" x14ac:dyDescent="0.25">
      <c r="A2398" s="1" t="s">
        <v>7613</v>
      </c>
      <c r="B2398" s="1" t="s">
        <v>7607</v>
      </c>
      <c r="C2398" s="1" t="s">
        <v>7614</v>
      </c>
      <c r="D2398" s="1" t="s">
        <v>7615</v>
      </c>
      <c r="E2398" s="1" t="s">
        <v>178</v>
      </c>
      <c r="F2398" s="1" t="s">
        <v>5017</v>
      </c>
      <c r="G2398" s="1" t="s">
        <v>5018</v>
      </c>
      <c r="H2398" s="1">
        <v>0.1</v>
      </c>
      <c r="I2398" s="1">
        <v>0.1</v>
      </c>
      <c r="J2398" s="1">
        <v>0.83240489686422892</v>
      </c>
      <c r="K2398" s="1" t="s">
        <v>181</v>
      </c>
    </row>
    <row r="2399" spans="1:11" x14ac:dyDescent="0.25">
      <c r="A2399" s="1" t="s">
        <v>7616</v>
      </c>
      <c r="B2399" s="1" t="s">
        <v>7617</v>
      </c>
      <c r="C2399" s="1" t="s">
        <v>7618</v>
      </c>
      <c r="D2399" s="1" t="s">
        <v>7619</v>
      </c>
      <c r="E2399" s="1" t="s">
        <v>178</v>
      </c>
      <c r="F2399" s="1" t="s">
        <v>5017</v>
      </c>
      <c r="G2399" s="1" t="s">
        <v>5018</v>
      </c>
      <c r="H2399" s="1">
        <v>0.1</v>
      </c>
      <c r="I2399" s="1">
        <v>0.1</v>
      </c>
      <c r="J2399" s="1">
        <v>0.59535593124035324</v>
      </c>
      <c r="K2399" s="1" t="s">
        <v>181</v>
      </c>
    </row>
    <row r="2400" spans="1:11" x14ac:dyDescent="0.25">
      <c r="A2400" s="1" t="s">
        <v>7620</v>
      </c>
      <c r="B2400" s="1" t="s">
        <v>7617</v>
      </c>
      <c r="C2400" s="1" t="s">
        <v>7621</v>
      </c>
      <c r="D2400" s="1" t="s">
        <v>7622</v>
      </c>
      <c r="E2400" s="1" t="s">
        <v>178</v>
      </c>
      <c r="F2400" s="1" t="s">
        <v>5017</v>
      </c>
      <c r="G2400" s="1" t="s">
        <v>5018</v>
      </c>
      <c r="H2400" s="1">
        <v>0.1</v>
      </c>
      <c r="I2400" s="1">
        <v>0.1</v>
      </c>
      <c r="J2400" s="1">
        <v>0.69467759568774912</v>
      </c>
      <c r="K2400" s="1" t="s">
        <v>181</v>
      </c>
    </row>
    <row r="2401" spans="1:11" x14ac:dyDescent="0.25">
      <c r="A2401" s="1" t="s">
        <v>7623</v>
      </c>
      <c r="B2401" s="1" t="s">
        <v>7617</v>
      </c>
      <c r="C2401" s="1" t="s">
        <v>7624</v>
      </c>
      <c r="D2401" s="1" t="s">
        <v>7625</v>
      </c>
      <c r="E2401" s="1" t="s">
        <v>178</v>
      </c>
      <c r="F2401" s="1" t="s">
        <v>5017</v>
      </c>
      <c r="G2401" s="1" t="s">
        <v>5018</v>
      </c>
      <c r="H2401" s="1">
        <v>0.1</v>
      </c>
      <c r="I2401" s="1">
        <v>0.1</v>
      </c>
      <c r="J2401" s="1">
        <v>0.59682462236582756</v>
      </c>
      <c r="K2401" s="1" t="s">
        <v>181</v>
      </c>
    </row>
    <row r="2402" spans="1:11" x14ac:dyDescent="0.25">
      <c r="A2402" s="1" t="s">
        <v>7626</v>
      </c>
      <c r="B2402" s="1" t="s">
        <v>7617</v>
      </c>
      <c r="C2402" s="1" t="s">
        <v>7627</v>
      </c>
      <c r="D2402" s="1" t="s">
        <v>7628</v>
      </c>
      <c r="E2402" s="1" t="s">
        <v>178</v>
      </c>
      <c r="F2402" s="1" t="s">
        <v>5017</v>
      </c>
      <c r="G2402" s="1" t="s">
        <v>5018</v>
      </c>
      <c r="H2402" s="1">
        <v>0.1</v>
      </c>
      <c r="I2402" s="1">
        <v>0.1</v>
      </c>
      <c r="J2402" s="1">
        <v>0.59535593124035324</v>
      </c>
      <c r="K2402" s="1" t="s">
        <v>181</v>
      </c>
    </row>
    <row r="2403" spans="1:11" x14ac:dyDescent="0.25">
      <c r="A2403" s="1" t="s">
        <v>7629</v>
      </c>
      <c r="B2403" s="1" t="s">
        <v>7617</v>
      </c>
      <c r="C2403" s="1" t="s">
        <v>7630</v>
      </c>
      <c r="D2403" s="1" t="s">
        <v>7631</v>
      </c>
      <c r="E2403" s="1" t="s">
        <v>178</v>
      </c>
      <c r="F2403" s="1" t="s">
        <v>5017</v>
      </c>
      <c r="G2403" s="1" t="s">
        <v>5018</v>
      </c>
      <c r="H2403" s="1">
        <v>0.1</v>
      </c>
      <c r="I2403" s="1">
        <v>0.1</v>
      </c>
      <c r="J2403" s="1">
        <v>0.65083674183166829</v>
      </c>
      <c r="K2403" s="1" t="s">
        <v>181</v>
      </c>
    </row>
    <row r="2404" spans="1:11" x14ac:dyDescent="0.25">
      <c r="A2404" s="1" t="s">
        <v>7632</v>
      </c>
      <c r="B2404" s="1" t="s">
        <v>7617</v>
      </c>
      <c r="C2404" s="1" t="s">
        <v>7633</v>
      </c>
      <c r="D2404" s="1" t="s">
        <v>7634</v>
      </c>
      <c r="E2404" s="1" t="s">
        <v>178</v>
      </c>
      <c r="F2404" s="1" t="s">
        <v>5017</v>
      </c>
      <c r="G2404" s="1" t="s">
        <v>5018</v>
      </c>
      <c r="H2404" s="1">
        <v>0.1</v>
      </c>
      <c r="I2404" s="1">
        <v>0.1</v>
      </c>
      <c r="J2404" s="1">
        <v>0.64058813510141988</v>
      </c>
      <c r="K2404" s="1" t="s">
        <v>181</v>
      </c>
    </row>
    <row r="2405" spans="1:11" x14ac:dyDescent="0.25">
      <c r="A2405" s="1" t="s">
        <v>7635</v>
      </c>
      <c r="B2405" s="1" t="s">
        <v>7617</v>
      </c>
      <c r="C2405" s="1" t="s">
        <v>7636</v>
      </c>
      <c r="D2405" s="1" t="s">
        <v>7637</v>
      </c>
      <c r="E2405" s="1" t="s">
        <v>178</v>
      </c>
      <c r="F2405" s="1" t="s">
        <v>5017</v>
      </c>
      <c r="G2405" s="1" t="s">
        <v>5018</v>
      </c>
      <c r="H2405" s="1">
        <v>0.1</v>
      </c>
      <c r="I2405" s="1">
        <v>0.1</v>
      </c>
      <c r="J2405" s="1">
        <v>0.86016298108725009</v>
      </c>
      <c r="K2405" s="1" t="s">
        <v>181</v>
      </c>
    </row>
    <row r="2406" spans="1:11" x14ac:dyDescent="0.25">
      <c r="A2406" s="1" t="s">
        <v>81</v>
      </c>
      <c r="B2406" s="1" t="s">
        <v>7617</v>
      </c>
      <c r="C2406" s="1" t="s">
        <v>7638</v>
      </c>
      <c r="D2406" s="1" t="s">
        <v>7639</v>
      </c>
      <c r="E2406" s="1" t="s">
        <v>178</v>
      </c>
      <c r="F2406" s="1" t="s">
        <v>5017</v>
      </c>
      <c r="G2406" s="1" t="s">
        <v>5018</v>
      </c>
      <c r="H2406" s="1">
        <v>0.1</v>
      </c>
      <c r="I2406" s="1">
        <v>0.1</v>
      </c>
      <c r="J2406" s="1">
        <v>0.96052946807161987</v>
      </c>
      <c r="K2406" s="1" t="s">
        <v>181</v>
      </c>
    </row>
    <row r="2407" spans="1:11" x14ac:dyDescent="0.25">
      <c r="A2407" s="1" t="s">
        <v>82</v>
      </c>
      <c r="B2407" s="1" t="s">
        <v>7617</v>
      </c>
      <c r="C2407" s="1" t="s">
        <v>7640</v>
      </c>
      <c r="D2407" s="1" t="s">
        <v>7641</v>
      </c>
      <c r="E2407" s="1" t="s">
        <v>178</v>
      </c>
      <c r="F2407" s="1" t="s">
        <v>5017</v>
      </c>
      <c r="G2407" s="1" t="s">
        <v>5018</v>
      </c>
      <c r="H2407" s="1">
        <v>0.1</v>
      </c>
      <c r="I2407" s="1">
        <v>0.1</v>
      </c>
      <c r="J2407" s="1">
        <v>0.88636053635882261</v>
      </c>
      <c r="K2407" s="1" t="s">
        <v>181</v>
      </c>
    </row>
    <row r="2408" spans="1:11" x14ac:dyDescent="0.25">
      <c r="A2408" s="1" t="s">
        <v>15</v>
      </c>
      <c r="B2408" s="1" t="s">
        <v>7617</v>
      </c>
      <c r="C2408" s="1" t="s">
        <v>7642</v>
      </c>
      <c r="D2408" s="1" t="s">
        <v>7643</v>
      </c>
      <c r="E2408" s="1" t="s">
        <v>178</v>
      </c>
      <c r="F2408" s="1" t="s">
        <v>5017</v>
      </c>
      <c r="G2408" s="1" t="s">
        <v>5018</v>
      </c>
      <c r="H2408" s="1">
        <v>0.1</v>
      </c>
      <c r="I2408" s="1">
        <v>0.1</v>
      </c>
      <c r="J2408" s="1">
        <v>1.0316846578304066</v>
      </c>
      <c r="K2408" s="1" t="s">
        <v>181</v>
      </c>
    </row>
    <row r="2409" spans="1:11" x14ac:dyDescent="0.25">
      <c r="A2409" s="1" t="s">
        <v>83</v>
      </c>
      <c r="B2409" s="1" t="s">
        <v>7617</v>
      </c>
      <c r="C2409" s="1" t="s">
        <v>7644</v>
      </c>
      <c r="D2409" s="1" t="s">
        <v>7645</v>
      </c>
      <c r="E2409" s="1" t="s">
        <v>178</v>
      </c>
      <c r="F2409" s="1" t="s">
        <v>5017</v>
      </c>
      <c r="G2409" s="1" t="s">
        <v>5018</v>
      </c>
      <c r="H2409" s="1">
        <v>0.1</v>
      </c>
      <c r="I2409" s="1">
        <v>0.1</v>
      </c>
      <c r="J2409" s="1">
        <v>1.0316846578304066</v>
      </c>
      <c r="K2409" s="1" t="s">
        <v>181</v>
      </c>
    </row>
    <row r="2410" spans="1:11" x14ac:dyDescent="0.25">
      <c r="A2410" s="1" t="s">
        <v>7646</v>
      </c>
      <c r="B2410" s="1" t="s">
        <v>7617</v>
      </c>
      <c r="C2410" s="1" t="s">
        <v>7647</v>
      </c>
      <c r="D2410" s="1" t="s">
        <v>7648</v>
      </c>
      <c r="E2410" s="1" t="s">
        <v>178</v>
      </c>
      <c r="F2410" s="1" t="s">
        <v>5017</v>
      </c>
      <c r="G2410" s="1" t="s">
        <v>5018</v>
      </c>
      <c r="H2410" s="1">
        <v>0.1</v>
      </c>
      <c r="I2410" s="1">
        <v>0.1</v>
      </c>
      <c r="J2410" s="1">
        <v>0.88636053635882261</v>
      </c>
      <c r="K2410" s="1" t="s">
        <v>181</v>
      </c>
    </row>
    <row r="2411" spans="1:11" x14ac:dyDescent="0.25">
      <c r="A2411" s="1" t="s">
        <v>7649</v>
      </c>
      <c r="B2411" s="1" t="s">
        <v>7564</v>
      </c>
      <c r="C2411" s="1" t="s">
        <v>7650</v>
      </c>
      <c r="D2411" s="1" t="s">
        <v>7651</v>
      </c>
      <c r="E2411" s="1" t="s">
        <v>178</v>
      </c>
      <c r="F2411" s="1" t="s">
        <v>5017</v>
      </c>
      <c r="G2411" s="1" t="s">
        <v>5018</v>
      </c>
      <c r="H2411" s="1">
        <v>0.1</v>
      </c>
      <c r="I2411" s="1">
        <v>0.1</v>
      </c>
      <c r="J2411" s="1">
        <v>0.89787768186177053</v>
      </c>
      <c r="K2411" s="1" t="s">
        <v>181</v>
      </c>
    </row>
    <row r="2412" spans="1:11" x14ac:dyDescent="0.25">
      <c r="A2412" s="1" t="s">
        <v>7652</v>
      </c>
      <c r="B2412" s="1" t="s">
        <v>7560</v>
      </c>
      <c r="C2412" s="1" t="s">
        <v>7653</v>
      </c>
      <c r="D2412" s="1" t="s">
        <v>7654</v>
      </c>
      <c r="E2412" s="1" t="s">
        <v>178</v>
      </c>
      <c r="F2412" s="1" t="s">
        <v>5017</v>
      </c>
      <c r="G2412" s="1" t="s">
        <v>5018</v>
      </c>
      <c r="H2412" s="1">
        <v>0.1</v>
      </c>
      <c r="I2412" s="1">
        <v>0.1</v>
      </c>
      <c r="J2412" s="1">
        <v>0.99742704953493588</v>
      </c>
      <c r="K2412" s="1" t="s">
        <v>181</v>
      </c>
    </row>
    <row r="2413" spans="1:11" x14ac:dyDescent="0.25">
      <c r="A2413" s="1" t="s">
        <v>7655</v>
      </c>
      <c r="B2413" s="1" t="s">
        <v>7560</v>
      </c>
      <c r="C2413" s="1" t="s">
        <v>7656</v>
      </c>
      <c r="D2413" s="1" t="s">
        <v>7657</v>
      </c>
      <c r="E2413" s="1" t="s">
        <v>178</v>
      </c>
      <c r="F2413" s="1" t="s">
        <v>5017</v>
      </c>
      <c r="G2413" s="1" t="s">
        <v>5018</v>
      </c>
      <c r="H2413" s="1">
        <v>0.1</v>
      </c>
      <c r="I2413" s="1">
        <v>0.1</v>
      </c>
      <c r="J2413" s="1">
        <v>0.87144085801331483</v>
      </c>
      <c r="K2413" s="1" t="s">
        <v>181</v>
      </c>
    </row>
    <row r="2414" spans="1:11" x14ac:dyDescent="0.25">
      <c r="A2414" s="1" t="s">
        <v>13</v>
      </c>
      <c r="B2414" s="1" t="s">
        <v>7564</v>
      </c>
      <c r="C2414" s="1" t="s">
        <v>7658</v>
      </c>
      <c r="D2414" s="1" t="s">
        <v>7659</v>
      </c>
      <c r="E2414" s="1" t="s">
        <v>178</v>
      </c>
      <c r="F2414" s="1" t="s">
        <v>5017</v>
      </c>
      <c r="G2414" s="1" t="s">
        <v>5018</v>
      </c>
      <c r="H2414" s="1">
        <v>0.1</v>
      </c>
      <c r="I2414" s="1">
        <v>0.1</v>
      </c>
      <c r="J2414" s="1">
        <v>1.0383803715931099</v>
      </c>
      <c r="K2414" s="1" t="s">
        <v>181</v>
      </c>
    </row>
    <row r="2415" spans="1:11" x14ac:dyDescent="0.25">
      <c r="A2415" s="1" t="s">
        <v>7660</v>
      </c>
      <c r="B2415" s="1" t="s">
        <v>7560</v>
      </c>
      <c r="C2415" s="1" t="s">
        <v>7661</v>
      </c>
      <c r="D2415" s="1" t="s">
        <v>7662</v>
      </c>
      <c r="E2415" s="1" t="s">
        <v>178</v>
      </c>
      <c r="F2415" s="1" t="s">
        <v>5017</v>
      </c>
      <c r="G2415" s="1" t="s">
        <v>5018</v>
      </c>
      <c r="H2415" s="1">
        <v>0.1</v>
      </c>
      <c r="I2415" s="1">
        <v>0.1</v>
      </c>
      <c r="J2415" s="1">
        <v>0.87144085801331483</v>
      </c>
      <c r="K2415" s="1" t="s">
        <v>181</v>
      </c>
    </row>
    <row r="2416" spans="1:11" x14ac:dyDescent="0.25">
      <c r="A2416" s="1" t="s">
        <v>7663</v>
      </c>
      <c r="B2416" s="1" t="s">
        <v>7560</v>
      </c>
      <c r="C2416" s="1" t="s">
        <v>7664</v>
      </c>
      <c r="D2416" s="1" t="s">
        <v>7665</v>
      </c>
      <c r="E2416" s="1" t="s">
        <v>178</v>
      </c>
      <c r="F2416" s="1" t="s">
        <v>5017</v>
      </c>
      <c r="G2416" s="1" t="s">
        <v>5018</v>
      </c>
      <c r="H2416" s="1">
        <v>0.1</v>
      </c>
      <c r="I2416" s="1">
        <v>0.1</v>
      </c>
      <c r="J2416" s="1">
        <v>0.87144085801331483</v>
      </c>
      <c r="K2416" s="1" t="s">
        <v>181</v>
      </c>
    </row>
    <row r="2417" spans="1:11" x14ac:dyDescent="0.25">
      <c r="A2417" s="1" t="s">
        <v>7666</v>
      </c>
      <c r="B2417" s="1" t="s">
        <v>7560</v>
      </c>
      <c r="C2417" s="1" t="s">
        <v>7667</v>
      </c>
      <c r="D2417" s="1" t="s">
        <v>7668</v>
      </c>
      <c r="E2417" s="1" t="s">
        <v>178</v>
      </c>
      <c r="F2417" s="1" t="s">
        <v>5017</v>
      </c>
      <c r="G2417" s="1" t="s">
        <v>5018</v>
      </c>
      <c r="H2417" s="1">
        <v>0.1</v>
      </c>
      <c r="I2417" s="1">
        <v>0.1</v>
      </c>
      <c r="J2417" s="1">
        <v>0.8315944474847361</v>
      </c>
      <c r="K2417" s="1" t="s">
        <v>181</v>
      </c>
    </row>
    <row r="2418" spans="1:11" x14ac:dyDescent="0.25">
      <c r="A2418" s="1" t="s">
        <v>7669</v>
      </c>
      <c r="B2418" s="1" t="s">
        <v>7560</v>
      </c>
      <c r="C2418" s="1" t="s">
        <v>7670</v>
      </c>
      <c r="D2418" s="1" t="s">
        <v>7671</v>
      </c>
      <c r="E2418" s="1" t="s">
        <v>178</v>
      </c>
      <c r="F2418" s="1" t="s">
        <v>5017</v>
      </c>
      <c r="G2418" s="1" t="s">
        <v>5018</v>
      </c>
      <c r="H2418" s="1">
        <v>0.1</v>
      </c>
      <c r="I2418" s="1">
        <v>0.1</v>
      </c>
      <c r="J2418" s="1">
        <v>0.87144085801331483</v>
      </c>
      <c r="K2418" s="1" t="s">
        <v>181</v>
      </c>
    </row>
    <row r="2419" spans="1:11" x14ac:dyDescent="0.25">
      <c r="A2419" s="1" t="s">
        <v>7672</v>
      </c>
      <c r="B2419" s="1" t="s">
        <v>7560</v>
      </c>
      <c r="C2419" s="1" t="s">
        <v>7673</v>
      </c>
      <c r="D2419" s="1" t="s">
        <v>7674</v>
      </c>
      <c r="E2419" s="1" t="s">
        <v>178</v>
      </c>
      <c r="F2419" s="1" t="s">
        <v>5017</v>
      </c>
      <c r="G2419" s="1" t="s">
        <v>5018</v>
      </c>
      <c r="H2419" s="1">
        <v>0.1</v>
      </c>
      <c r="I2419" s="1">
        <v>0.1</v>
      </c>
      <c r="J2419" s="1">
        <v>0.94547809253571213</v>
      </c>
      <c r="K2419" s="1" t="s">
        <v>181</v>
      </c>
    </row>
    <row r="2420" spans="1:11" x14ac:dyDescent="0.25">
      <c r="A2420" s="1" t="s">
        <v>7675</v>
      </c>
      <c r="B2420" s="1" t="s">
        <v>1200</v>
      </c>
      <c r="C2420" s="1" t="s">
        <v>7676</v>
      </c>
      <c r="D2420" s="1" t="s">
        <v>7677</v>
      </c>
      <c r="E2420" s="1" t="s">
        <v>178</v>
      </c>
      <c r="F2420" s="1" t="s">
        <v>5017</v>
      </c>
      <c r="G2420" s="1" t="s">
        <v>5018</v>
      </c>
      <c r="H2420" s="1">
        <v>0.1</v>
      </c>
      <c r="I2420" s="1">
        <v>0.1</v>
      </c>
      <c r="J2420" s="1">
        <v>0.66177785366124597</v>
      </c>
      <c r="K2420" s="1" t="s">
        <v>181</v>
      </c>
    </row>
    <row r="2421" spans="1:11" x14ac:dyDescent="0.25">
      <c r="A2421" s="1" t="s">
        <v>16</v>
      </c>
      <c r="B2421" s="1" t="s">
        <v>311</v>
      </c>
      <c r="C2421" s="1" t="s">
        <v>7678</v>
      </c>
      <c r="D2421" s="1" t="s">
        <v>7679</v>
      </c>
      <c r="E2421" s="1" t="s">
        <v>178</v>
      </c>
      <c r="F2421" s="1" t="s">
        <v>5017</v>
      </c>
      <c r="G2421" s="1" t="s">
        <v>5018</v>
      </c>
      <c r="H2421" s="1">
        <v>0.1</v>
      </c>
      <c r="I2421" s="1">
        <v>0.1</v>
      </c>
      <c r="J2421" s="1">
        <v>2.4132162425187982</v>
      </c>
      <c r="K2421" s="1" t="s">
        <v>181</v>
      </c>
    </row>
    <row r="2422" spans="1:11" x14ac:dyDescent="0.25">
      <c r="A2422" s="1" t="s">
        <v>7680</v>
      </c>
      <c r="B2422" s="1" t="s">
        <v>7681</v>
      </c>
      <c r="C2422" s="1" t="s">
        <v>7682</v>
      </c>
      <c r="D2422" s="1" t="s">
        <v>7683</v>
      </c>
      <c r="E2422" s="1" t="s">
        <v>178</v>
      </c>
      <c r="F2422" s="1" t="s">
        <v>5017</v>
      </c>
      <c r="G2422" s="1" t="s">
        <v>5018</v>
      </c>
      <c r="H2422" s="1">
        <v>0.1</v>
      </c>
      <c r="I2422" s="1">
        <v>0.1</v>
      </c>
      <c r="J2422" s="1">
        <v>0.90890007453992028</v>
      </c>
      <c r="K2422" s="1" t="s">
        <v>181</v>
      </c>
    </row>
    <row r="2423" spans="1:11" x14ac:dyDescent="0.25">
      <c r="A2423" s="1" t="s">
        <v>7684</v>
      </c>
      <c r="B2423" s="1" t="s">
        <v>7603</v>
      </c>
      <c r="C2423" s="1" t="s">
        <v>7685</v>
      </c>
      <c r="D2423" s="1" t="s">
        <v>7686</v>
      </c>
      <c r="E2423" s="1" t="s">
        <v>178</v>
      </c>
      <c r="F2423" s="1" t="s">
        <v>5017</v>
      </c>
      <c r="G2423" s="1" t="s">
        <v>5018</v>
      </c>
      <c r="H2423" s="1">
        <v>0.1</v>
      </c>
      <c r="I2423" s="1">
        <v>0.1</v>
      </c>
      <c r="J2423" s="1">
        <v>0.68233431754750751</v>
      </c>
      <c r="K2423" s="1" t="s">
        <v>181</v>
      </c>
    </row>
    <row r="2424" spans="1:11" x14ac:dyDescent="0.25">
      <c r="A2424" s="1" t="s">
        <v>7687</v>
      </c>
      <c r="B2424" s="1" t="s">
        <v>7688</v>
      </c>
      <c r="C2424" s="1" t="s">
        <v>7689</v>
      </c>
      <c r="D2424" s="1" t="s">
        <v>7690</v>
      </c>
      <c r="E2424" s="1" t="s">
        <v>178</v>
      </c>
      <c r="F2424" s="1" t="s">
        <v>5017</v>
      </c>
      <c r="G2424" s="1" t="s">
        <v>5018</v>
      </c>
      <c r="H2424" s="1">
        <v>0.1</v>
      </c>
      <c r="I2424" s="1">
        <v>0.1</v>
      </c>
      <c r="J2424" s="1">
        <v>0.69975082073426387</v>
      </c>
      <c r="K2424" s="1" t="s">
        <v>181</v>
      </c>
    </row>
    <row r="2425" spans="1:11" x14ac:dyDescent="0.25">
      <c r="A2425" s="1" t="s">
        <v>7691</v>
      </c>
      <c r="B2425" s="1" t="s">
        <v>7692</v>
      </c>
      <c r="C2425" s="1" t="s">
        <v>7693</v>
      </c>
      <c r="D2425" s="1" t="s">
        <v>7694</v>
      </c>
      <c r="E2425" s="1" t="s">
        <v>178</v>
      </c>
      <c r="F2425" s="1" t="s">
        <v>5017</v>
      </c>
      <c r="G2425" s="1" t="s">
        <v>5018</v>
      </c>
      <c r="H2425" s="1">
        <v>0.1</v>
      </c>
      <c r="I2425" s="1">
        <v>0.1</v>
      </c>
      <c r="J2425" s="1">
        <v>0.73801321781209694</v>
      </c>
      <c r="K2425" s="1" t="s">
        <v>181</v>
      </c>
    </row>
    <row r="2426" spans="1:11" x14ac:dyDescent="0.25">
      <c r="A2426" s="1" t="s">
        <v>7695</v>
      </c>
      <c r="B2426" s="1" t="s">
        <v>7696</v>
      </c>
      <c r="C2426" s="1" t="s">
        <v>7697</v>
      </c>
      <c r="D2426" s="1" t="s">
        <v>7698</v>
      </c>
      <c r="E2426" s="1" t="s">
        <v>178</v>
      </c>
      <c r="F2426" s="1" t="s">
        <v>5017</v>
      </c>
      <c r="G2426" s="1" t="s">
        <v>5018</v>
      </c>
      <c r="H2426" s="1">
        <v>0.1</v>
      </c>
      <c r="I2426" s="1">
        <v>0.1</v>
      </c>
      <c r="J2426" s="1">
        <v>0.80288846066083741</v>
      </c>
      <c r="K2426" s="1" t="s">
        <v>181</v>
      </c>
    </row>
    <row r="2427" spans="1:11" x14ac:dyDescent="0.25">
      <c r="A2427" s="1" t="s">
        <v>7699</v>
      </c>
      <c r="B2427" s="1" t="s">
        <v>7700</v>
      </c>
      <c r="C2427" s="1" t="s">
        <v>7701</v>
      </c>
      <c r="D2427" s="1" t="s">
        <v>7702</v>
      </c>
      <c r="E2427" s="1" t="s">
        <v>178</v>
      </c>
      <c r="F2427" s="1" t="s">
        <v>5017</v>
      </c>
      <c r="G2427" s="1" t="s">
        <v>5018</v>
      </c>
      <c r="H2427" s="1">
        <v>0.1</v>
      </c>
      <c r="I2427" s="1">
        <v>0.1</v>
      </c>
      <c r="J2427" s="1">
        <v>0.68275386291214724</v>
      </c>
      <c r="K2427" s="1" t="s">
        <v>181</v>
      </c>
    </row>
    <row r="2428" spans="1:11" x14ac:dyDescent="0.25">
      <c r="A2428" s="1" t="s">
        <v>7703</v>
      </c>
      <c r="B2428" s="1" t="s">
        <v>7704</v>
      </c>
      <c r="C2428" s="1" t="s">
        <v>7705</v>
      </c>
      <c r="D2428" s="1" t="s">
        <v>7706</v>
      </c>
      <c r="E2428" s="1" t="s">
        <v>178</v>
      </c>
      <c r="F2428" s="1" t="s">
        <v>5017</v>
      </c>
      <c r="G2428" s="1" t="s">
        <v>5018</v>
      </c>
      <c r="H2428" s="1">
        <v>0.1</v>
      </c>
      <c r="I2428" s="1">
        <v>0.1</v>
      </c>
      <c r="J2428" s="1">
        <v>0.96719955708791616</v>
      </c>
      <c r="K2428" s="1" t="s">
        <v>181</v>
      </c>
    </row>
    <row r="2429" spans="1:11" x14ac:dyDescent="0.25">
      <c r="A2429" s="1" t="s">
        <v>7707</v>
      </c>
      <c r="B2429" s="1" t="s">
        <v>7708</v>
      </c>
      <c r="C2429" s="1" t="s">
        <v>7709</v>
      </c>
      <c r="D2429" s="1" t="s">
        <v>7710</v>
      </c>
      <c r="E2429" s="1" t="s">
        <v>178</v>
      </c>
      <c r="F2429" s="1" t="s">
        <v>5017</v>
      </c>
      <c r="G2429" s="1" t="s">
        <v>5018</v>
      </c>
      <c r="H2429" s="1">
        <v>0.1</v>
      </c>
      <c r="I2429" s="1">
        <v>0.1</v>
      </c>
      <c r="J2429" s="1">
        <v>1.2412867078808738</v>
      </c>
      <c r="K2429" s="1" t="s">
        <v>181</v>
      </c>
    </row>
    <row r="2430" spans="1:11" x14ac:dyDescent="0.25">
      <c r="A2430" s="1" t="s">
        <v>7711</v>
      </c>
      <c r="B2430" s="1" t="s">
        <v>7712</v>
      </c>
      <c r="C2430" s="1" t="s">
        <v>7713</v>
      </c>
      <c r="D2430" s="1" t="s">
        <v>7714</v>
      </c>
      <c r="E2430" s="1" t="s">
        <v>178</v>
      </c>
      <c r="F2430" s="1" t="s">
        <v>5017</v>
      </c>
      <c r="G2430" s="1" t="s">
        <v>5018</v>
      </c>
      <c r="H2430" s="1">
        <v>0.1</v>
      </c>
      <c r="I2430" s="1">
        <v>0.1</v>
      </c>
      <c r="J2430" s="1">
        <v>0.6771353196560238</v>
      </c>
      <c r="K2430" s="1" t="s">
        <v>181</v>
      </c>
    </row>
    <row r="2431" spans="1:11" x14ac:dyDescent="0.25">
      <c r="A2431" s="1" t="s">
        <v>7715</v>
      </c>
      <c r="B2431" s="1" t="s">
        <v>7716</v>
      </c>
      <c r="C2431" s="1" t="s">
        <v>7717</v>
      </c>
      <c r="D2431" s="1" t="s">
        <v>7718</v>
      </c>
      <c r="E2431" s="1" t="s">
        <v>178</v>
      </c>
      <c r="F2431" s="1" t="s">
        <v>5017</v>
      </c>
      <c r="G2431" s="1" t="s">
        <v>5018</v>
      </c>
      <c r="H2431" s="1">
        <v>0.1</v>
      </c>
      <c r="I2431" s="1">
        <v>0.1</v>
      </c>
      <c r="J2431" s="1">
        <v>0.88553740565252259</v>
      </c>
      <c r="K2431" s="1" t="s">
        <v>181</v>
      </c>
    </row>
    <row r="2432" spans="1:11" x14ac:dyDescent="0.25">
      <c r="A2432" s="1" t="s">
        <v>7719</v>
      </c>
      <c r="B2432" s="1" t="s">
        <v>7720</v>
      </c>
      <c r="C2432" s="1" t="s">
        <v>7721</v>
      </c>
      <c r="D2432" s="1" t="s">
        <v>7722</v>
      </c>
      <c r="E2432" s="1" t="s">
        <v>178</v>
      </c>
      <c r="F2432" s="1" t="s">
        <v>5017</v>
      </c>
      <c r="G2432" s="1" t="s">
        <v>5018</v>
      </c>
      <c r="H2432" s="1">
        <v>0.1</v>
      </c>
      <c r="I2432" s="1">
        <v>0.1</v>
      </c>
      <c r="J2432" s="1">
        <v>0.67326334375872865</v>
      </c>
      <c r="K2432" s="1" t="s">
        <v>181</v>
      </c>
    </row>
    <row r="2433" spans="1:11" x14ac:dyDescent="0.25">
      <c r="A2433" s="1" t="s">
        <v>7723</v>
      </c>
      <c r="B2433" s="1" t="s">
        <v>7724</v>
      </c>
      <c r="C2433" s="1" t="s">
        <v>7725</v>
      </c>
      <c r="D2433" s="1" t="s">
        <v>7726</v>
      </c>
      <c r="E2433" s="1" t="s">
        <v>178</v>
      </c>
      <c r="F2433" s="1" t="s">
        <v>5017</v>
      </c>
      <c r="G2433" s="1" t="s">
        <v>5018</v>
      </c>
      <c r="H2433" s="1">
        <v>0.1</v>
      </c>
      <c r="I2433" s="1">
        <v>0.1</v>
      </c>
      <c r="J2433" s="1">
        <v>0.67145225392207986</v>
      </c>
      <c r="K2433" s="1" t="s">
        <v>181</v>
      </c>
    </row>
    <row r="2434" spans="1:11" x14ac:dyDescent="0.25">
      <c r="A2434" s="1" t="s">
        <v>7727</v>
      </c>
      <c r="B2434" s="1" t="s">
        <v>7071</v>
      </c>
      <c r="C2434" s="1" t="s">
        <v>7728</v>
      </c>
      <c r="D2434" s="1" t="s">
        <v>7729</v>
      </c>
      <c r="E2434" s="1" t="s">
        <v>178</v>
      </c>
      <c r="F2434" s="1" t="s">
        <v>5017</v>
      </c>
      <c r="G2434" s="1" t="s">
        <v>5018</v>
      </c>
      <c r="H2434" s="1">
        <v>0.1</v>
      </c>
      <c r="I2434" s="1">
        <v>0.1</v>
      </c>
      <c r="J2434" s="1">
        <v>1.1355168089638741</v>
      </c>
      <c r="K2434" s="1" t="s">
        <v>181</v>
      </c>
    </row>
    <row r="2435" spans="1:11" x14ac:dyDescent="0.25">
      <c r="A2435" s="1" t="s">
        <v>7730</v>
      </c>
      <c r="B2435" s="1" t="s">
        <v>7071</v>
      </c>
      <c r="C2435" s="1" t="s">
        <v>7731</v>
      </c>
      <c r="D2435" s="1" t="s">
        <v>7732</v>
      </c>
      <c r="E2435" s="1" t="s">
        <v>178</v>
      </c>
      <c r="F2435" s="1" t="s">
        <v>5017</v>
      </c>
      <c r="G2435" s="1" t="s">
        <v>5018</v>
      </c>
      <c r="H2435" s="1">
        <v>0.1</v>
      </c>
      <c r="I2435" s="1">
        <v>0.1</v>
      </c>
      <c r="J2435" s="1">
        <v>1.1355168089638741</v>
      </c>
      <c r="K2435" s="1" t="s">
        <v>181</v>
      </c>
    </row>
    <row r="2436" spans="1:11" x14ac:dyDescent="0.25">
      <c r="A2436" s="1" t="s">
        <v>7733</v>
      </c>
      <c r="B2436" s="1" t="s">
        <v>7071</v>
      </c>
      <c r="C2436" s="1" t="s">
        <v>7734</v>
      </c>
      <c r="D2436" s="1" t="s">
        <v>7735</v>
      </c>
      <c r="E2436" s="1" t="s">
        <v>178</v>
      </c>
      <c r="F2436" s="1" t="s">
        <v>5017</v>
      </c>
      <c r="G2436" s="1" t="s">
        <v>5018</v>
      </c>
      <c r="H2436" s="1">
        <v>0.1</v>
      </c>
      <c r="I2436" s="1">
        <v>0.1</v>
      </c>
      <c r="J2436" s="1">
        <v>0.93321668765702348</v>
      </c>
      <c r="K2436" s="1" t="s">
        <v>181</v>
      </c>
    </row>
    <row r="2437" spans="1:11" x14ac:dyDescent="0.25">
      <c r="A2437" s="1" t="s">
        <v>7736</v>
      </c>
      <c r="B2437" s="1" t="s">
        <v>7737</v>
      </c>
      <c r="C2437" s="1" t="s">
        <v>7738</v>
      </c>
      <c r="D2437" s="1" t="s">
        <v>7739</v>
      </c>
      <c r="E2437" s="1" t="s">
        <v>178</v>
      </c>
      <c r="F2437" s="1" t="s">
        <v>5017</v>
      </c>
      <c r="G2437" s="1" t="s">
        <v>5018</v>
      </c>
      <c r="H2437" s="1">
        <v>0.1</v>
      </c>
      <c r="I2437" s="1">
        <v>0.1</v>
      </c>
      <c r="J2437" s="1">
        <v>0.79317560256198538</v>
      </c>
      <c r="K2437" s="1" t="s">
        <v>181</v>
      </c>
    </row>
    <row r="2438" spans="1:11" x14ac:dyDescent="0.25">
      <c r="A2438" s="1" t="s">
        <v>7740</v>
      </c>
      <c r="B2438" s="1" t="s">
        <v>7741</v>
      </c>
      <c r="C2438" s="1" t="s">
        <v>7742</v>
      </c>
      <c r="D2438" s="1" t="s">
        <v>7743</v>
      </c>
      <c r="E2438" s="1" t="s">
        <v>178</v>
      </c>
      <c r="F2438" s="1" t="s">
        <v>5017</v>
      </c>
      <c r="G2438" s="1" t="s">
        <v>5018</v>
      </c>
      <c r="H2438" s="1">
        <v>0.1</v>
      </c>
      <c r="I2438" s="1">
        <v>0.1</v>
      </c>
      <c r="J2438" s="1">
        <v>0.6324551830017654</v>
      </c>
      <c r="K2438" s="1" t="s">
        <v>181</v>
      </c>
    </row>
    <row r="2439" spans="1:11" x14ac:dyDescent="0.25">
      <c r="A2439" s="1" t="s">
        <v>7744</v>
      </c>
      <c r="B2439" s="1" t="s">
        <v>7737</v>
      </c>
      <c r="C2439" s="1" t="s">
        <v>7745</v>
      </c>
      <c r="D2439" s="1" t="s">
        <v>7746</v>
      </c>
      <c r="E2439" s="1" t="s">
        <v>178</v>
      </c>
      <c r="F2439" s="1" t="s">
        <v>5017</v>
      </c>
      <c r="G2439" s="1" t="s">
        <v>5018</v>
      </c>
      <c r="H2439" s="1">
        <v>0.1</v>
      </c>
      <c r="I2439" s="1">
        <v>0.1</v>
      </c>
      <c r="J2439" s="1">
        <v>0.82723180947135988</v>
      </c>
      <c r="K2439" s="1" t="s">
        <v>181</v>
      </c>
    </row>
    <row r="2440" spans="1:11" x14ac:dyDescent="0.25">
      <c r="A2440" s="1" t="s">
        <v>84</v>
      </c>
      <c r="B2440" s="1" t="s">
        <v>7737</v>
      </c>
      <c r="C2440" s="1" t="s">
        <v>7747</v>
      </c>
      <c r="D2440" s="1" t="s">
        <v>7748</v>
      </c>
      <c r="E2440" s="1" t="s">
        <v>178</v>
      </c>
      <c r="F2440" s="1" t="s">
        <v>5017</v>
      </c>
      <c r="G2440" s="1" t="s">
        <v>5018</v>
      </c>
      <c r="H2440" s="1">
        <v>0.1</v>
      </c>
      <c r="I2440" s="1">
        <v>0.1</v>
      </c>
      <c r="J2440" s="1">
        <v>0.8038074200509121</v>
      </c>
      <c r="K2440" s="1" t="s">
        <v>181</v>
      </c>
    </row>
    <row r="2441" spans="1:11" x14ac:dyDescent="0.25">
      <c r="A2441" s="1" t="s">
        <v>85</v>
      </c>
      <c r="B2441" s="1" t="s">
        <v>7737</v>
      </c>
      <c r="C2441" s="1" t="s">
        <v>7749</v>
      </c>
      <c r="D2441" s="1" t="s">
        <v>7750</v>
      </c>
      <c r="E2441" s="1" t="s">
        <v>178</v>
      </c>
      <c r="F2441" s="1" t="s">
        <v>5017</v>
      </c>
      <c r="G2441" s="1" t="s">
        <v>5018</v>
      </c>
      <c r="H2441" s="1">
        <v>0.1</v>
      </c>
      <c r="I2441" s="1">
        <v>0.1</v>
      </c>
      <c r="J2441" s="1">
        <v>0.79356413591463393</v>
      </c>
      <c r="K2441" s="1" t="s">
        <v>181</v>
      </c>
    </row>
    <row r="2442" spans="1:11" x14ac:dyDescent="0.25">
      <c r="A2442" s="1" t="s">
        <v>86</v>
      </c>
      <c r="B2442" s="1" t="s">
        <v>7737</v>
      </c>
      <c r="C2442" s="1" t="s">
        <v>7751</v>
      </c>
      <c r="D2442" s="1" t="s">
        <v>7752</v>
      </c>
      <c r="E2442" s="1" t="s">
        <v>178</v>
      </c>
      <c r="F2442" s="1" t="s">
        <v>5017</v>
      </c>
      <c r="G2442" s="1" t="s">
        <v>5018</v>
      </c>
      <c r="H2442" s="1">
        <v>0.1</v>
      </c>
      <c r="I2442" s="1">
        <v>0.1</v>
      </c>
      <c r="J2442" s="1">
        <v>0.79317560256198538</v>
      </c>
      <c r="K2442" s="1" t="s">
        <v>181</v>
      </c>
    </row>
    <row r="2443" spans="1:11" x14ac:dyDescent="0.25">
      <c r="A2443" s="1" t="s">
        <v>7753</v>
      </c>
      <c r="B2443" s="1" t="s">
        <v>7754</v>
      </c>
      <c r="C2443" s="1" t="s">
        <v>7755</v>
      </c>
      <c r="D2443" s="1" t="s">
        <v>7756</v>
      </c>
      <c r="E2443" s="1" t="s">
        <v>178</v>
      </c>
      <c r="F2443" s="1" t="s">
        <v>5017</v>
      </c>
      <c r="G2443" s="1" t="s">
        <v>5018</v>
      </c>
      <c r="H2443" s="1">
        <v>0.1</v>
      </c>
      <c r="I2443" s="1">
        <v>0.1</v>
      </c>
      <c r="J2443" s="1">
        <v>0.68730354618038891</v>
      </c>
      <c r="K2443" s="1" t="s">
        <v>181</v>
      </c>
    </row>
    <row r="2444" spans="1:11" x14ac:dyDescent="0.25">
      <c r="A2444" s="1" t="s">
        <v>7757</v>
      </c>
      <c r="B2444" s="1" t="s">
        <v>7758</v>
      </c>
      <c r="C2444" s="1" t="s">
        <v>7759</v>
      </c>
      <c r="D2444" s="1" t="s">
        <v>7760</v>
      </c>
      <c r="E2444" s="1" t="s">
        <v>178</v>
      </c>
      <c r="F2444" s="1" t="s">
        <v>5017</v>
      </c>
      <c r="G2444" s="1" t="s">
        <v>5018</v>
      </c>
      <c r="H2444" s="1">
        <v>0.1</v>
      </c>
      <c r="I2444" s="1">
        <v>0.1</v>
      </c>
      <c r="J2444" s="1">
        <v>0.90856738792567282</v>
      </c>
      <c r="K2444" s="1" t="s">
        <v>181</v>
      </c>
    </row>
    <row r="2445" spans="1:11" x14ac:dyDescent="0.25">
      <c r="A2445" s="1" t="s">
        <v>7761</v>
      </c>
      <c r="B2445" s="1" t="s">
        <v>7762</v>
      </c>
      <c r="C2445" s="1" t="s">
        <v>7763</v>
      </c>
      <c r="D2445" s="1" t="s">
        <v>7764</v>
      </c>
      <c r="E2445" s="1" t="s">
        <v>178</v>
      </c>
      <c r="F2445" s="1" t="s">
        <v>5017</v>
      </c>
      <c r="G2445" s="1" t="s">
        <v>5018</v>
      </c>
      <c r="H2445" s="1">
        <v>0.1</v>
      </c>
      <c r="I2445" s="1">
        <v>0.1</v>
      </c>
      <c r="J2445" s="1">
        <v>0.71550402678974034</v>
      </c>
      <c r="K2445" s="1" t="s">
        <v>181</v>
      </c>
    </row>
    <row r="2446" spans="1:11" x14ac:dyDescent="0.25">
      <c r="A2446" s="1" t="s">
        <v>7765</v>
      </c>
      <c r="B2446" s="1" t="s">
        <v>7766</v>
      </c>
      <c r="C2446" s="1" t="s">
        <v>7767</v>
      </c>
      <c r="D2446" s="1" t="s">
        <v>7768</v>
      </c>
      <c r="E2446" s="1" t="s">
        <v>178</v>
      </c>
      <c r="F2446" s="1" t="s">
        <v>5017</v>
      </c>
      <c r="G2446" s="1" t="s">
        <v>5018</v>
      </c>
      <c r="H2446" s="1">
        <v>0.1</v>
      </c>
      <c r="I2446" s="1">
        <v>0.1</v>
      </c>
      <c r="J2446" s="1">
        <v>0.81801898021655006</v>
      </c>
      <c r="K2446" s="1" t="s">
        <v>181</v>
      </c>
    </row>
    <row r="2447" spans="1:11" x14ac:dyDescent="0.25">
      <c r="A2447" s="1" t="s">
        <v>7769</v>
      </c>
      <c r="B2447" s="1" t="s">
        <v>7766</v>
      </c>
      <c r="C2447" s="1" t="s">
        <v>7770</v>
      </c>
      <c r="D2447" s="1" t="s">
        <v>7771</v>
      </c>
      <c r="E2447" s="1" t="s">
        <v>178</v>
      </c>
      <c r="F2447" s="1" t="s">
        <v>5017</v>
      </c>
      <c r="G2447" s="1" t="s">
        <v>5018</v>
      </c>
      <c r="H2447" s="1">
        <v>0.1</v>
      </c>
      <c r="I2447" s="1">
        <v>0.1</v>
      </c>
      <c r="J2447" s="1">
        <v>0.81801898021655006</v>
      </c>
      <c r="K2447" s="1" t="s">
        <v>181</v>
      </c>
    </row>
    <row r="2448" spans="1:11" x14ac:dyDescent="0.25">
      <c r="A2448" s="1" t="s">
        <v>7772</v>
      </c>
      <c r="B2448" s="1" t="s">
        <v>7773</v>
      </c>
      <c r="C2448" s="1" t="s">
        <v>7774</v>
      </c>
      <c r="D2448" s="1" t="s">
        <v>7775</v>
      </c>
      <c r="E2448" s="1" t="s">
        <v>178</v>
      </c>
      <c r="F2448" s="1" t="s">
        <v>5017</v>
      </c>
      <c r="G2448" s="1" t="s">
        <v>5018</v>
      </c>
      <c r="H2448" s="1">
        <v>0.1</v>
      </c>
      <c r="I2448" s="1">
        <v>0.1</v>
      </c>
      <c r="J2448" s="1">
        <v>0.49905373213305931</v>
      </c>
      <c r="K2448" s="1" t="s">
        <v>181</v>
      </c>
    </row>
    <row r="2449" spans="1:11" x14ac:dyDescent="0.25">
      <c r="A2449" s="1" t="s">
        <v>7776</v>
      </c>
      <c r="B2449" s="1" t="s">
        <v>7777</v>
      </c>
      <c r="C2449" s="1" t="s">
        <v>7778</v>
      </c>
      <c r="D2449" s="1" t="s">
        <v>7779</v>
      </c>
      <c r="E2449" s="1" t="s">
        <v>178</v>
      </c>
      <c r="F2449" s="1" t="s">
        <v>5017</v>
      </c>
      <c r="G2449" s="1" t="s">
        <v>5018</v>
      </c>
      <c r="H2449" s="1">
        <v>0.1</v>
      </c>
      <c r="I2449" s="1">
        <v>0.1</v>
      </c>
      <c r="J2449" s="1">
        <v>0.8598406615796701</v>
      </c>
      <c r="K2449" s="1" t="s">
        <v>181</v>
      </c>
    </row>
    <row r="2450" spans="1:11" x14ac:dyDescent="0.25">
      <c r="A2450" s="1" t="s">
        <v>7780</v>
      </c>
      <c r="B2450" s="1" t="s">
        <v>7781</v>
      </c>
      <c r="C2450" s="1" t="s">
        <v>7782</v>
      </c>
      <c r="D2450" s="1" t="s">
        <v>7783</v>
      </c>
      <c r="E2450" s="1" t="s">
        <v>178</v>
      </c>
      <c r="F2450" s="1" t="s">
        <v>5017</v>
      </c>
      <c r="G2450" s="1" t="s">
        <v>5018</v>
      </c>
      <c r="H2450" s="1">
        <v>0.1</v>
      </c>
      <c r="I2450" s="1">
        <v>0.1</v>
      </c>
      <c r="J2450" s="1">
        <v>0.82477542537695991</v>
      </c>
      <c r="K2450" s="1" t="s">
        <v>181</v>
      </c>
    </row>
    <row r="2451" spans="1:11" x14ac:dyDescent="0.25">
      <c r="A2451" s="1" t="s">
        <v>7784</v>
      </c>
      <c r="B2451" s="1" t="s">
        <v>7766</v>
      </c>
      <c r="C2451" s="1" t="s">
        <v>7785</v>
      </c>
      <c r="D2451" s="1" t="s">
        <v>7786</v>
      </c>
      <c r="E2451" s="1" t="s">
        <v>178</v>
      </c>
      <c r="F2451" s="1" t="s">
        <v>5017</v>
      </c>
      <c r="G2451" s="1" t="s">
        <v>5018</v>
      </c>
      <c r="H2451" s="1">
        <v>0.1</v>
      </c>
      <c r="I2451" s="1">
        <v>0.1</v>
      </c>
      <c r="J2451" s="1">
        <v>0.86863644937986173</v>
      </c>
      <c r="K2451" s="1" t="s">
        <v>181</v>
      </c>
    </row>
    <row r="2452" spans="1:11" x14ac:dyDescent="0.25">
      <c r="A2452" s="1" t="s">
        <v>7787</v>
      </c>
      <c r="B2452" s="1" t="s">
        <v>7788</v>
      </c>
      <c r="C2452" s="1" t="s">
        <v>7789</v>
      </c>
      <c r="D2452" s="1" t="s">
        <v>7790</v>
      </c>
      <c r="E2452" s="1" t="s">
        <v>178</v>
      </c>
      <c r="F2452" s="1" t="s">
        <v>5017</v>
      </c>
      <c r="G2452" s="1" t="s">
        <v>5018</v>
      </c>
      <c r="H2452" s="1">
        <v>0.1</v>
      </c>
      <c r="I2452" s="1">
        <v>0.1</v>
      </c>
      <c r="J2452" s="1">
        <v>1.043751557384351</v>
      </c>
      <c r="K2452" s="1" t="s">
        <v>181</v>
      </c>
    </row>
    <row r="2453" spans="1:11" x14ac:dyDescent="0.25">
      <c r="A2453" s="1" t="s">
        <v>7791</v>
      </c>
      <c r="B2453" s="1" t="s">
        <v>7766</v>
      </c>
      <c r="C2453" s="1" t="s">
        <v>7792</v>
      </c>
      <c r="D2453" s="1" t="s">
        <v>7793</v>
      </c>
      <c r="E2453" s="1" t="s">
        <v>178</v>
      </c>
      <c r="F2453" s="1" t="s">
        <v>5017</v>
      </c>
      <c r="G2453" s="1" t="s">
        <v>5018</v>
      </c>
      <c r="H2453" s="1">
        <v>0.1</v>
      </c>
      <c r="I2453" s="1">
        <v>0.1</v>
      </c>
      <c r="J2453" s="1">
        <v>0.81801898021655006</v>
      </c>
      <c r="K2453" s="1" t="s">
        <v>181</v>
      </c>
    </row>
    <row r="2454" spans="1:11" x14ac:dyDescent="0.25">
      <c r="A2454" s="1" t="s">
        <v>7794</v>
      </c>
      <c r="B2454" s="1" t="s">
        <v>7766</v>
      </c>
      <c r="C2454" s="1" t="s">
        <v>7795</v>
      </c>
      <c r="D2454" s="1" t="s">
        <v>7796</v>
      </c>
      <c r="E2454" s="1" t="s">
        <v>178</v>
      </c>
      <c r="F2454" s="1" t="s">
        <v>5017</v>
      </c>
      <c r="G2454" s="1" t="s">
        <v>5018</v>
      </c>
      <c r="H2454" s="1">
        <v>0.1</v>
      </c>
      <c r="I2454" s="1">
        <v>0.1</v>
      </c>
      <c r="J2454" s="1">
        <v>0.81801898021655006</v>
      </c>
      <c r="K2454" s="1" t="s">
        <v>181</v>
      </c>
    </row>
    <row r="2455" spans="1:11" x14ac:dyDescent="0.25">
      <c r="A2455" s="1" t="s">
        <v>7797</v>
      </c>
      <c r="B2455" s="1" t="s">
        <v>7766</v>
      </c>
      <c r="C2455" s="1" t="s">
        <v>7798</v>
      </c>
      <c r="D2455" s="1" t="s">
        <v>7799</v>
      </c>
      <c r="E2455" s="1" t="s">
        <v>178</v>
      </c>
      <c r="F2455" s="1" t="s">
        <v>5017</v>
      </c>
      <c r="G2455" s="1" t="s">
        <v>5018</v>
      </c>
      <c r="H2455" s="1">
        <v>0.1</v>
      </c>
      <c r="I2455" s="1">
        <v>0.1</v>
      </c>
      <c r="J2455" s="1">
        <v>0.81801898021655006</v>
      </c>
      <c r="K2455" s="1" t="s">
        <v>181</v>
      </c>
    </row>
    <row r="2456" spans="1:11" x14ac:dyDescent="0.25">
      <c r="A2456" s="1" t="s">
        <v>7800</v>
      </c>
      <c r="B2456" s="1" t="s">
        <v>7801</v>
      </c>
      <c r="C2456" s="1" t="s">
        <v>7802</v>
      </c>
      <c r="D2456" s="1" t="s">
        <v>7803</v>
      </c>
      <c r="E2456" s="1" t="s">
        <v>178</v>
      </c>
      <c r="F2456" s="1" t="s">
        <v>5017</v>
      </c>
      <c r="G2456" s="1" t="s">
        <v>5018</v>
      </c>
      <c r="H2456" s="1">
        <v>0.1</v>
      </c>
      <c r="I2456" s="1">
        <v>0.1</v>
      </c>
      <c r="J2456" s="1">
        <v>0.84133025870770362</v>
      </c>
      <c r="K2456" s="1" t="s">
        <v>181</v>
      </c>
    </row>
    <row r="2457" spans="1:11" x14ac:dyDescent="0.25">
      <c r="A2457" s="1" t="s">
        <v>7804</v>
      </c>
      <c r="B2457" s="1" t="s">
        <v>6637</v>
      </c>
      <c r="C2457" s="1" t="s">
        <v>7805</v>
      </c>
      <c r="D2457" s="1" t="s">
        <v>7806</v>
      </c>
      <c r="E2457" s="1" t="s">
        <v>178</v>
      </c>
      <c r="F2457" s="1" t="s">
        <v>5017</v>
      </c>
      <c r="G2457" s="1" t="s">
        <v>5018</v>
      </c>
      <c r="H2457" s="1">
        <v>0.1</v>
      </c>
      <c r="I2457" s="1">
        <v>0.1</v>
      </c>
      <c r="J2457" s="1">
        <v>1.4675663997007629</v>
      </c>
      <c r="K2457" s="1" t="s">
        <v>181</v>
      </c>
    </row>
    <row r="2458" spans="1:11" x14ac:dyDescent="0.25">
      <c r="A2458" s="1" t="s">
        <v>7807</v>
      </c>
      <c r="B2458" s="1" t="s">
        <v>6665</v>
      </c>
      <c r="C2458" s="1" t="s">
        <v>7808</v>
      </c>
      <c r="D2458" s="1" t="s">
        <v>7809</v>
      </c>
      <c r="E2458" s="1" t="s">
        <v>178</v>
      </c>
      <c r="F2458" s="1" t="s">
        <v>5017</v>
      </c>
      <c r="G2458" s="1" t="s">
        <v>5018</v>
      </c>
      <c r="H2458" s="1">
        <v>0.1</v>
      </c>
      <c r="I2458" s="1">
        <v>0.1</v>
      </c>
      <c r="J2458" s="1">
        <v>0.9132580420008547</v>
      </c>
      <c r="K2458" s="1" t="s">
        <v>181</v>
      </c>
    </row>
    <row r="2459" spans="1:11" x14ac:dyDescent="0.25">
      <c r="A2459" s="1" t="s">
        <v>7810</v>
      </c>
      <c r="B2459" s="1" t="s">
        <v>7777</v>
      </c>
      <c r="C2459" s="1" t="s">
        <v>7811</v>
      </c>
      <c r="D2459" s="1" t="s">
        <v>7812</v>
      </c>
      <c r="E2459" s="1" t="s">
        <v>178</v>
      </c>
      <c r="F2459" s="1" t="s">
        <v>5017</v>
      </c>
      <c r="G2459" s="1" t="s">
        <v>5018</v>
      </c>
      <c r="H2459" s="1">
        <v>0.1</v>
      </c>
      <c r="I2459" s="1">
        <v>0.1</v>
      </c>
      <c r="J2459" s="1">
        <v>1.024618307552936</v>
      </c>
      <c r="K2459" s="1" t="s">
        <v>181</v>
      </c>
    </row>
    <row r="2460" spans="1:11" x14ac:dyDescent="0.25">
      <c r="A2460" s="1" t="s">
        <v>7813</v>
      </c>
      <c r="B2460" s="1" t="s">
        <v>7814</v>
      </c>
      <c r="C2460" s="1" t="s">
        <v>7815</v>
      </c>
      <c r="D2460" s="1" t="s">
        <v>7816</v>
      </c>
      <c r="E2460" s="1" t="s">
        <v>178</v>
      </c>
      <c r="F2460" s="1" t="s">
        <v>5017</v>
      </c>
      <c r="G2460" s="1" t="s">
        <v>5018</v>
      </c>
      <c r="H2460" s="1">
        <v>0.1</v>
      </c>
      <c r="I2460" s="1">
        <v>0.1</v>
      </c>
      <c r="J2460" s="1">
        <v>0.74364236439443077</v>
      </c>
      <c r="K2460" s="1" t="s">
        <v>181</v>
      </c>
    </row>
    <row r="2461" spans="1:11" x14ac:dyDescent="0.25">
      <c r="A2461" s="1" t="s">
        <v>7817</v>
      </c>
      <c r="B2461" s="1" t="s">
        <v>7788</v>
      </c>
      <c r="C2461" s="1" t="s">
        <v>7818</v>
      </c>
      <c r="D2461" s="1" t="s">
        <v>7819</v>
      </c>
      <c r="E2461" s="1" t="s">
        <v>178</v>
      </c>
      <c r="F2461" s="1" t="s">
        <v>5017</v>
      </c>
      <c r="G2461" s="1" t="s">
        <v>5018</v>
      </c>
      <c r="H2461" s="1">
        <v>0.1</v>
      </c>
      <c r="I2461" s="1">
        <v>0.1</v>
      </c>
      <c r="J2461" s="1">
        <v>1.2998997885021522</v>
      </c>
      <c r="K2461" s="1" t="s">
        <v>181</v>
      </c>
    </row>
    <row r="2462" spans="1:11" x14ac:dyDescent="0.25">
      <c r="A2462" s="1" t="s">
        <v>7820</v>
      </c>
      <c r="B2462" s="1" t="s">
        <v>7821</v>
      </c>
      <c r="C2462" s="1" t="s">
        <v>7822</v>
      </c>
      <c r="D2462" s="1" t="s">
        <v>7823</v>
      </c>
      <c r="E2462" s="1" t="s">
        <v>178</v>
      </c>
      <c r="F2462" s="1" t="s">
        <v>5017</v>
      </c>
      <c r="G2462" s="1" t="s">
        <v>5018</v>
      </c>
      <c r="H2462" s="1">
        <v>0.1</v>
      </c>
      <c r="I2462" s="1">
        <v>0.1</v>
      </c>
      <c r="J2462" s="1">
        <v>0.60977222556057187</v>
      </c>
      <c r="K2462" s="1" t="s">
        <v>181</v>
      </c>
    </row>
    <row r="2463" spans="1:11" x14ac:dyDescent="0.25">
      <c r="A2463" s="1" t="s">
        <v>7824</v>
      </c>
      <c r="B2463" s="1" t="s">
        <v>7825</v>
      </c>
      <c r="C2463" s="1" t="s">
        <v>7826</v>
      </c>
      <c r="D2463" s="1" t="s">
        <v>7827</v>
      </c>
      <c r="E2463" s="1" t="s">
        <v>178</v>
      </c>
      <c r="F2463" s="1" t="s">
        <v>5017</v>
      </c>
      <c r="G2463" s="1" t="s">
        <v>5018</v>
      </c>
      <c r="H2463" s="1">
        <v>0.1</v>
      </c>
      <c r="I2463" s="1">
        <v>0.1</v>
      </c>
      <c r="J2463" s="1">
        <v>0.65767662273133642</v>
      </c>
      <c r="K2463" s="1" t="s">
        <v>181</v>
      </c>
    </row>
    <row r="2464" spans="1:11" x14ac:dyDescent="0.25">
      <c r="A2464" s="1" t="s">
        <v>7828</v>
      </c>
      <c r="B2464" s="1" t="s">
        <v>7829</v>
      </c>
      <c r="C2464" s="1" t="s">
        <v>7830</v>
      </c>
      <c r="D2464" s="1" t="s">
        <v>7831</v>
      </c>
      <c r="E2464" s="1" t="s">
        <v>178</v>
      </c>
      <c r="F2464" s="1" t="s">
        <v>5017</v>
      </c>
      <c r="G2464" s="1" t="s">
        <v>5018</v>
      </c>
      <c r="H2464" s="1">
        <v>0.1</v>
      </c>
      <c r="I2464" s="1">
        <v>0.1</v>
      </c>
      <c r="J2464" s="1">
        <v>0.88495417888456673</v>
      </c>
      <c r="K2464" s="1" t="s">
        <v>181</v>
      </c>
    </row>
    <row r="2465" spans="1:11" x14ac:dyDescent="0.25">
      <c r="A2465" s="1" t="s">
        <v>12</v>
      </c>
      <c r="B2465" s="1" t="s">
        <v>6700</v>
      </c>
      <c r="C2465" s="1" t="s">
        <v>7832</v>
      </c>
      <c r="D2465" s="1" t="s">
        <v>7833</v>
      </c>
      <c r="E2465" s="1" t="s">
        <v>178</v>
      </c>
      <c r="F2465" s="1" t="s">
        <v>5017</v>
      </c>
      <c r="G2465" s="1" t="s">
        <v>5018</v>
      </c>
      <c r="H2465" s="1">
        <v>0.1</v>
      </c>
      <c r="I2465" s="1">
        <v>0.1</v>
      </c>
      <c r="J2465" s="1">
        <v>1.131875236158072</v>
      </c>
      <c r="K2465" s="1" t="s">
        <v>181</v>
      </c>
    </row>
    <row r="2466" spans="1:11" x14ac:dyDescent="0.25">
      <c r="A2466" s="1" t="s">
        <v>7834</v>
      </c>
      <c r="B2466" s="1" t="s">
        <v>6968</v>
      </c>
      <c r="C2466" s="1" t="s">
        <v>7835</v>
      </c>
      <c r="D2466" s="1" t="s">
        <v>7836</v>
      </c>
      <c r="E2466" s="1" t="s">
        <v>178</v>
      </c>
      <c r="F2466" s="1" t="s">
        <v>5017</v>
      </c>
      <c r="G2466" s="1" t="s">
        <v>5018</v>
      </c>
      <c r="H2466" s="1">
        <v>0.1</v>
      </c>
      <c r="I2466" s="1">
        <v>0.1</v>
      </c>
      <c r="J2466" s="1">
        <v>0.86180266010259743</v>
      </c>
      <c r="K2466" s="1" t="s">
        <v>181</v>
      </c>
    </row>
    <row r="2467" spans="1:11" x14ac:dyDescent="0.25">
      <c r="A2467" s="1" t="s">
        <v>7837</v>
      </c>
      <c r="B2467" s="1" t="s">
        <v>7838</v>
      </c>
      <c r="C2467" s="1" t="s">
        <v>7839</v>
      </c>
      <c r="D2467" s="1" t="s">
        <v>7840</v>
      </c>
      <c r="E2467" s="1" t="s">
        <v>178</v>
      </c>
      <c r="F2467" s="1" t="s">
        <v>5017</v>
      </c>
      <c r="G2467" s="1" t="s">
        <v>5018</v>
      </c>
      <c r="H2467" s="1">
        <v>0.1</v>
      </c>
      <c r="I2467" s="1">
        <v>0.1</v>
      </c>
      <c r="J2467" s="1">
        <v>1.0686313814542616</v>
      </c>
      <c r="K2467" s="1" t="s">
        <v>181</v>
      </c>
    </row>
    <row r="2468" spans="1:11" x14ac:dyDescent="0.25">
      <c r="A2468" s="1" t="s">
        <v>7841</v>
      </c>
      <c r="B2468" s="1" t="s">
        <v>7842</v>
      </c>
      <c r="C2468" s="1" t="s">
        <v>7843</v>
      </c>
      <c r="D2468" s="1" t="s">
        <v>7844</v>
      </c>
      <c r="E2468" s="1" t="s">
        <v>178</v>
      </c>
      <c r="F2468" s="1" t="s">
        <v>5017</v>
      </c>
      <c r="G2468" s="1" t="s">
        <v>5018</v>
      </c>
      <c r="H2468" s="1">
        <v>0.1</v>
      </c>
      <c r="I2468" s="1">
        <v>0.1</v>
      </c>
      <c r="J2468" s="1">
        <v>0.76866956787383178</v>
      </c>
      <c r="K2468" s="1" t="s">
        <v>181</v>
      </c>
    </row>
    <row r="2469" spans="1:11" x14ac:dyDescent="0.25">
      <c r="A2469" s="1" t="s">
        <v>7845</v>
      </c>
      <c r="B2469" s="1" t="s">
        <v>7846</v>
      </c>
      <c r="C2469" s="1" t="s">
        <v>7847</v>
      </c>
      <c r="D2469" s="1" t="s">
        <v>7848</v>
      </c>
      <c r="E2469" s="1" t="s">
        <v>178</v>
      </c>
      <c r="F2469" s="1" t="s">
        <v>5017</v>
      </c>
      <c r="G2469" s="1" t="s">
        <v>5018</v>
      </c>
      <c r="H2469" s="1">
        <v>0.1</v>
      </c>
      <c r="I2469" s="1">
        <v>0.1</v>
      </c>
      <c r="J2469" s="1">
        <v>0.8020061984858351</v>
      </c>
      <c r="K2469" s="1" t="s">
        <v>181</v>
      </c>
    </row>
    <row r="2470" spans="1:11" x14ac:dyDescent="0.25">
      <c r="A2470" s="1" t="s">
        <v>7849</v>
      </c>
      <c r="B2470" s="1" t="s">
        <v>6968</v>
      </c>
      <c r="C2470" s="1" t="s">
        <v>7850</v>
      </c>
      <c r="D2470" s="1" t="s">
        <v>7851</v>
      </c>
      <c r="E2470" s="1" t="s">
        <v>178</v>
      </c>
      <c r="F2470" s="1" t="s">
        <v>5017</v>
      </c>
      <c r="G2470" s="1" t="s">
        <v>5018</v>
      </c>
      <c r="H2470" s="1">
        <v>0.1</v>
      </c>
      <c r="I2470" s="1">
        <v>0.1</v>
      </c>
      <c r="J2470" s="1">
        <v>0.82558591300246953</v>
      </c>
      <c r="K2470" s="1" t="s">
        <v>181</v>
      </c>
    </row>
    <row r="2471" spans="1:11" x14ac:dyDescent="0.25">
      <c r="A2471" s="1" t="s">
        <v>7852</v>
      </c>
      <c r="B2471" s="1" t="s">
        <v>7853</v>
      </c>
      <c r="C2471" s="1" t="s">
        <v>7854</v>
      </c>
      <c r="D2471" s="1" t="s">
        <v>7855</v>
      </c>
      <c r="E2471" s="1" t="s">
        <v>178</v>
      </c>
      <c r="F2471" s="1" t="s">
        <v>5017</v>
      </c>
      <c r="G2471" s="1" t="s">
        <v>5018</v>
      </c>
      <c r="H2471" s="1">
        <v>0.1</v>
      </c>
      <c r="I2471" s="1">
        <v>0.1</v>
      </c>
      <c r="J2471" s="1">
        <v>0.63047022465446745</v>
      </c>
      <c r="K2471" s="1" t="s">
        <v>181</v>
      </c>
    </row>
    <row r="2472" spans="1:11" x14ac:dyDescent="0.25">
      <c r="A2472" s="1" t="s">
        <v>7856</v>
      </c>
      <c r="B2472" s="1" t="s">
        <v>1257</v>
      </c>
      <c r="C2472" s="1" t="s">
        <v>7857</v>
      </c>
      <c r="D2472" s="1" t="s">
        <v>7858</v>
      </c>
      <c r="E2472" s="1" t="s">
        <v>178</v>
      </c>
      <c r="F2472" s="1" t="s">
        <v>5017</v>
      </c>
      <c r="G2472" s="1" t="s">
        <v>5018</v>
      </c>
      <c r="H2472" s="1">
        <v>0.1</v>
      </c>
      <c r="I2472" s="1">
        <v>0.1</v>
      </c>
      <c r="J2472" s="1">
        <v>0.93541261707954326</v>
      </c>
      <c r="K2472" s="1" t="s">
        <v>181</v>
      </c>
    </row>
    <row r="2473" spans="1:11" x14ac:dyDescent="0.25">
      <c r="A2473" s="1" t="s">
        <v>7859</v>
      </c>
      <c r="B2473" s="1" t="s">
        <v>7825</v>
      </c>
      <c r="C2473" s="1" t="s">
        <v>7860</v>
      </c>
      <c r="D2473" s="1" t="s">
        <v>7861</v>
      </c>
      <c r="E2473" s="1" t="s">
        <v>178</v>
      </c>
      <c r="F2473" s="1" t="s">
        <v>5017</v>
      </c>
      <c r="G2473" s="1" t="s">
        <v>5018</v>
      </c>
      <c r="H2473" s="1">
        <v>0.1</v>
      </c>
      <c r="I2473" s="1">
        <v>0.1</v>
      </c>
      <c r="J2473" s="1">
        <v>0.64896182341111541</v>
      </c>
      <c r="K2473" s="1" t="s">
        <v>181</v>
      </c>
    </row>
    <row r="2474" spans="1:11" x14ac:dyDescent="0.25">
      <c r="A2474" s="1" t="s">
        <v>7862</v>
      </c>
      <c r="B2474" s="1" t="s">
        <v>6928</v>
      </c>
      <c r="C2474" s="1" t="s">
        <v>7863</v>
      </c>
      <c r="D2474" s="1" t="s">
        <v>7864</v>
      </c>
      <c r="E2474" s="1" t="s">
        <v>178</v>
      </c>
      <c r="F2474" s="1" t="s">
        <v>5017</v>
      </c>
      <c r="G2474" s="1" t="s">
        <v>5018</v>
      </c>
      <c r="H2474" s="1">
        <v>0.1</v>
      </c>
      <c r="I2474" s="1">
        <v>0.1</v>
      </c>
      <c r="J2474" s="1">
        <v>0.79202089592122216</v>
      </c>
      <c r="K2474" s="1" t="s">
        <v>181</v>
      </c>
    </row>
    <row r="2475" spans="1:11" x14ac:dyDescent="0.25">
      <c r="A2475" s="1" t="s">
        <v>7865</v>
      </c>
      <c r="B2475" s="1" t="s">
        <v>6700</v>
      </c>
      <c r="C2475" s="1" t="s">
        <v>7866</v>
      </c>
      <c r="D2475" s="1" t="s">
        <v>7867</v>
      </c>
      <c r="E2475" s="1" t="s">
        <v>178</v>
      </c>
      <c r="F2475" s="1" t="s">
        <v>5017</v>
      </c>
      <c r="G2475" s="1" t="s">
        <v>5018</v>
      </c>
      <c r="H2475" s="1">
        <v>0.1</v>
      </c>
      <c r="I2475" s="1">
        <v>0.1</v>
      </c>
      <c r="J2475" s="1">
        <v>0.9407728559762778</v>
      </c>
      <c r="K2475" s="1" t="s">
        <v>181</v>
      </c>
    </row>
    <row r="2476" spans="1:11" x14ac:dyDescent="0.25">
      <c r="A2476" s="1" t="s">
        <v>7868</v>
      </c>
      <c r="B2476" s="1" t="s">
        <v>6700</v>
      </c>
      <c r="C2476" s="1" t="s">
        <v>7869</v>
      </c>
      <c r="D2476" s="1" t="s">
        <v>7870</v>
      </c>
      <c r="E2476" s="1" t="s">
        <v>178</v>
      </c>
      <c r="F2476" s="1" t="s">
        <v>5017</v>
      </c>
      <c r="G2476" s="1" t="s">
        <v>5018</v>
      </c>
      <c r="H2476" s="1">
        <v>0.1</v>
      </c>
      <c r="I2476" s="1">
        <v>0.1</v>
      </c>
      <c r="J2476" s="1">
        <v>0.83243450133305763</v>
      </c>
      <c r="K2476" s="1" t="s">
        <v>181</v>
      </c>
    </row>
    <row r="2477" spans="1:11" x14ac:dyDescent="0.25">
      <c r="A2477" s="1" t="s">
        <v>7871</v>
      </c>
      <c r="B2477" s="1" t="s">
        <v>7607</v>
      </c>
      <c r="C2477" s="1" t="s">
        <v>7872</v>
      </c>
      <c r="D2477" s="1" t="s">
        <v>7873</v>
      </c>
      <c r="E2477" s="1" t="s">
        <v>178</v>
      </c>
      <c r="F2477" s="1" t="s">
        <v>5017</v>
      </c>
      <c r="G2477" s="1" t="s">
        <v>5018</v>
      </c>
      <c r="H2477" s="1">
        <v>0.1</v>
      </c>
      <c r="I2477" s="1">
        <v>0.1</v>
      </c>
      <c r="J2477" s="1">
        <v>0.91995776448393562</v>
      </c>
      <c r="K2477" s="1" t="s">
        <v>181</v>
      </c>
    </row>
    <row r="2478" spans="1:11" x14ac:dyDescent="0.25">
      <c r="A2478" s="1" t="s">
        <v>7874</v>
      </c>
      <c r="B2478" s="1" t="s">
        <v>7875</v>
      </c>
      <c r="C2478" s="1" t="s">
        <v>7876</v>
      </c>
      <c r="D2478" s="1" t="s">
        <v>7877</v>
      </c>
      <c r="E2478" s="1" t="s">
        <v>178</v>
      </c>
      <c r="F2478" s="1" t="s">
        <v>5017</v>
      </c>
      <c r="G2478" s="1" t="s">
        <v>5018</v>
      </c>
      <c r="H2478" s="1">
        <v>0.1</v>
      </c>
      <c r="I2478" s="1">
        <v>0.1</v>
      </c>
      <c r="J2478" s="1">
        <v>2.6287022492531427</v>
      </c>
      <c r="K2478" s="1" t="s">
        <v>181</v>
      </c>
    </row>
    <row r="2479" spans="1:11" x14ac:dyDescent="0.25">
      <c r="A2479" s="1" t="s">
        <v>7878</v>
      </c>
      <c r="B2479" s="1" t="s">
        <v>7607</v>
      </c>
      <c r="C2479" s="1" t="s">
        <v>7879</v>
      </c>
      <c r="D2479" s="1" t="s">
        <v>7880</v>
      </c>
      <c r="E2479" s="1" t="s">
        <v>178</v>
      </c>
      <c r="F2479" s="1" t="s">
        <v>5017</v>
      </c>
      <c r="G2479" s="1" t="s">
        <v>5018</v>
      </c>
      <c r="H2479" s="1">
        <v>0.1</v>
      </c>
      <c r="I2479" s="1">
        <v>0.1</v>
      </c>
      <c r="J2479" s="1">
        <v>1.0106930506724816</v>
      </c>
      <c r="K2479" s="1" t="s">
        <v>181</v>
      </c>
    </row>
    <row r="2480" spans="1:11" x14ac:dyDescent="0.25">
      <c r="A2480" s="1" t="s">
        <v>7881</v>
      </c>
      <c r="B2480" s="1" t="s">
        <v>7882</v>
      </c>
      <c r="C2480" s="1" t="s">
        <v>7883</v>
      </c>
      <c r="D2480" s="1" t="s">
        <v>7884</v>
      </c>
      <c r="E2480" s="1" t="s">
        <v>178</v>
      </c>
      <c r="F2480" s="1" t="s">
        <v>5017</v>
      </c>
      <c r="G2480" s="1" t="s">
        <v>5018</v>
      </c>
      <c r="H2480" s="1">
        <v>0.1</v>
      </c>
      <c r="I2480" s="1">
        <v>0.1</v>
      </c>
      <c r="J2480" s="1">
        <v>0.97659244539648071</v>
      </c>
      <c r="K2480" s="1" t="s">
        <v>181</v>
      </c>
    </row>
    <row r="2481" spans="1:11" x14ac:dyDescent="0.25">
      <c r="A2481" s="1" t="s">
        <v>7885</v>
      </c>
      <c r="B2481" s="1" t="s">
        <v>7564</v>
      </c>
      <c r="C2481" s="1" t="s">
        <v>7886</v>
      </c>
      <c r="D2481" s="1" t="s">
        <v>7887</v>
      </c>
      <c r="E2481" s="1" t="s">
        <v>178</v>
      </c>
      <c r="F2481" s="1" t="s">
        <v>5017</v>
      </c>
      <c r="G2481" s="1" t="s">
        <v>5018</v>
      </c>
      <c r="H2481" s="1">
        <v>0.1</v>
      </c>
      <c r="I2481" s="1">
        <v>0.1</v>
      </c>
      <c r="J2481" s="1">
        <v>0.971891971451325</v>
      </c>
      <c r="K2481" s="1" t="s">
        <v>181</v>
      </c>
    </row>
    <row r="2482" spans="1:11" x14ac:dyDescent="0.25">
      <c r="A2482" s="1" t="s">
        <v>7888</v>
      </c>
      <c r="B2482" s="1" t="s">
        <v>7560</v>
      </c>
      <c r="C2482" s="1" t="s">
        <v>7889</v>
      </c>
      <c r="D2482" s="1" t="s">
        <v>7890</v>
      </c>
      <c r="E2482" s="1" t="s">
        <v>178</v>
      </c>
      <c r="F2482" s="1" t="s">
        <v>5017</v>
      </c>
      <c r="G2482" s="1" t="s">
        <v>5018</v>
      </c>
      <c r="H2482" s="1">
        <v>0.1</v>
      </c>
      <c r="I2482" s="1">
        <v>0.1</v>
      </c>
      <c r="J2482" s="1">
        <v>0.94327589448668714</v>
      </c>
      <c r="K2482" s="1" t="s">
        <v>181</v>
      </c>
    </row>
    <row r="2483" spans="1:11" x14ac:dyDescent="0.25">
      <c r="A2483" s="1" t="s">
        <v>7891</v>
      </c>
      <c r="B2483" s="1" t="s">
        <v>7607</v>
      </c>
      <c r="C2483" s="1" t="s">
        <v>7892</v>
      </c>
      <c r="D2483" s="1" t="s">
        <v>7893</v>
      </c>
      <c r="E2483" s="1" t="s">
        <v>178</v>
      </c>
      <c r="F2483" s="1" t="s">
        <v>5017</v>
      </c>
      <c r="G2483" s="1" t="s">
        <v>5018</v>
      </c>
      <c r="H2483" s="1">
        <v>0.1</v>
      </c>
      <c r="I2483" s="1">
        <v>0.1</v>
      </c>
      <c r="J2483" s="1">
        <v>0.93577339196674258</v>
      </c>
      <c r="K2483" s="1" t="s">
        <v>181</v>
      </c>
    </row>
    <row r="2484" spans="1:11" x14ac:dyDescent="0.25">
      <c r="A2484" s="1" t="s">
        <v>7894</v>
      </c>
      <c r="B2484" s="1" t="s">
        <v>7599</v>
      </c>
      <c r="C2484" s="1" t="s">
        <v>7895</v>
      </c>
      <c r="D2484" s="1" t="s">
        <v>7896</v>
      </c>
      <c r="E2484" s="1" t="s">
        <v>178</v>
      </c>
      <c r="F2484" s="1" t="s">
        <v>5017</v>
      </c>
      <c r="G2484" s="1" t="s">
        <v>5018</v>
      </c>
      <c r="H2484" s="1">
        <v>0.1</v>
      </c>
      <c r="I2484" s="1">
        <v>0.1</v>
      </c>
      <c r="J2484" s="1">
        <v>0.80877936244996829</v>
      </c>
      <c r="K2484" s="1" t="s">
        <v>181</v>
      </c>
    </row>
    <row r="2485" spans="1:11" x14ac:dyDescent="0.25">
      <c r="A2485" s="1" t="s">
        <v>7897</v>
      </c>
      <c r="B2485" s="1" t="s">
        <v>7599</v>
      </c>
      <c r="C2485" s="1" t="s">
        <v>7898</v>
      </c>
      <c r="D2485" s="1" t="s">
        <v>7899</v>
      </c>
      <c r="E2485" s="1" t="s">
        <v>178</v>
      </c>
      <c r="F2485" s="1" t="s">
        <v>5017</v>
      </c>
      <c r="G2485" s="1" t="s">
        <v>5018</v>
      </c>
      <c r="H2485" s="1">
        <v>0.1</v>
      </c>
      <c r="I2485" s="1">
        <v>0.1</v>
      </c>
      <c r="J2485" s="1">
        <v>0.71680275901778445</v>
      </c>
      <c r="K2485" s="1" t="s">
        <v>181</v>
      </c>
    </row>
    <row r="2486" spans="1:11" x14ac:dyDescent="0.25">
      <c r="A2486" s="1" t="s">
        <v>7900</v>
      </c>
      <c r="B2486" s="1" t="s">
        <v>7599</v>
      </c>
      <c r="C2486" s="1" t="s">
        <v>7901</v>
      </c>
      <c r="D2486" s="1" t="s">
        <v>7902</v>
      </c>
      <c r="E2486" s="1" t="s">
        <v>178</v>
      </c>
      <c r="F2486" s="1" t="s">
        <v>5017</v>
      </c>
      <c r="G2486" s="1" t="s">
        <v>5018</v>
      </c>
      <c r="H2486" s="1">
        <v>0.1</v>
      </c>
      <c r="I2486" s="1">
        <v>0.1</v>
      </c>
      <c r="J2486" s="1">
        <v>0.80877936244996829</v>
      </c>
      <c r="K2486" s="1" t="s">
        <v>181</v>
      </c>
    </row>
    <row r="2487" spans="1:11" x14ac:dyDescent="0.25">
      <c r="A2487" s="1" t="s">
        <v>7903</v>
      </c>
      <c r="B2487" s="1" t="s">
        <v>7599</v>
      </c>
      <c r="C2487" s="1" t="s">
        <v>7904</v>
      </c>
      <c r="D2487" s="1" t="s">
        <v>7905</v>
      </c>
      <c r="E2487" s="1" t="s">
        <v>178</v>
      </c>
      <c r="F2487" s="1" t="s">
        <v>5017</v>
      </c>
      <c r="G2487" s="1" t="s">
        <v>5018</v>
      </c>
      <c r="H2487" s="1">
        <v>0.1</v>
      </c>
      <c r="I2487" s="1">
        <v>0.1</v>
      </c>
      <c r="J2487" s="1">
        <v>0.75953243349065958</v>
      </c>
      <c r="K2487" s="1" t="s">
        <v>181</v>
      </c>
    </row>
    <row r="2488" spans="1:11" x14ac:dyDescent="0.25">
      <c r="A2488" s="1" t="s">
        <v>7906</v>
      </c>
      <c r="B2488" s="1" t="s">
        <v>7781</v>
      </c>
      <c r="C2488" s="1" t="s">
        <v>7907</v>
      </c>
      <c r="D2488" s="1" t="s">
        <v>7908</v>
      </c>
      <c r="E2488" s="1" t="s">
        <v>178</v>
      </c>
      <c r="F2488" s="1" t="s">
        <v>5017</v>
      </c>
      <c r="G2488" s="1" t="s">
        <v>5018</v>
      </c>
      <c r="H2488" s="1">
        <v>0.1</v>
      </c>
      <c r="I2488" s="1">
        <v>0.1</v>
      </c>
      <c r="J2488" s="1">
        <v>0.81848599165968627</v>
      </c>
      <c r="K2488" s="1" t="s">
        <v>181</v>
      </c>
    </row>
    <row r="2489" spans="1:11" x14ac:dyDescent="0.25">
      <c r="A2489" s="1" t="s">
        <v>7909</v>
      </c>
      <c r="B2489" s="1" t="s">
        <v>7781</v>
      </c>
      <c r="C2489" s="1" t="s">
        <v>7910</v>
      </c>
      <c r="D2489" s="1" t="s">
        <v>7911</v>
      </c>
      <c r="E2489" s="1" t="s">
        <v>178</v>
      </c>
      <c r="F2489" s="1" t="s">
        <v>5017</v>
      </c>
      <c r="G2489" s="1" t="s">
        <v>5018</v>
      </c>
      <c r="H2489" s="1">
        <v>0.1</v>
      </c>
      <c r="I2489" s="1">
        <v>0.1</v>
      </c>
      <c r="J2489" s="1">
        <v>0.82477542537695991</v>
      </c>
      <c r="K2489" s="1" t="s">
        <v>181</v>
      </c>
    </row>
    <row r="2490" spans="1:11" x14ac:dyDescent="0.25">
      <c r="A2490" s="1" t="s">
        <v>7912</v>
      </c>
      <c r="B2490" s="1" t="s">
        <v>7599</v>
      </c>
      <c r="C2490" s="1" t="s">
        <v>7913</v>
      </c>
      <c r="D2490" s="1" t="s">
        <v>7914</v>
      </c>
      <c r="E2490" s="1" t="s">
        <v>178</v>
      </c>
      <c r="F2490" s="1" t="s">
        <v>5017</v>
      </c>
      <c r="G2490" s="1" t="s">
        <v>5018</v>
      </c>
      <c r="H2490" s="1">
        <v>0.1</v>
      </c>
      <c r="I2490" s="1">
        <v>0.1</v>
      </c>
      <c r="J2490" s="1">
        <v>0.75953243349065958</v>
      </c>
      <c r="K2490" s="1" t="s">
        <v>181</v>
      </c>
    </row>
    <row r="2491" spans="1:11" x14ac:dyDescent="0.25">
      <c r="A2491" s="1" t="s">
        <v>7915</v>
      </c>
      <c r="B2491" s="1" t="s">
        <v>7599</v>
      </c>
      <c r="C2491" s="1" t="s">
        <v>7916</v>
      </c>
      <c r="D2491" s="1" t="s">
        <v>7917</v>
      </c>
      <c r="E2491" s="1" t="s">
        <v>178</v>
      </c>
      <c r="F2491" s="1" t="s">
        <v>5017</v>
      </c>
      <c r="G2491" s="1" t="s">
        <v>5018</v>
      </c>
      <c r="H2491" s="1">
        <v>0.1</v>
      </c>
      <c r="I2491" s="1">
        <v>0.1</v>
      </c>
      <c r="J2491" s="1">
        <v>0.75953243349065958</v>
      </c>
      <c r="K2491" s="1" t="s">
        <v>181</v>
      </c>
    </row>
    <row r="2492" spans="1:11" x14ac:dyDescent="0.25">
      <c r="A2492" s="1" t="s">
        <v>7918</v>
      </c>
      <c r="B2492" s="1" t="s">
        <v>7599</v>
      </c>
      <c r="C2492" s="1" t="s">
        <v>7919</v>
      </c>
      <c r="D2492" s="1" t="s">
        <v>7920</v>
      </c>
      <c r="E2492" s="1" t="s">
        <v>178</v>
      </c>
      <c r="F2492" s="1" t="s">
        <v>5017</v>
      </c>
      <c r="G2492" s="1" t="s">
        <v>5018</v>
      </c>
      <c r="H2492" s="1">
        <v>0.1</v>
      </c>
      <c r="I2492" s="1">
        <v>0.1</v>
      </c>
      <c r="J2492" s="1">
        <v>0.80877936244996829</v>
      </c>
      <c r="K2492" s="1" t="s">
        <v>181</v>
      </c>
    </row>
    <row r="2493" spans="1:11" x14ac:dyDescent="0.25">
      <c r="A2493" s="1" t="s">
        <v>7921</v>
      </c>
      <c r="B2493" s="1" t="s">
        <v>7599</v>
      </c>
      <c r="C2493" s="1" t="s">
        <v>7922</v>
      </c>
      <c r="D2493" s="1" t="s">
        <v>7923</v>
      </c>
      <c r="E2493" s="1" t="s">
        <v>178</v>
      </c>
      <c r="F2493" s="1" t="s">
        <v>5017</v>
      </c>
      <c r="G2493" s="1" t="s">
        <v>5018</v>
      </c>
      <c r="H2493" s="1">
        <v>0.1</v>
      </c>
      <c r="I2493" s="1">
        <v>0.1</v>
      </c>
      <c r="J2493" s="1">
        <v>0.71680275901778445</v>
      </c>
      <c r="K2493" s="1" t="s">
        <v>181</v>
      </c>
    </row>
    <row r="2494" spans="1:11" x14ac:dyDescent="0.25">
      <c r="A2494" s="1" t="s">
        <v>7924</v>
      </c>
      <c r="B2494" s="1" t="s">
        <v>7599</v>
      </c>
      <c r="C2494" s="1" t="s">
        <v>7925</v>
      </c>
      <c r="D2494" s="1" t="s">
        <v>7926</v>
      </c>
      <c r="E2494" s="1" t="s">
        <v>178</v>
      </c>
      <c r="F2494" s="1" t="s">
        <v>5017</v>
      </c>
      <c r="G2494" s="1" t="s">
        <v>5018</v>
      </c>
      <c r="H2494" s="1">
        <v>0.1</v>
      </c>
      <c r="I2494" s="1">
        <v>0.1</v>
      </c>
      <c r="J2494" s="1">
        <v>0.75953243349065958</v>
      </c>
      <c r="K2494" s="1" t="s">
        <v>181</v>
      </c>
    </row>
    <row r="2495" spans="1:11" x14ac:dyDescent="0.25">
      <c r="A2495" s="1" t="s">
        <v>7927</v>
      </c>
      <c r="B2495" s="1" t="s">
        <v>7599</v>
      </c>
      <c r="C2495" s="1" t="s">
        <v>7928</v>
      </c>
      <c r="D2495" s="1" t="s">
        <v>7929</v>
      </c>
      <c r="E2495" s="1" t="s">
        <v>178</v>
      </c>
      <c r="F2495" s="1" t="s">
        <v>5017</v>
      </c>
      <c r="G2495" s="1" t="s">
        <v>5018</v>
      </c>
      <c r="H2495" s="1">
        <v>0.1</v>
      </c>
      <c r="I2495" s="1">
        <v>0.1</v>
      </c>
      <c r="J2495" s="1">
        <v>0.77997100289017307</v>
      </c>
      <c r="K2495" s="1" t="s">
        <v>181</v>
      </c>
    </row>
    <row r="2496" spans="1:11" x14ac:dyDescent="0.25">
      <c r="A2496" s="1" t="s">
        <v>7930</v>
      </c>
      <c r="B2496" s="1" t="s">
        <v>7599</v>
      </c>
      <c r="C2496" s="1" t="s">
        <v>7931</v>
      </c>
      <c r="D2496" s="1" t="s">
        <v>7932</v>
      </c>
      <c r="E2496" s="1" t="s">
        <v>178</v>
      </c>
      <c r="F2496" s="1" t="s">
        <v>5017</v>
      </c>
      <c r="G2496" s="1" t="s">
        <v>5018</v>
      </c>
      <c r="H2496" s="1">
        <v>0.1</v>
      </c>
      <c r="I2496" s="1">
        <v>0.1</v>
      </c>
      <c r="J2496" s="1">
        <v>0.75953243349065958</v>
      </c>
      <c r="K2496" s="1" t="s">
        <v>181</v>
      </c>
    </row>
    <row r="2497" spans="1:11" x14ac:dyDescent="0.25">
      <c r="A2497" s="1" t="s">
        <v>7933</v>
      </c>
      <c r="B2497" s="1" t="s">
        <v>7599</v>
      </c>
      <c r="C2497" s="1" t="s">
        <v>7934</v>
      </c>
      <c r="D2497" s="1" t="s">
        <v>7935</v>
      </c>
      <c r="E2497" s="1" t="s">
        <v>178</v>
      </c>
      <c r="F2497" s="1" t="s">
        <v>5017</v>
      </c>
      <c r="G2497" s="1" t="s">
        <v>5018</v>
      </c>
      <c r="H2497" s="1">
        <v>0.1</v>
      </c>
      <c r="I2497" s="1">
        <v>0.1</v>
      </c>
      <c r="J2497" s="1">
        <v>0.75953243349065958</v>
      </c>
      <c r="K2497" s="1" t="s">
        <v>181</v>
      </c>
    </row>
    <row r="2498" spans="1:11" x14ac:dyDescent="0.25">
      <c r="A2498" s="1" t="s">
        <v>7936</v>
      </c>
      <c r="B2498" s="1" t="s">
        <v>7741</v>
      </c>
      <c r="C2498" s="1" t="s">
        <v>7937</v>
      </c>
      <c r="D2498" s="1" t="s">
        <v>7938</v>
      </c>
      <c r="E2498" s="1" t="s">
        <v>178</v>
      </c>
      <c r="F2498" s="1" t="s">
        <v>5017</v>
      </c>
      <c r="G2498" s="1" t="s">
        <v>5018</v>
      </c>
      <c r="H2498" s="1">
        <v>0.1</v>
      </c>
      <c r="I2498" s="1">
        <v>0.1</v>
      </c>
      <c r="J2498" s="1">
        <v>0.6852776159735986</v>
      </c>
      <c r="K2498" s="1" t="s">
        <v>181</v>
      </c>
    </row>
    <row r="2499" spans="1:11" x14ac:dyDescent="0.25">
      <c r="A2499" s="1" t="s">
        <v>7939</v>
      </c>
      <c r="B2499" s="1" t="s">
        <v>7940</v>
      </c>
      <c r="C2499" s="1" t="s">
        <v>7941</v>
      </c>
      <c r="D2499" s="1" t="s">
        <v>7942</v>
      </c>
      <c r="E2499" s="1" t="s">
        <v>178</v>
      </c>
      <c r="F2499" s="1" t="s">
        <v>5017</v>
      </c>
      <c r="G2499" s="1" t="s">
        <v>5018</v>
      </c>
      <c r="H2499" s="1">
        <v>0.1</v>
      </c>
      <c r="I2499" s="1">
        <v>0.1</v>
      </c>
      <c r="J2499" s="1">
        <v>0.94376790703150881</v>
      </c>
      <c r="K2499" s="1" t="s">
        <v>181</v>
      </c>
    </row>
    <row r="2500" spans="1:11" x14ac:dyDescent="0.25">
      <c r="A2500" s="1" t="s">
        <v>7943</v>
      </c>
      <c r="B2500" s="1" t="s">
        <v>7599</v>
      </c>
      <c r="C2500" s="1" t="s">
        <v>7944</v>
      </c>
      <c r="D2500" s="1" t="s">
        <v>7945</v>
      </c>
      <c r="E2500" s="1" t="s">
        <v>178</v>
      </c>
      <c r="F2500" s="1" t="s">
        <v>5017</v>
      </c>
      <c r="G2500" s="1" t="s">
        <v>5018</v>
      </c>
      <c r="H2500" s="1">
        <v>0.1</v>
      </c>
      <c r="I2500" s="1">
        <v>0.1</v>
      </c>
      <c r="J2500" s="1">
        <v>0.71680275901778445</v>
      </c>
      <c r="K2500" s="1" t="s">
        <v>181</v>
      </c>
    </row>
    <row r="2501" spans="1:11" x14ac:dyDescent="0.25">
      <c r="A2501" s="1" t="s">
        <v>7946</v>
      </c>
      <c r="B2501" s="1" t="s">
        <v>7947</v>
      </c>
      <c r="C2501" s="1" t="s">
        <v>7948</v>
      </c>
      <c r="D2501" s="1" t="s">
        <v>7949</v>
      </c>
      <c r="E2501" s="1" t="s">
        <v>178</v>
      </c>
      <c r="F2501" s="1" t="s">
        <v>5017</v>
      </c>
      <c r="G2501" s="1" t="s">
        <v>5018</v>
      </c>
      <c r="H2501" s="1">
        <v>0.1</v>
      </c>
      <c r="I2501" s="1">
        <v>0.1</v>
      </c>
      <c r="J2501" s="1">
        <v>0.66257399530718697</v>
      </c>
      <c r="K2501" s="1" t="s">
        <v>181</v>
      </c>
    </row>
    <row r="2502" spans="1:11" x14ac:dyDescent="0.25">
      <c r="A2502" s="1" t="s">
        <v>7950</v>
      </c>
      <c r="B2502" s="1" t="s">
        <v>7951</v>
      </c>
      <c r="C2502" s="1" t="s">
        <v>7952</v>
      </c>
      <c r="D2502" s="1" t="s">
        <v>7953</v>
      </c>
      <c r="E2502" s="1" t="s">
        <v>178</v>
      </c>
      <c r="F2502" s="1" t="s">
        <v>5017</v>
      </c>
      <c r="G2502" s="1" t="s">
        <v>5018</v>
      </c>
      <c r="H2502" s="1">
        <v>0.1</v>
      </c>
      <c r="I2502" s="1">
        <v>0.1</v>
      </c>
      <c r="J2502" s="1">
        <v>0.67052309937603161</v>
      </c>
      <c r="K2502" s="1" t="s">
        <v>181</v>
      </c>
    </row>
    <row r="2503" spans="1:11" x14ac:dyDescent="0.25">
      <c r="A2503" s="1" t="s">
        <v>7954</v>
      </c>
      <c r="B2503" s="1" t="s">
        <v>7955</v>
      </c>
      <c r="C2503" s="1" t="s">
        <v>7956</v>
      </c>
      <c r="D2503" s="1" t="s">
        <v>7957</v>
      </c>
      <c r="E2503" s="1" t="s">
        <v>178</v>
      </c>
      <c r="F2503" s="1" t="s">
        <v>5017</v>
      </c>
      <c r="G2503" s="1" t="s">
        <v>5018</v>
      </c>
      <c r="H2503" s="1">
        <v>0.1</v>
      </c>
      <c r="I2503" s="1">
        <v>0.1</v>
      </c>
      <c r="J2503" s="1">
        <v>0.68803779553739808</v>
      </c>
      <c r="K2503" s="1" t="s">
        <v>181</v>
      </c>
    </row>
    <row r="2504" spans="1:11" x14ac:dyDescent="0.25">
      <c r="A2504" s="1" t="s">
        <v>7958</v>
      </c>
      <c r="B2504" s="1" t="s">
        <v>7959</v>
      </c>
      <c r="C2504" s="1" t="s">
        <v>7960</v>
      </c>
      <c r="D2504" s="1" t="s">
        <v>7961</v>
      </c>
      <c r="E2504" s="1" t="s">
        <v>178</v>
      </c>
      <c r="F2504" s="1" t="s">
        <v>5017</v>
      </c>
      <c r="G2504" s="1" t="s">
        <v>5018</v>
      </c>
      <c r="H2504" s="1">
        <v>0.1</v>
      </c>
      <c r="I2504" s="1">
        <v>0.1</v>
      </c>
      <c r="J2504" s="1">
        <v>0.45710090431213707</v>
      </c>
      <c r="K2504" s="1" t="s">
        <v>181</v>
      </c>
    </row>
    <row r="2505" spans="1:11" x14ac:dyDescent="0.25">
      <c r="A2505" s="1" t="s">
        <v>7962</v>
      </c>
      <c r="B2505" s="1" t="s">
        <v>7963</v>
      </c>
      <c r="C2505" s="1" t="s">
        <v>7964</v>
      </c>
      <c r="D2505" s="1" t="s">
        <v>7965</v>
      </c>
      <c r="E2505" s="1" t="s">
        <v>178</v>
      </c>
      <c r="F2505" s="1" t="s">
        <v>5017</v>
      </c>
      <c r="G2505" s="1" t="s">
        <v>5018</v>
      </c>
      <c r="H2505" s="1">
        <v>0.1</v>
      </c>
      <c r="I2505" s="1">
        <v>0.1</v>
      </c>
      <c r="J2505" s="1">
        <v>0.83948033134910993</v>
      </c>
      <c r="K2505" s="1" t="s">
        <v>181</v>
      </c>
    </row>
    <row r="2506" spans="1:11" x14ac:dyDescent="0.25">
      <c r="A2506" s="1" t="s">
        <v>7966</v>
      </c>
      <c r="B2506" s="1" t="s">
        <v>7967</v>
      </c>
      <c r="C2506" s="1" t="s">
        <v>7968</v>
      </c>
      <c r="D2506" s="1" t="s">
        <v>7969</v>
      </c>
      <c r="E2506" s="1" t="s">
        <v>178</v>
      </c>
      <c r="F2506" s="1" t="s">
        <v>5017</v>
      </c>
      <c r="G2506" s="1" t="s">
        <v>5018</v>
      </c>
      <c r="H2506" s="1">
        <v>0.1</v>
      </c>
      <c r="I2506" s="1">
        <v>0.1</v>
      </c>
      <c r="J2506" s="1">
        <v>1.0418855455912572</v>
      </c>
      <c r="K2506" s="1" t="s">
        <v>181</v>
      </c>
    </row>
    <row r="2507" spans="1:11" x14ac:dyDescent="0.25">
      <c r="A2507" s="1" t="s">
        <v>7970</v>
      </c>
      <c r="B2507" s="1" t="s">
        <v>7967</v>
      </c>
      <c r="C2507" s="1" t="s">
        <v>7971</v>
      </c>
      <c r="D2507" s="1" t="s">
        <v>7972</v>
      </c>
      <c r="E2507" s="1" t="s">
        <v>178</v>
      </c>
      <c r="F2507" s="1" t="s">
        <v>5017</v>
      </c>
      <c r="G2507" s="1" t="s">
        <v>5018</v>
      </c>
      <c r="H2507" s="1">
        <v>0.1</v>
      </c>
      <c r="I2507" s="1">
        <v>0.1</v>
      </c>
      <c r="J2507" s="1">
        <v>0.9448627954439982</v>
      </c>
      <c r="K2507" s="1" t="s">
        <v>181</v>
      </c>
    </row>
    <row r="2508" spans="1:11" x14ac:dyDescent="0.25">
      <c r="A2508" s="1" t="s">
        <v>7973</v>
      </c>
      <c r="B2508" s="1" t="s">
        <v>7974</v>
      </c>
      <c r="C2508" s="1" t="s">
        <v>7975</v>
      </c>
      <c r="D2508" s="1" t="s">
        <v>7976</v>
      </c>
      <c r="E2508" s="1" t="s">
        <v>178</v>
      </c>
      <c r="F2508" s="1" t="s">
        <v>5017</v>
      </c>
      <c r="G2508" s="1" t="s">
        <v>5018</v>
      </c>
      <c r="H2508" s="1">
        <v>0.1</v>
      </c>
      <c r="I2508" s="1">
        <v>0.1</v>
      </c>
      <c r="J2508" s="1">
        <v>0.47606402686669347</v>
      </c>
      <c r="K2508" s="1" t="s">
        <v>181</v>
      </c>
    </row>
    <row r="2509" spans="1:11" x14ac:dyDescent="0.25">
      <c r="A2509" s="1" t="s">
        <v>7977</v>
      </c>
      <c r="B2509" s="1" t="s">
        <v>7978</v>
      </c>
      <c r="C2509" s="1" t="s">
        <v>7979</v>
      </c>
      <c r="D2509" s="1" t="s">
        <v>7980</v>
      </c>
      <c r="E2509" s="1" t="s">
        <v>178</v>
      </c>
      <c r="F2509" s="1" t="s">
        <v>5017</v>
      </c>
      <c r="G2509" s="1" t="s">
        <v>5018</v>
      </c>
      <c r="H2509" s="1">
        <v>0.1</v>
      </c>
      <c r="I2509" s="1">
        <v>0.1</v>
      </c>
      <c r="J2509" s="1">
        <v>0.48563618926895125</v>
      </c>
      <c r="K2509" s="1" t="s">
        <v>181</v>
      </c>
    </row>
    <row r="2510" spans="1:11" x14ac:dyDescent="0.25">
      <c r="A2510" s="1" t="s">
        <v>7981</v>
      </c>
      <c r="B2510" s="1" t="s">
        <v>7982</v>
      </c>
      <c r="C2510" s="1" t="s">
        <v>7983</v>
      </c>
      <c r="D2510" s="1" t="s">
        <v>7984</v>
      </c>
      <c r="E2510" s="1" t="s">
        <v>178</v>
      </c>
      <c r="F2510" s="1" t="s">
        <v>5017</v>
      </c>
      <c r="G2510" s="1" t="s">
        <v>5018</v>
      </c>
      <c r="H2510" s="1">
        <v>0.1</v>
      </c>
      <c r="I2510" s="1">
        <v>0.1</v>
      </c>
      <c r="J2510" s="1">
        <v>0.54018726430633435</v>
      </c>
      <c r="K2510" s="1" t="s">
        <v>181</v>
      </c>
    </row>
    <row r="2511" spans="1:11" x14ac:dyDescent="0.25">
      <c r="A2511" s="1" t="s">
        <v>7985</v>
      </c>
      <c r="B2511" s="1" t="s">
        <v>7986</v>
      </c>
      <c r="C2511" s="1" t="s">
        <v>7987</v>
      </c>
      <c r="D2511" s="1" t="s">
        <v>7988</v>
      </c>
      <c r="E2511" s="1" t="s">
        <v>178</v>
      </c>
      <c r="F2511" s="1" t="s">
        <v>5017</v>
      </c>
      <c r="G2511" s="1" t="s">
        <v>5018</v>
      </c>
      <c r="H2511" s="1">
        <v>0.1</v>
      </c>
      <c r="I2511" s="1">
        <v>0.1</v>
      </c>
      <c r="J2511" s="1">
        <v>0.7038012445979086</v>
      </c>
      <c r="K2511" s="1" t="s">
        <v>181</v>
      </c>
    </row>
    <row r="2512" spans="1:11" x14ac:dyDescent="0.25">
      <c r="A2512" s="1" t="s">
        <v>7989</v>
      </c>
      <c r="B2512" s="1" t="s">
        <v>7716</v>
      </c>
      <c r="C2512" s="1" t="s">
        <v>7990</v>
      </c>
      <c r="D2512" s="1" t="s">
        <v>7991</v>
      </c>
      <c r="E2512" s="1" t="s">
        <v>178</v>
      </c>
      <c r="F2512" s="1" t="s">
        <v>5017</v>
      </c>
      <c r="G2512" s="1" t="s">
        <v>5018</v>
      </c>
      <c r="H2512" s="1">
        <v>0.1</v>
      </c>
      <c r="I2512" s="1">
        <v>0.1</v>
      </c>
      <c r="J2512" s="1">
        <v>1.1565266878062355</v>
      </c>
      <c r="K2512" s="1" t="s">
        <v>181</v>
      </c>
    </row>
    <row r="2513" spans="1:11" x14ac:dyDescent="0.25">
      <c r="A2513" s="1" t="s">
        <v>7992</v>
      </c>
      <c r="B2513" s="1" t="s">
        <v>7993</v>
      </c>
      <c r="C2513" s="1" t="s">
        <v>7994</v>
      </c>
      <c r="D2513" s="1" t="s">
        <v>7995</v>
      </c>
      <c r="E2513" s="1" t="s">
        <v>178</v>
      </c>
      <c r="F2513" s="1" t="s">
        <v>5017</v>
      </c>
      <c r="G2513" s="1" t="s">
        <v>5018</v>
      </c>
      <c r="H2513" s="1">
        <v>0.1</v>
      </c>
      <c r="I2513" s="1">
        <v>0.1</v>
      </c>
      <c r="J2513" s="1">
        <v>0.72135714376992233</v>
      </c>
      <c r="K2513" s="1" t="s">
        <v>181</v>
      </c>
    </row>
    <row r="2514" spans="1:11" x14ac:dyDescent="0.25">
      <c r="A2514" s="1" t="s">
        <v>7996</v>
      </c>
      <c r="B2514" s="1" t="s">
        <v>7997</v>
      </c>
      <c r="C2514" s="1" t="s">
        <v>7998</v>
      </c>
      <c r="D2514" s="1" t="s">
        <v>7999</v>
      </c>
      <c r="E2514" s="1" t="s">
        <v>178</v>
      </c>
      <c r="F2514" s="1" t="s">
        <v>5017</v>
      </c>
      <c r="G2514" s="1" t="s">
        <v>5018</v>
      </c>
      <c r="H2514" s="1">
        <v>0.1</v>
      </c>
      <c r="I2514" s="1">
        <v>0.1</v>
      </c>
      <c r="J2514" s="1">
        <v>0.99092700479163531</v>
      </c>
      <c r="K2514" s="1" t="s">
        <v>181</v>
      </c>
    </row>
    <row r="2515" spans="1:11" x14ac:dyDescent="0.25">
      <c r="A2515" s="1" t="s">
        <v>8000</v>
      </c>
      <c r="B2515" s="1" t="s">
        <v>8001</v>
      </c>
      <c r="C2515" s="1" t="s">
        <v>8002</v>
      </c>
      <c r="D2515" s="1" t="s">
        <v>8003</v>
      </c>
      <c r="E2515" s="1" t="s">
        <v>178</v>
      </c>
      <c r="F2515" s="1" t="s">
        <v>5017</v>
      </c>
      <c r="G2515" s="1" t="s">
        <v>5018</v>
      </c>
      <c r="H2515" s="1">
        <v>0.1</v>
      </c>
      <c r="I2515" s="1">
        <v>0.1</v>
      </c>
      <c r="J2515" s="1">
        <v>0.60831398212713905</v>
      </c>
      <c r="K2515" s="1" t="s">
        <v>181</v>
      </c>
    </row>
    <row r="2516" spans="1:11" x14ac:dyDescent="0.25">
      <c r="A2516" s="1" t="s">
        <v>8004</v>
      </c>
      <c r="B2516" s="1" t="s">
        <v>8005</v>
      </c>
      <c r="C2516" s="1" t="s">
        <v>8006</v>
      </c>
      <c r="D2516" s="1" t="s">
        <v>8007</v>
      </c>
      <c r="E2516" s="1" t="s">
        <v>178</v>
      </c>
      <c r="F2516" s="1" t="s">
        <v>5017</v>
      </c>
      <c r="G2516" s="1" t="s">
        <v>5018</v>
      </c>
      <c r="H2516" s="1">
        <v>0.1</v>
      </c>
      <c r="I2516" s="1">
        <v>0.1</v>
      </c>
      <c r="J2516" s="1">
        <v>0.65786762523429365</v>
      </c>
      <c r="K2516" s="1" t="s">
        <v>181</v>
      </c>
    </row>
    <row r="2517" spans="1:11" x14ac:dyDescent="0.25">
      <c r="A2517" s="1" t="s">
        <v>8008</v>
      </c>
      <c r="B2517" s="1" t="s">
        <v>8009</v>
      </c>
      <c r="C2517" s="1" t="s">
        <v>8010</v>
      </c>
      <c r="D2517" s="1" t="s">
        <v>8011</v>
      </c>
      <c r="E2517" s="1" t="s">
        <v>178</v>
      </c>
      <c r="F2517" s="1" t="s">
        <v>5017</v>
      </c>
      <c r="G2517" s="1" t="s">
        <v>5018</v>
      </c>
      <c r="H2517" s="1">
        <v>0.1</v>
      </c>
      <c r="I2517" s="1">
        <v>0.1</v>
      </c>
      <c r="J2517" s="1">
        <v>0.91433894330778831</v>
      </c>
      <c r="K2517" s="1" t="s">
        <v>181</v>
      </c>
    </row>
    <row r="2518" spans="1:11" x14ac:dyDescent="0.25">
      <c r="A2518" s="1" t="s">
        <v>8012</v>
      </c>
      <c r="B2518" s="1" t="s">
        <v>8013</v>
      </c>
      <c r="C2518" s="1" t="s">
        <v>8014</v>
      </c>
      <c r="D2518" s="1" t="s">
        <v>8015</v>
      </c>
      <c r="E2518" s="1" t="s">
        <v>178</v>
      </c>
      <c r="F2518" s="1" t="s">
        <v>5017</v>
      </c>
      <c r="G2518" s="1" t="s">
        <v>5018</v>
      </c>
      <c r="H2518" s="1">
        <v>0.1</v>
      </c>
      <c r="I2518" s="1">
        <v>0.1</v>
      </c>
      <c r="J2518" s="1">
        <v>0.43832669003040087</v>
      </c>
      <c r="K2518" s="1" t="s">
        <v>181</v>
      </c>
    </row>
    <row r="2519" spans="1:11" x14ac:dyDescent="0.25">
      <c r="A2519" s="1" t="s">
        <v>8016</v>
      </c>
      <c r="B2519" s="1" t="s">
        <v>8017</v>
      </c>
      <c r="C2519" s="1" t="s">
        <v>8018</v>
      </c>
      <c r="D2519" s="1" t="s">
        <v>8019</v>
      </c>
      <c r="E2519" s="1" t="s">
        <v>178</v>
      </c>
      <c r="F2519" s="1" t="s">
        <v>5017</v>
      </c>
      <c r="G2519" s="1" t="s">
        <v>5018</v>
      </c>
      <c r="H2519" s="1">
        <v>0.1</v>
      </c>
      <c r="I2519" s="1">
        <v>0.1</v>
      </c>
      <c r="J2519" s="1">
        <v>1.1260881127680902</v>
      </c>
      <c r="K2519" s="1" t="s">
        <v>181</v>
      </c>
    </row>
    <row r="2520" spans="1:11" x14ac:dyDescent="0.25">
      <c r="A2520" s="1" t="s">
        <v>8020</v>
      </c>
      <c r="B2520" s="1" t="s">
        <v>8021</v>
      </c>
      <c r="C2520" s="1" t="s">
        <v>8022</v>
      </c>
      <c r="D2520" s="1" t="s">
        <v>8023</v>
      </c>
      <c r="E2520" s="1" t="s">
        <v>178</v>
      </c>
      <c r="F2520" s="1" t="s">
        <v>5017</v>
      </c>
      <c r="G2520" s="1" t="s">
        <v>5018</v>
      </c>
      <c r="H2520" s="1">
        <v>0.1</v>
      </c>
      <c r="I2520" s="1">
        <v>0.1</v>
      </c>
      <c r="J2520" s="1">
        <v>0.89582190490769709</v>
      </c>
      <c r="K2520" s="1" t="s">
        <v>181</v>
      </c>
    </row>
    <row r="2521" spans="1:11" x14ac:dyDescent="0.25">
      <c r="A2521" s="1" t="s">
        <v>8024</v>
      </c>
      <c r="B2521" s="1" t="s">
        <v>8025</v>
      </c>
      <c r="C2521" s="1" t="s">
        <v>8026</v>
      </c>
      <c r="D2521" s="1" t="s">
        <v>8027</v>
      </c>
      <c r="E2521" s="1" t="s">
        <v>178</v>
      </c>
      <c r="F2521" s="1" t="s">
        <v>5017</v>
      </c>
      <c r="G2521" s="1" t="s">
        <v>5018</v>
      </c>
      <c r="H2521" s="1">
        <v>0.1</v>
      </c>
      <c r="I2521" s="1">
        <v>0.1</v>
      </c>
      <c r="J2521" s="1">
        <v>0.66088671017978406</v>
      </c>
      <c r="K2521" s="1" t="s">
        <v>181</v>
      </c>
    </row>
    <row r="2522" spans="1:11" x14ac:dyDescent="0.25">
      <c r="A2522" s="1" t="s">
        <v>8028</v>
      </c>
      <c r="B2522" s="1" t="s">
        <v>6968</v>
      </c>
      <c r="C2522" s="1" t="s">
        <v>8029</v>
      </c>
      <c r="D2522" s="1" t="s">
        <v>8030</v>
      </c>
      <c r="E2522" s="1" t="s">
        <v>178</v>
      </c>
      <c r="F2522" s="1" t="s">
        <v>5017</v>
      </c>
      <c r="G2522" s="1" t="s">
        <v>5018</v>
      </c>
      <c r="H2522" s="1">
        <v>0.1</v>
      </c>
      <c r="I2522" s="1">
        <v>0.1</v>
      </c>
      <c r="J2522" s="1">
        <v>0.78667330143792291</v>
      </c>
      <c r="K2522" s="1" t="s">
        <v>181</v>
      </c>
    </row>
    <row r="2523" spans="1:11" x14ac:dyDescent="0.25">
      <c r="A2523" s="1" t="s">
        <v>8031</v>
      </c>
      <c r="B2523" s="1" t="s">
        <v>8032</v>
      </c>
      <c r="C2523" s="1" t="s">
        <v>8033</v>
      </c>
      <c r="D2523" s="1" t="s">
        <v>8034</v>
      </c>
      <c r="E2523" s="1" t="s">
        <v>178</v>
      </c>
      <c r="F2523" s="1" t="s">
        <v>5017</v>
      </c>
      <c r="G2523" s="1" t="s">
        <v>5018</v>
      </c>
      <c r="H2523" s="1">
        <v>0.1</v>
      </c>
      <c r="I2523" s="1">
        <v>0.1</v>
      </c>
      <c r="J2523" s="1">
        <v>0.39165425924885622</v>
      </c>
      <c r="K2523" s="1" t="s">
        <v>181</v>
      </c>
    </row>
    <row r="2524" spans="1:11" x14ac:dyDescent="0.25">
      <c r="A2524" s="1" t="s">
        <v>8035</v>
      </c>
      <c r="B2524" s="1" t="s">
        <v>8036</v>
      </c>
      <c r="C2524" s="1" t="s">
        <v>8037</v>
      </c>
      <c r="D2524" s="1" t="s">
        <v>8038</v>
      </c>
      <c r="E2524" s="1" t="s">
        <v>178</v>
      </c>
      <c r="F2524" s="1" t="s">
        <v>5017</v>
      </c>
      <c r="G2524" s="1" t="s">
        <v>5018</v>
      </c>
      <c r="H2524" s="1">
        <v>0.1</v>
      </c>
      <c r="I2524" s="1">
        <v>0.1</v>
      </c>
      <c r="J2524" s="1">
        <v>0.40162597422165269</v>
      </c>
      <c r="K2524" s="1" t="s">
        <v>181</v>
      </c>
    </row>
    <row r="2525" spans="1:11" x14ac:dyDescent="0.25">
      <c r="A2525" s="1" t="s">
        <v>8039</v>
      </c>
      <c r="B2525" s="1" t="s">
        <v>8040</v>
      </c>
      <c r="C2525" s="1" t="s">
        <v>8041</v>
      </c>
      <c r="D2525" s="1" t="s">
        <v>8042</v>
      </c>
      <c r="E2525" s="1" t="s">
        <v>178</v>
      </c>
      <c r="F2525" s="1" t="s">
        <v>5017</v>
      </c>
      <c r="G2525" s="1" t="s">
        <v>5018</v>
      </c>
      <c r="H2525" s="1">
        <v>0.1</v>
      </c>
      <c r="I2525" s="1">
        <v>0.1</v>
      </c>
      <c r="J2525" s="1">
        <v>0.94539931825104795</v>
      </c>
      <c r="K2525" s="1" t="s">
        <v>181</v>
      </c>
    </row>
    <row r="2526" spans="1:11" x14ac:dyDescent="0.25">
      <c r="A2526" s="1" t="s">
        <v>8043</v>
      </c>
      <c r="B2526" s="1" t="s">
        <v>8044</v>
      </c>
      <c r="C2526" s="1" t="s">
        <v>8045</v>
      </c>
      <c r="D2526" s="1" t="s">
        <v>8046</v>
      </c>
      <c r="E2526" s="1" t="s">
        <v>178</v>
      </c>
      <c r="F2526" s="1" t="s">
        <v>5017</v>
      </c>
      <c r="G2526" s="1" t="s">
        <v>5018</v>
      </c>
      <c r="H2526" s="1">
        <v>0.1</v>
      </c>
      <c r="I2526" s="1">
        <v>0.1</v>
      </c>
      <c r="J2526" s="1">
        <v>0.57103683564471064</v>
      </c>
      <c r="K2526" s="1" t="s">
        <v>181</v>
      </c>
    </row>
    <row r="2527" spans="1:11" x14ac:dyDescent="0.25">
      <c r="A2527" s="1" t="s">
        <v>8047</v>
      </c>
      <c r="B2527" s="1" t="s">
        <v>8048</v>
      </c>
      <c r="C2527" s="1" t="s">
        <v>8049</v>
      </c>
      <c r="D2527" s="1" t="s">
        <v>8050</v>
      </c>
      <c r="E2527" s="1" t="s">
        <v>178</v>
      </c>
      <c r="F2527" s="1" t="s">
        <v>5017</v>
      </c>
      <c r="G2527" s="1" t="s">
        <v>5018</v>
      </c>
      <c r="H2527" s="1">
        <v>0.1</v>
      </c>
      <c r="I2527" s="1">
        <v>0.1</v>
      </c>
      <c r="J2527" s="1">
        <v>0.63361411287238489</v>
      </c>
      <c r="K2527" s="1" t="s">
        <v>181</v>
      </c>
    </row>
    <row r="2528" spans="1:11" x14ac:dyDescent="0.25">
      <c r="A2528" s="1" t="s">
        <v>8051</v>
      </c>
      <c r="B2528" s="1" t="s">
        <v>8048</v>
      </c>
      <c r="C2528" s="1" t="s">
        <v>8052</v>
      </c>
      <c r="D2528" s="1" t="s">
        <v>8053</v>
      </c>
      <c r="E2528" s="1" t="s">
        <v>178</v>
      </c>
      <c r="F2528" s="1" t="s">
        <v>5017</v>
      </c>
      <c r="G2528" s="1" t="s">
        <v>5018</v>
      </c>
      <c r="H2528" s="1">
        <v>0.1</v>
      </c>
      <c r="I2528" s="1">
        <v>0.1</v>
      </c>
      <c r="J2528" s="1">
        <v>0.59566668248370869</v>
      </c>
      <c r="K2528" s="1" t="s">
        <v>181</v>
      </c>
    </row>
    <row r="2529" spans="1:11" x14ac:dyDescent="0.25">
      <c r="A2529" s="1" t="s">
        <v>8054</v>
      </c>
      <c r="B2529" s="1" t="s">
        <v>7459</v>
      </c>
      <c r="C2529" s="1" t="s">
        <v>8055</v>
      </c>
      <c r="D2529" s="1" t="s">
        <v>8056</v>
      </c>
      <c r="E2529" s="1" t="s">
        <v>178</v>
      </c>
      <c r="F2529" s="1" t="s">
        <v>5017</v>
      </c>
      <c r="G2529" s="1" t="s">
        <v>5018</v>
      </c>
      <c r="H2529" s="1">
        <v>0.1</v>
      </c>
      <c r="I2529" s="1">
        <v>0.1</v>
      </c>
      <c r="J2529" s="1">
        <v>0.79782263600880443</v>
      </c>
      <c r="K2529" s="1" t="s">
        <v>181</v>
      </c>
    </row>
    <row r="2530" spans="1:11" x14ac:dyDescent="0.25">
      <c r="A2530" s="1" t="s">
        <v>8057</v>
      </c>
      <c r="B2530" s="1" t="s">
        <v>7459</v>
      </c>
      <c r="C2530" s="1" t="s">
        <v>8058</v>
      </c>
      <c r="D2530" s="1" t="s">
        <v>8059</v>
      </c>
      <c r="E2530" s="1" t="s">
        <v>178</v>
      </c>
      <c r="F2530" s="1" t="s">
        <v>5017</v>
      </c>
      <c r="G2530" s="1" t="s">
        <v>5018</v>
      </c>
      <c r="H2530" s="1">
        <v>0.1</v>
      </c>
      <c r="I2530" s="1">
        <v>0.1</v>
      </c>
      <c r="J2530" s="1">
        <v>0.90315766100832162</v>
      </c>
      <c r="K2530" s="1" t="s">
        <v>181</v>
      </c>
    </row>
    <row r="2531" spans="1:11" x14ac:dyDescent="0.25">
      <c r="A2531" s="1" t="s">
        <v>8060</v>
      </c>
      <c r="B2531" s="1" t="s">
        <v>7459</v>
      </c>
      <c r="C2531" s="1" t="s">
        <v>8061</v>
      </c>
      <c r="D2531" s="1" t="s">
        <v>8062</v>
      </c>
      <c r="E2531" s="1" t="s">
        <v>178</v>
      </c>
      <c r="F2531" s="1" t="s">
        <v>5017</v>
      </c>
      <c r="G2531" s="1" t="s">
        <v>5018</v>
      </c>
      <c r="H2531" s="1">
        <v>0.1</v>
      </c>
      <c r="I2531" s="1">
        <v>0.1</v>
      </c>
      <c r="J2531" s="1">
        <v>0.90315766100832162</v>
      </c>
      <c r="K2531" s="1" t="s">
        <v>181</v>
      </c>
    </row>
    <row r="2532" spans="1:11" x14ac:dyDescent="0.25">
      <c r="A2532" s="1" t="s">
        <v>8063</v>
      </c>
      <c r="B2532" s="1" t="s">
        <v>7459</v>
      </c>
      <c r="C2532" s="1" t="s">
        <v>8064</v>
      </c>
      <c r="D2532" s="1" t="s">
        <v>8065</v>
      </c>
      <c r="E2532" s="1" t="s">
        <v>178</v>
      </c>
      <c r="F2532" s="1" t="s">
        <v>5017</v>
      </c>
      <c r="G2532" s="1" t="s">
        <v>5018</v>
      </c>
      <c r="H2532" s="1">
        <v>0.1</v>
      </c>
      <c r="I2532" s="1">
        <v>0.1</v>
      </c>
      <c r="J2532" s="1">
        <v>0.90315766100832162</v>
      </c>
      <c r="K2532" s="1" t="s">
        <v>181</v>
      </c>
    </row>
    <row r="2533" spans="1:11" x14ac:dyDescent="0.25">
      <c r="A2533" s="1" t="s">
        <v>8066</v>
      </c>
      <c r="B2533" s="1" t="s">
        <v>7459</v>
      </c>
      <c r="C2533" s="1" t="s">
        <v>8067</v>
      </c>
      <c r="D2533" s="1" t="s">
        <v>8068</v>
      </c>
      <c r="E2533" s="1" t="s">
        <v>178</v>
      </c>
      <c r="F2533" s="1" t="s">
        <v>5017</v>
      </c>
      <c r="G2533" s="1" t="s">
        <v>5018</v>
      </c>
      <c r="H2533" s="1">
        <v>0.1</v>
      </c>
      <c r="I2533" s="1">
        <v>0.1</v>
      </c>
      <c r="J2533" s="1">
        <v>0.90315766100832162</v>
      </c>
      <c r="K2533" s="1" t="s">
        <v>181</v>
      </c>
    </row>
    <row r="2534" spans="1:11" x14ac:dyDescent="0.25">
      <c r="A2534" s="1" t="s">
        <v>8069</v>
      </c>
      <c r="B2534" s="1" t="s">
        <v>7459</v>
      </c>
      <c r="C2534" s="1" t="s">
        <v>8070</v>
      </c>
      <c r="D2534" s="1" t="s">
        <v>8071</v>
      </c>
      <c r="E2534" s="1" t="s">
        <v>178</v>
      </c>
      <c r="F2534" s="1" t="s">
        <v>5017</v>
      </c>
      <c r="G2534" s="1" t="s">
        <v>5018</v>
      </c>
      <c r="H2534" s="1">
        <v>0.1</v>
      </c>
      <c r="I2534" s="1">
        <v>0.1</v>
      </c>
      <c r="J2534" s="1">
        <v>0.92784954467396952</v>
      </c>
      <c r="K2534" s="1" t="s">
        <v>181</v>
      </c>
    </row>
    <row r="2535" spans="1:11" x14ac:dyDescent="0.25">
      <c r="A2535" s="1" t="s">
        <v>8072</v>
      </c>
      <c r="B2535" s="1" t="s">
        <v>8073</v>
      </c>
      <c r="C2535" s="1" t="s">
        <v>8074</v>
      </c>
      <c r="D2535" s="1" t="s">
        <v>8075</v>
      </c>
      <c r="E2535" s="1" t="s">
        <v>178</v>
      </c>
      <c r="F2535" s="1" t="s">
        <v>5017</v>
      </c>
      <c r="G2535" s="1" t="s">
        <v>5018</v>
      </c>
      <c r="H2535" s="1">
        <v>0.1</v>
      </c>
      <c r="I2535" s="1">
        <v>0.1</v>
      </c>
      <c r="J2535" s="1">
        <v>0.85188116919081369</v>
      </c>
      <c r="K2535" s="1" t="s">
        <v>181</v>
      </c>
    </row>
    <row r="2536" spans="1:11" x14ac:dyDescent="0.25">
      <c r="A2536" s="1" t="s">
        <v>8076</v>
      </c>
      <c r="B2536" s="1" t="s">
        <v>8077</v>
      </c>
      <c r="C2536" s="1" t="s">
        <v>8078</v>
      </c>
      <c r="D2536" s="1" t="s">
        <v>8079</v>
      </c>
      <c r="E2536" s="1" t="s">
        <v>178</v>
      </c>
      <c r="F2536" s="1" t="s">
        <v>5017</v>
      </c>
      <c r="G2536" s="1" t="s">
        <v>5018</v>
      </c>
      <c r="H2536" s="1">
        <v>0.1</v>
      </c>
      <c r="I2536" s="1">
        <v>0.1</v>
      </c>
      <c r="J2536" s="1">
        <v>0.6037443521907313</v>
      </c>
      <c r="K2536" s="1" t="s">
        <v>181</v>
      </c>
    </row>
    <row r="2537" spans="1:11" x14ac:dyDescent="0.25">
      <c r="A2537" s="1" t="s">
        <v>8080</v>
      </c>
      <c r="B2537" s="1" t="s">
        <v>8077</v>
      </c>
      <c r="C2537" s="1" t="s">
        <v>8081</v>
      </c>
      <c r="D2537" s="1" t="s">
        <v>8082</v>
      </c>
      <c r="E2537" s="1" t="s">
        <v>178</v>
      </c>
      <c r="F2537" s="1" t="s">
        <v>5017</v>
      </c>
      <c r="G2537" s="1" t="s">
        <v>5018</v>
      </c>
      <c r="H2537" s="1">
        <v>0.1</v>
      </c>
      <c r="I2537" s="1">
        <v>0.1</v>
      </c>
      <c r="J2537" s="1">
        <v>0.50948945580410232</v>
      </c>
      <c r="K2537" s="1" t="s">
        <v>181</v>
      </c>
    </row>
    <row r="2538" spans="1:11" x14ac:dyDescent="0.25">
      <c r="A2538" s="1" t="s">
        <v>8083</v>
      </c>
      <c r="B2538" s="1" t="s">
        <v>8084</v>
      </c>
      <c r="C2538" s="1" t="s">
        <v>8085</v>
      </c>
      <c r="D2538" s="1" t="s">
        <v>8086</v>
      </c>
      <c r="E2538" s="1" t="s">
        <v>178</v>
      </c>
      <c r="F2538" s="1" t="s">
        <v>5017</v>
      </c>
      <c r="G2538" s="1" t="s">
        <v>5018</v>
      </c>
      <c r="H2538" s="1">
        <v>0.1</v>
      </c>
      <c r="I2538" s="1">
        <v>0.1</v>
      </c>
      <c r="J2538" s="1">
        <v>0.84764345968471633</v>
      </c>
      <c r="K2538" s="1" t="s">
        <v>181</v>
      </c>
    </row>
    <row r="2539" spans="1:11" x14ac:dyDescent="0.25">
      <c r="A2539" s="1" t="s">
        <v>8087</v>
      </c>
      <c r="B2539" s="1" t="s">
        <v>8084</v>
      </c>
      <c r="C2539" s="1" t="s">
        <v>8088</v>
      </c>
      <c r="D2539" s="1" t="s">
        <v>8089</v>
      </c>
      <c r="E2539" s="1" t="s">
        <v>178</v>
      </c>
      <c r="F2539" s="1" t="s">
        <v>5017</v>
      </c>
      <c r="G2539" s="1" t="s">
        <v>5018</v>
      </c>
      <c r="H2539" s="1">
        <v>0.1</v>
      </c>
      <c r="I2539" s="1">
        <v>0.1</v>
      </c>
      <c r="J2539" s="1">
        <v>0.84764345968471633</v>
      </c>
      <c r="K2539" s="1" t="s">
        <v>181</v>
      </c>
    </row>
    <row r="2540" spans="1:11" x14ac:dyDescent="0.25">
      <c r="A2540" s="1" t="s">
        <v>8090</v>
      </c>
      <c r="B2540" s="1" t="s">
        <v>8091</v>
      </c>
      <c r="C2540" s="1" t="s">
        <v>8092</v>
      </c>
      <c r="D2540" s="1" t="s">
        <v>8093</v>
      </c>
      <c r="E2540" s="1" t="s">
        <v>178</v>
      </c>
      <c r="F2540" s="1" t="s">
        <v>5017</v>
      </c>
      <c r="G2540" s="1" t="s">
        <v>5018</v>
      </c>
      <c r="H2540" s="1">
        <v>0.1</v>
      </c>
      <c r="I2540" s="1">
        <v>0.1</v>
      </c>
      <c r="J2540" s="1">
        <v>0.72320338095805115</v>
      </c>
      <c r="K2540" s="1" t="s">
        <v>181</v>
      </c>
    </row>
    <row r="2541" spans="1:11" x14ac:dyDescent="0.25">
      <c r="A2541" s="1" t="s">
        <v>8094</v>
      </c>
      <c r="B2541" s="1" t="s">
        <v>8095</v>
      </c>
      <c r="C2541" s="1" t="s">
        <v>8096</v>
      </c>
      <c r="D2541" s="1" t="s">
        <v>8097</v>
      </c>
      <c r="E2541" s="1" t="s">
        <v>178</v>
      </c>
      <c r="F2541" s="1" t="s">
        <v>5017</v>
      </c>
      <c r="G2541" s="1" t="s">
        <v>5018</v>
      </c>
      <c r="H2541" s="1">
        <v>0.1</v>
      </c>
      <c r="I2541" s="1">
        <v>0.1</v>
      </c>
      <c r="J2541" s="1">
        <v>0.85790521936180286</v>
      </c>
      <c r="K2541" s="1" t="s">
        <v>181</v>
      </c>
    </row>
    <row r="2542" spans="1:11" x14ac:dyDescent="0.25">
      <c r="A2542" s="1" t="s">
        <v>8098</v>
      </c>
      <c r="B2542" s="1" t="s">
        <v>8095</v>
      </c>
      <c r="C2542" s="1" t="s">
        <v>8099</v>
      </c>
      <c r="D2542" s="1" t="s">
        <v>8100</v>
      </c>
      <c r="E2542" s="1" t="s">
        <v>178</v>
      </c>
      <c r="F2542" s="1" t="s">
        <v>5017</v>
      </c>
      <c r="G2542" s="1" t="s">
        <v>5018</v>
      </c>
      <c r="H2542" s="1">
        <v>0.1</v>
      </c>
      <c r="I2542" s="1">
        <v>0.1</v>
      </c>
      <c r="J2542" s="1">
        <v>0.85790521936180286</v>
      </c>
      <c r="K2542" s="1" t="s">
        <v>181</v>
      </c>
    </row>
    <row r="2543" spans="1:11" x14ac:dyDescent="0.25">
      <c r="A2543" s="1" t="s">
        <v>8101</v>
      </c>
      <c r="B2543" s="1" t="s">
        <v>8102</v>
      </c>
      <c r="C2543" s="1" t="s">
        <v>8103</v>
      </c>
      <c r="D2543" s="1" t="s">
        <v>8104</v>
      </c>
      <c r="E2543" s="1" t="s">
        <v>178</v>
      </c>
      <c r="F2543" s="1" t="s">
        <v>5017</v>
      </c>
      <c r="G2543" s="1" t="s">
        <v>5018</v>
      </c>
      <c r="H2543" s="1">
        <v>0.1</v>
      </c>
      <c r="I2543" s="1">
        <v>0.1</v>
      </c>
      <c r="J2543" s="1">
        <v>0.72883445436541261</v>
      </c>
      <c r="K2543" s="1" t="s">
        <v>181</v>
      </c>
    </row>
    <row r="2544" spans="1:11" x14ac:dyDescent="0.25">
      <c r="A2544" s="1" t="s">
        <v>8105</v>
      </c>
      <c r="B2544" s="1" t="s">
        <v>8106</v>
      </c>
      <c r="C2544" s="1" t="s">
        <v>8107</v>
      </c>
      <c r="D2544" s="1" t="s">
        <v>8108</v>
      </c>
      <c r="E2544" s="1" t="s">
        <v>178</v>
      </c>
      <c r="F2544" s="1" t="s">
        <v>5017</v>
      </c>
      <c r="G2544" s="1" t="s">
        <v>5018</v>
      </c>
      <c r="H2544" s="1">
        <v>0.1</v>
      </c>
      <c r="I2544" s="1">
        <v>0.1</v>
      </c>
      <c r="J2544" s="1">
        <v>0.4899902296448827</v>
      </c>
      <c r="K2544" s="1" t="s">
        <v>181</v>
      </c>
    </row>
    <row r="2545" spans="1:11" x14ac:dyDescent="0.25">
      <c r="A2545" s="1" t="s">
        <v>8109</v>
      </c>
      <c r="B2545" s="1" t="s">
        <v>7553</v>
      </c>
      <c r="C2545" s="1" t="s">
        <v>8110</v>
      </c>
      <c r="D2545" s="1" t="s">
        <v>8111</v>
      </c>
      <c r="E2545" s="1" t="s">
        <v>178</v>
      </c>
      <c r="F2545" s="1" t="s">
        <v>5017</v>
      </c>
      <c r="G2545" s="1" t="s">
        <v>5018</v>
      </c>
      <c r="H2545" s="1">
        <v>0.1</v>
      </c>
      <c r="I2545" s="1">
        <v>0.1</v>
      </c>
      <c r="J2545" s="1">
        <v>0.81084656624957063</v>
      </c>
      <c r="K2545" s="1" t="s">
        <v>181</v>
      </c>
    </row>
    <row r="2546" spans="1:11" x14ac:dyDescent="0.25">
      <c r="A2546" s="1" t="s">
        <v>8112</v>
      </c>
      <c r="B2546" s="1" t="s">
        <v>8113</v>
      </c>
      <c r="C2546" s="1" t="s">
        <v>8114</v>
      </c>
      <c r="D2546" s="1" t="s">
        <v>8115</v>
      </c>
      <c r="E2546" s="1" t="s">
        <v>178</v>
      </c>
      <c r="F2546" s="1" t="s">
        <v>5017</v>
      </c>
      <c r="G2546" s="1" t="s">
        <v>5018</v>
      </c>
      <c r="H2546" s="1">
        <v>0.1</v>
      </c>
      <c r="I2546" s="1">
        <v>0.1</v>
      </c>
      <c r="J2546" s="1">
        <v>0.9519542681137837</v>
      </c>
      <c r="K2546" s="1" t="s">
        <v>181</v>
      </c>
    </row>
    <row r="2547" spans="1:11" x14ac:dyDescent="0.25">
      <c r="A2547" s="1" t="s">
        <v>8116</v>
      </c>
      <c r="B2547" s="1" t="s">
        <v>7366</v>
      </c>
      <c r="C2547" s="1" t="s">
        <v>8117</v>
      </c>
      <c r="D2547" s="1" t="s">
        <v>8118</v>
      </c>
      <c r="E2547" s="1" t="s">
        <v>178</v>
      </c>
      <c r="F2547" s="1" t="s">
        <v>5017</v>
      </c>
      <c r="G2547" s="1" t="s">
        <v>5018</v>
      </c>
      <c r="H2547" s="1">
        <v>0.1</v>
      </c>
      <c r="I2547" s="1">
        <v>0.1</v>
      </c>
      <c r="J2547" s="1">
        <v>0.68886931709308696</v>
      </c>
      <c r="K2547" s="1" t="s">
        <v>181</v>
      </c>
    </row>
    <row r="2548" spans="1:11" x14ac:dyDescent="0.25">
      <c r="A2548" s="1" t="s">
        <v>8119</v>
      </c>
      <c r="B2548" s="1" t="s">
        <v>7366</v>
      </c>
      <c r="C2548" s="1" t="s">
        <v>7370</v>
      </c>
      <c r="D2548" s="1" t="s">
        <v>8120</v>
      </c>
      <c r="E2548" s="1" t="s">
        <v>178</v>
      </c>
      <c r="F2548" s="1" t="s">
        <v>5017</v>
      </c>
      <c r="G2548" s="1" t="s">
        <v>5018</v>
      </c>
      <c r="H2548" s="1">
        <v>0.1</v>
      </c>
      <c r="I2548" s="1">
        <v>0.1</v>
      </c>
      <c r="J2548" s="1">
        <v>0.6027465153105519</v>
      </c>
      <c r="K2548" s="1" t="s">
        <v>181</v>
      </c>
    </row>
    <row r="2549" spans="1:11" x14ac:dyDescent="0.25">
      <c r="A2549" s="1" t="s">
        <v>8121</v>
      </c>
      <c r="B2549" s="1" t="s">
        <v>8122</v>
      </c>
      <c r="C2549" s="1" t="s">
        <v>8123</v>
      </c>
      <c r="D2549" s="1" t="s">
        <v>8124</v>
      </c>
      <c r="E2549" s="1" t="s">
        <v>178</v>
      </c>
      <c r="F2549" s="1" t="s">
        <v>5017</v>
      </c>
      <c r="G2549" s="1" t="s">
        <v>5018</v>
      </c>
      <c r="H2549" s="1">
        <v>0.1</v>
      </c>
      <c r="I2549" s="1">
        <v>0.1</v>
      </c>
      <c r="J2549" s="1">
        <v>0.70545989215794569</v>
      </c>
      <c r="K2549" s="1" t="s">
        <v>181</v>
      </c>
    </row>
    <row r="2550" spans="1:11" x14ac:dyDescent="0.25">
      <c r="A2550" s="1" t="s">
        <v>8125</v>
      </c>
      <c r="B2550" s="1" t="s">
        <v>8122</v>
      </c>
      <c r="C2550" s="1" t="s">
        <v>8123</v>
      </c>
      <c r="D2550" s="1" t="s">
        <v>8124</v>
      </c>
      <c r="E2550" s="1" t="s">
        <v>178</v>
      </c>
      <c r="F2550" s="1" t="s">
        <v>5017</v>
      </c>
      <c r="G2550" s="1" t="s">
        <v>5018</v>
      </c>
      <c r="H2550" s="1">
        <v>0.1</v>
      </c>
      <c r="I2550" s="1">
        <v>0.1</v>
      </c>
      <c r="J2550" s="1">
        <v>0.70545989215794569</v>
      </c>
      <c r="K2550" s="1" t="s">
        <v>181</v>
      </c>
    </row>
    <row r="2551" spans="1:11" x14ac:dyDescent="0.25">
      <c r="A2551" s="1" t="s">
        <v>8126</v>
      </c>
      <c r="B2551" s="1" t="s">
        <v>8127</v>
      </c>
      <c r="C2551" s="1" t="s">
        <v>8128</v>
      </c>
      <c r="D2551" s="1" t="s">
        <v>8129</v>
      </c>
      <c r="E2551" s="1" t="s">
        <v>178</v>
      </c>
      <c r="F2551" s="1" t="s">
        <v>5017</v>
      </c>
      <c r="G2551" s="1" t="s">
        <v>5018</v>
      </c>
      <c r="H2551" s="1">
        <v>0.1</v>
      </c>
      <c r="I2551" s="1">
        <v>0.1</v>
      </c>
      <c r="J2551" s="1">
        <v>0.75687457266460045</v>
      </c>
      <c r="K2551" s="1" t="s">
        <v>181</v>
      </c>
    </row>
    <row r="2552" spans="1:11" x14ac:dyDescent="0.25">
      <c r="A2552" s="1" t="s">
        <v>8130</v>
      </c>
      <c r="B2552" s="1" t="s">
        <v>8106</v>
      </c>
      <c r="C2552" s="1" t="s">
        <v>8131</v>
      </c>
      <c r="D2552" s="1" t="s">
        <v>8132</v>
      </c>
      <c r="E2552" s="1" t="s">
        <v>178</v>
      </c>
      <c r="F2552" s="1" t="s">
        <v>5017</v>
      </c>
      <c r="G2552" s="1" t="s">
        <v>5018</v>
      </c>
      <c r="H2552" s="1">
        <v>0.1</v>
      </c>
      <c r="I2552" s="1">
        <v>0.1</v>
      </c>
      <c r="J2552" s="1">
        <v>0.49955879574028128</v>
      </c>
      <c r="K2552" s="1" t="s">
        <v>181</v>
      </c>
    </row>
    <row r="2553" spans="1:11" x14ac:dyDescent="0.25">
      <c r="A2553" s="1" t="s">
        <v>8133</v>
      </c>
      <c r="B2553" s="1" t="s">
        <v>8134</v>
      </c>
      <c r="C2553" s="1" t="s">
        <v>8135</v>
      </c>
      <c r="D2553" s="1" t="s">
        <v>8136</v>
      </c>
      <c r="E2553" s="1" t="s">
        <v>178</v>
      </c>
      <c r="F2553" s="1" t="s">
        <v>5017</v>
      </c>
      <c r="G2553" s="1" t="s">
        <v>5018</v>
      </c>
      <c r="H2553" s="1">
        <v>0.1</v>
      </c>
      <c r="I2553" s="1">
        <v>0.1</v>
      </c>
      <c r="J2553" s="1">
        <v>1.2365199369467255</v>
      </c>
      <c r="K2553" s="1" t="s">
        <v>181</v>
      </c>
    </row>
    <row r="2554" spans="1:11" x14ac:dyDescent="0.25">
      <c r="A2554" s="1" t="s">
        <v>8137</v>
      </c>
      <c r="B2554" s="1" t="s">
        <v>8138</v>
      </c>
      <c r="C2554" s="1" t="s">
        <v>8139</v>
      </c>
      <c r="D2554" s="1" t="s">
        <v>8140</v>
      </c>
      <c r="E2554" s="1" t="s">
        <v>178</v>
      </c>
      <c r="F2554" s="1" t="s">
        <v>5017</v>
      </c>
      <c r="G2554" s="1" t="s">
        <v>5018</v>
      </c>
      <c r="H2554" s="1">
        <v>0.1</v>
      </c>
      <c r="I2554" s="1">
        <v>0.1</v>
      </c>
      <c r="J2554" s="1">
        <v>1.2212412695107944</v>
      </c>
      <c r="K2554" s="1" t="s">
        <v>181</v>
      </c>
    </row>
    <row r="2555" spans="1:11" x14ac:dyDescent="0.25">
      <c r="A2555" s="1" t="s">
        <v>8141</v>
      </c>
      <c r="B2555" s="1" t="s">
        <v>8134</v>
      </c>
      <c r="C2555" s="1" t="s">
        <v>8142</v>
      </c>
      <c r="D2555" s="1" t="s">
        <v>8143</v>
      </c>
      <c r="E2555" s="1" t="s">
        <v>178</v>
      </c>
      <c r="F2555" s="1" t="s">
        <v>5017</v>
      </c>
      <c r="G2555" s="1" t="s">
        <v>5018</v>
      </c>
      <c r="H2555" s="1">
        <v>0.1</v>
      </c>
      <c r="I2555" s="1">
        <v>0.1</v>
      </c>
      <c r="J2555" s="1">
        <v>1.0754861938007825</v>
      </c>
      <c r="K2555" s="1" t="s">
        <v>181</v>
      </c>
    </row>
    <row r="2556" spans="1:11" x14ac:dyDescent="0.25">
      <c r="A2556" s="1" t="s">
        <v>8144</v>
      </c>
      <c r="B2556" s="1" t="s">
        <v>8134</v>
      </c>
      <c r="C2556" s="1" t="s">
        <v>8145</v>
      </c>
      <c r="D2556" s="1" t="s">
        <v>8146</v>
      </c>
      <c r="E2556" s="1" t="s">
        <v>178</v>
      </c>
      <c r="F2556" s="1" t="s">
        <v>5017</v>
      </c>
      <c r="G2556" s="1" t="s">
        <v>5018</v>
      </c>
      <c r="H2556" s="1">
        <v>0.1</v>
      </c>
      <c r="I2556" s="1">
        <v>0.1</v>
      </c>
      <c r="J2556" s="1">
        <v>1.1799715970639961</v>
      </c>
      <c r="K2556" s="1" t="s">
        <v>181</v>
      </c>
    </row>
    <row r="2557" spans="1:11" x14ac:dyDescent="0.25">
      <c r="A2557" s="1" t="s">
        <v>8147</v>
      </c>
      <c r="B2557" s="1" t="s">
        <v>8148</v>
      </c>
      <c r="C2557" s="1" t="s">
        <v>8149</v>
      </c>
      <c r="D2557" s="1" t="s">
        <v>8150</v>
      </c>
      <c r="E2557" s="1" t="s">
        <v>178</v>
      </c>
      <c r="F2557" s="1" t="s">
        <v>5017</v>
      </c>
      <c r="G2557" s="1" t="s">
        <v>5018</v>
      </c>
      <c r="H2557" s="1">
        <v>0.1</v>
      </c>
      <c r="I2557" s="1">
        <v>0.1</v>
      </c>
      <c r="J2557" s="1">
        <v>1.16749377250648</v>
      </c>
      <c r="K2557" s="1" t="s">
        <v>181</v>
      </c>
    </row>
    <row r="2558" spans="1:11" x14ac:dyDescent="0.25">
      <c r="A2558" s="1" t="s">
        <v>8151</v>
      </c>
      <c r="B2558" s="1" t="s">
        <v>8152</v>
      </c>
      <c r="C2558" s="1" t="s">
        <v>8153</v>
      </c>
      <c r="D2558" s="1" t="s">
        <v>8154</v>
      </c>
      <c r="E2558" s="1" t="s">
        <v>178</v>
      </c>
      <c r="F2558" s="1" t="s">
        <v>5017</v>
      </c>
      <c r="G2558" s="1" t="s">
        <v>5018</v>
      </c>
      <c r="H2558" s="1">
        <v>0.1</v>
      </c>
      <c r="I2558" s="1">
        <v>0.1</v>
      </c>
      <c r="J2558" s="1">
        <v>0.86129495367469433</v>
      </c>
      <c r="K2558" s="1" t="s">
        <v>181</v>
      </c>
    </row>
    <row r="2559" spans="1:11" x14ac:dyDescent="0.25">
      <c r="A2559" s="1" t="s">
        <v>8155</v>
      </c>
      <c r="B2559" s="1" t="s">
        <v>8156</v>
      </c>
      <c r="C2559" s="1" t="s">
        <v>8157</v>
      </c>
      <c r="D2559" s="1" t="s">
        <v>8158</v>
      </c>
      <c r="E2559" s="1" t="s">
        <v>178</v>
      </c>
      <c r="F2559" s="1" t="s">
        <v>5017</v>
      </c>
      <c r="G2559" s="1" t="s">
        <v>5018</v>
      </c>
      <c r="H2559" s="1">
        <v>0.1</v>
      </c>
      <c r="I2559" s="1">
        <v>0.1</v>
      </c>
      <c r="J2559" s="1">
        <v>0.74791347987499124</v>
      </c>
      <c r="K2559" s="1" t="s">
        <v>181</v>
      </c>
    </row>
    <row r="2560" spans="1:11" x14ac:dyDescent="0.25">
      <c r="A2560" s="1" t="s">
        <v>8159</v>
      </c>
      <c r="B2560" s="1" t="s">
        <v>8160</v>
      </c>
      <c r="C2560" s="1" t="s">
        <v>8161</v>
      </c>
      <c r="D2560" s="1" t="s">
        <v>8162</v>
      </c>
      <c r="E2560" s="1" t="s">
        <v>178</v>
      </c>
      <c r="F2560" s="1" t="s">
        <v>5017</v>
      </c>
      <c r="G2560" s="1" t="s">
        <v>5018</v>
      </c>
      <c r="H2560" s="1">
        <v>0.1</v>
      </c>
      <c r="I2560" s="1">
        <v>0.1</v>
      </c>
      <c r="J2560" s="1">
        <v>0.80093745640616398</v>
      </c>
      <c r="K2560" s="1" t="s">
        <v>181</v>
      </c>
    </row>
    <row r="2561" spans="1:11" x14ac:dyDescent="0.25">
      <c r="A2561" s="1" t="s">
        <v>8163</v>
      </c>
      <c r="B2561" s="1" t="s">
        <v>8164</v>
      </c>
      <c r="C2561" s="1" t="s">
        <v>8165</v>
      </c>
      <c r="D2561" s="1" t="s">
        <v>8166</v>
      </c>
      <c r="E2561" s="1" t="s">
        <v>178</v>
      </c>
      <c r="F2561" s="1" t="s">
        <v>5017</v>
      </c>
      <c r="G2561" s="1" t="s">
        <v>5018</v>
      </c>
      <c r="H2561" s="1">
        <v>0.1</v>
      </c>
      <c r="I2561" s="1">
        <v>0.1</v>
      </c>
      <c r="J2561" s="1">
        <v>0.79582343296215352</v>
      </c>
      <c r="K2561" s="1" t="s">
        <v>181</v>
      </c>
    </row>
    <row r="2562" spans="1:11" x14ac:dyDescent="0.25">
      <c r="A2562" s="1" t="s">
        <v>8167</v>
      </c>
      <c r="B2562" s="1" t="s">
        <v>6821</v>
      </c>
      <c r="C2562" s="1" t="s">
        <v>8168</v>
      </c>
      <c r="D2562" s="1" t="s">
        <v>8169</v>
      </c>
      <c r="E2562" s="1" t="s">
        <v>178</v>
      </c>
      <c r="F2562" s="1" t="s">
        <v>5017</v>
      </c>
      <c r="G2562" s="1" t="s">
        <v>5018</v>
      </c>
      <c r="H2562" s="1">
        <v>0.1</v>
      </c>
      <c r="I2562" s="1">
        <v>0.1</v>
      </c>
      <c r="J2562" s="1">
        <v>1.6271385394718871</v>
      </c>
      <c r="K2562" s="1" t="s">
        <v>181</v>
      </c>
    </row>
    <row r="2563" spans="1:11" x14ac:dyDescent="0.25">
      <c r="A2563" s="1" t="s">
        <v>8170</v>
      </c>
      <c r="B2563" s="1" t="s">
        <v>7113</v>
      </c>
      <c r="C2563" s="1" t="s">
        <v>8171</v>
      </c>
      <c r="D2563" s="1" t="s">
        <v>8172</v>
      </c>
      <c r="E2563" s="1" t="s">
        <v>178</v>
      </c>
      <c r="F2563" s="1" t="s">
        <v>5017</v>
      </c>
      <c r="G2563" s="1" t="s">
        <v>5018</v>
      </c>
      <c r="H2563" s="1">
        <v>0.1</v>
      </c>
      <c r="I2563" s="1">
        <v>0.1</v>
      </c>
      <c r="J2563" s="1">
        <v>0.9343571661747474</v>
      </c>
      <c r="K2563" s="1" t="s">
        <v>181</v>
      </c>
    </row>
    <row r="2564" spans="1:11" x14ac:dyDescent="0.25">
      <c r="A2564" s="1" t="s">
        <v>8173</v>
      </c>
      <c r="B2564" s="1" t="s">
        <v>8174</v>
      </c>
      <c r="C2564" s="1" t="s">
        <v>8175</v>
      </c>
      <c r="D2564" s="1" t="s">
        <v>8176</v>
      </c>
      <c r="E2564" s="1" t="s">
        <v>178</v>
      </c>
      <c r="F2564" s="1" t="s">
        <v>5017</v>
      </c>
      <c r="G2564" s="1" t="s">
        <v>5018</v>
      </c>
      <c r="H2564" s="1">
        <v>0.1</v>
      </c>
      <c r="I2564" s="1">
        <v>0.1</v>
      </c>
      <c r="J2564" s="1">
        <v>0.85218271477223739</v>
      </c>
      <c r="K2564" s="1" t="s">
        <v>181</v>
      </c>
    </row>
    <row r="2565" spans="1:11" x14ac:dyDescent="0.25">
      <c r="A2565" s="1" t="s">
        <v>8177</v>
      </c>
      <c r="B2565" s="1" t="s">
        <v>8178</v>
      </c>
      <c r="C2565" s="1" t="s">
        <v>8179</v>
      </c>
      <c r="D2565" s="1" t="s">
        <v>8180</v>
      </c>
      <c r="E2565" s="1" t="s">
        <v>178</v>
      </c>
      <c r="F2565" s="1" t="s">
        <v>5017</v>
      </c>
      <c r="G2565" s="1" t="s">
        <v>5018</v>
      </c>
      <c r="H2565" s="1">
        <v>0.1</v>
      </c>
      <c r="I2565" s="1">
        <v>0.1</v>
      </c>
      <c r="J2565" s="1">
        <v>0.72059474263509993</v>
      </c>
      <c r="K2565" s="1" t="s">
        <v>181</v>
      </c>
    </row>
    <row r="2566" spans="1:11" x14ac:dyDescent="0.25">
      <c r="A2566" s="1" t="s">
        <v>8181</v>
      </c>
      <c r="B2566" s="1" t="s">
        <v>8182</v>
      </c>
      <c r="C2566" s="1" t="s">
        <v>8183</v>
      </c>
      <c r="D2566" s="1" t="s">
        <v>8184</v>
      </c>
      <c r="E2566" s="1" t="s">
        <v>178</v>
      </c>
      <c r="F2566" s="1" t="s">
        <v>5017</v>
      </c>
      <c r="G2566" s="1" t="s">
        <v>5018</v>
      </c>
      <c r="H2566" s="1">
        <v>0.1</v>
      </c>
      <c r="I2566" s="1">
        <v>0.1</v>
      </c>
      <c r="J2566" s="1">
        <v>0.81943586751574871</v>
      </c>
      <c r="K2566" s="1" t="s">
        <v>181</v>
      </c>
    </row>
    <row r="2567" spans="1:11" x14ac:dyDescent="0.25">
      <c r="A2567" s="1" t="s">
        <v>8185</v>
      </c>
      <c r="B2567" s="1" t="s">
        <v>8186</v>
      </c>
      <c r="C2567" s="1" t="s">
        <v>8187</v>
      </c>
      <c r="D2567" s="1" t="s">
        <v>8188</v>
      </c>
      <c r="E2567" s="1" t="s">
        <v>178</v>
      </c>
      <c r="F2567" s="1" t="s">
        <v>5017</v>
      </c>
      <c r="G2567" s="1" t="s">
        <v>5018</v>
      </c>
      <c r="H2567" s="1">
        <v>0.1</v>
      </c>
      <c r="I2567" s="1">
        <v>0.1</v>
      </c>
      <c r="J2567" s="1">
        <v>0.78597202907381325</v>
      </c>
      <c r="K2567" s="1" t="s">
        <v>181</v>
      </c>
    </row>
    <row r="2568" spans="1:11" x14ac:dyDescent="0.25">
      <c r="A2568" s="1" t="s">
        <v>8189</v>
      </c>
      <c r="B2568" s="1" t="s">
        <v>1109</v>
      </c>
      <c r="C2568" s="1" t="s">
        <v>8190</v>
      </c>
      <c r="D2568" s="1" t="s">
        <v>8191</v>
      </c>
      <c r="E2568" s="1" t="s">
        <v>178</v>
      </c>
      <c r="F2568" s="1" t="s">
        <v>5017</v>
      </c>
      <c r="G2568" s="1" t="s">
        <v>5018</v>
      </c>
      <c r="H2568" s="1">
        <v>0.1</v>
      </c>
      <c r="I2568" s="1">
        <v>0.1</v>
      </c>
      <c r="J2568" s="1">
        <v>1.1761681159094661</v>
      </c>
      <c r="K2568" s="1" t="s">
        <v>181</v>
      </c>
    </row>
    <row r="2569" spans="1:11" x14ac:dyDescent="0.25">
      <c r="A2569" s="1" t="s">
        <v>8192</v>
      </c>
      <c r="B2569" s="1" t="s">
        <v>7063</v>
      </c>
      <c r="C2569" s="1" t="s">
        <v>7064</v>
      </c>
      <c r="D2569" s="1" t="s">
        <v>7065</v>
      </c>
      <c r="E2569" s="1" t="s">
        <v>178</v>
      </c>
      <c r="F2569" s="1" t="s">
        <v>5017</v>
      </c>
      <c r="G2569" s="1" t="s">
        <v>5018</v>
      </c>
      <c r="H2569" s="1">
        <v>0.1</v>
      </c>
      <c r="I2569" s="1">
        <v>0.1</v>
      </c>
      <c r="J2569" s="1">
        <v>0.9036672937685184</v>
      </c>
      <c r="K2569" s="1" t="s">
        <v>181</v>
      </c>
    </row>
    <row r="2570" spans="1:11" x14ac:dyDescent="0.25">
      <c r="A2570" s="1" t="s">
        <v>8193</v>
      </c>
      <c r="B2570" s="1" t="s">
        <v>7272</v>
      </c>
      <c r="C2570" s="1" t="s">
        <v>8194</v>
      </c>
      <c r="D2570" s="1" t="s">
        <v>8195</v>
      </c>
      <c r="E2570" s="1" t="s">
        <v>178</v>
      </c>
      <c r="F2570" s="1" t="s">
        <v>5017</v>
      </c>
      <c r="G2570" s="1" t="s">
        <v>5018</v>
      </c>
      <c r="H2570" s="1">
        <v>0.1</v>
      </c>
      <c r="I2570" s="1">
        <v>0.1</v>
      </c>
      <c r="J2570" s="1">
        <v>0.81144381173697711</v>
      </c>
      <c r="K2570" s="1" t="s">
        <v>181</v>
      </c>
    </row>
    <row r="2571" spans="1:11" x14ac:dyDescent="0.25">
      <c r="A2571" s="1" t="s">
        <v>8196</v>
      </c>
      <c r="B2571" s="1" t="s">
        <v>1109</v>
      </c>
      <c r="C2571" s="1" t="s">
        <v>8197</v>
      </c>
      <c r="D2571" s="1" t="s">
        <v>8198</v>
      </c>
      <c r="E2571" s="1" t="s">
        <v>178</v>
      </c>
      <c r="F2571" s="1" t="s">
        <v>5017</v>
      </c>
      <c r="G2571" s="1" t="s">
        <v>5018</v>
      </c>
      <c r="H2571" s="1">
        <v>0.1</v>
      </c>
      <c r="I2571" s="1">
        <v>0.1</v>
      </c>
      <c r="J2571" s="1">
        <v>1.1758048094793669</v>
      </c>
      <c r="K2571" s="1" t="s">
        <v>181</v>
      </c>
    </row>
    <row r="2572" spans="1:11" x14ac:dyDescent="0.25">
      <c r="A2572" s="1" t="s">
        <v>8199</v>
      </c>
      <c r="B2572" s="1" t="s">
        <v>1109</v>
      </c>
      <c r="C2572" s="1" t="s">
        <v>8200</v>
      </c>
      <c r="D2572" s="1" t="s">
        <v>8201</v>
      </c>
      <c r="E2572" s="1" t="s">
        <v>178</v>
      </c>
      <c r="F2572" s="1" t="s">
        <v>5017</v>
      </c>
      <c r="G2572" s="1" t="s">
        <v>5018</v>
      </c>
      <c r="H2572" s="1">
        <v>0.1</v>
      </c>
      <c r="I2572" s="1">
        <v>0.1</v>
      </c>
      <c r="J2572" s="1">
        <v>1.1927754628530736</v>
      </c>
      <c r="K2572" s="1" t="s">
        <v>181</v>
      </c>
    </row>
    <row r="2573" spans="1:11" x14ac:dyDescent="0.25">
      <c r="A2573" s="1" t="s">
        <v>8202</v>
      </c>
      <c r="B2573" s="1" t="s">
        <v>1109</v>
      </c>
      <c r="C2573" s="1" t="s">
        <v>8203</v>
      </c>
      <c r="D2573" s="1" t="s">
        <v>8204</v>
      </c>
      <c r="E2573" s="1" t="s">
        <v>178</v>
      </c>
      <c r="F2573" s="1" t="s">
        <v>5017</v>
      </c>
      <c r="G2573" s="1" t="s">
        <v>5018</v>
      </c>
      <c r="H2573" s="1">
        <v>0.1</v>
      </c>
      <c r="I2573" s="1">
        <v>0.1</v>
      </c>
      <c r="J2573" s="1">
        <v>1.1924319857971015</v>
      </c>
      <c r="K2573" s="1" t="s">
        <v>181</v>
      </c>
    </row>
    <row r="2574" spans="1:11" x14ac:dyDescent="0.25">
      <c r="A2574" s="1" t="s">
        <v>6</v>
      </c>
      <c r="B2574" s="1" t="s">
        <v>1109</v>
      </c>
      <c r="C2574" s="1" t="s">
        <v>8205</v>
      </c>
      <c r="D2574" s="1" t="s">
        <v>8206</v>
      </c>
      <c r="E2574" s="1" t="s">
        <v>178</v>
      </c>
      <c r="F2574" s="1" t="s">
        <v>5017</v>
      </c>
      <c r="G2574" s="1" t="s">
        <v>5018</v>
      </c>
      <c r="H2574" s="1">
        <v>0.1</v>
      </c>
      <c r="I2574" s="1">
        <v>0.1</v>
      </c>
      <c r="J2574" s="1">
        <v>1.4332762975683939</v>
      </c>
      <c r="K2574" s="1" t="s">
        <v>181</v>
      </c>
    </row>
    <row r="2575" spans="1:11" x14ac:dyDescent="0.25">
      <c r="A2575" s="1" t="s">
        <v>8207</v>
      </c>
      <c r="B2575" s="1" t="s">
        <v>1109</v>
      </c>
      <c r="C2575" s="1" t="s">
        <v>8208</v>
      </c>
      <c r="D2575" s="1" t="s">
        <v>8209</v>
      </c>
      <c r="E2575" s="1" t="s">
        <v>178</v>
      </c>
      <c r="F2575" s="1" t="s">
        <v>5017</v>
      </c>
      <c r="G2575" s="1" t="s">
        <v>5018</v>
      </c>
      <c r="H2575" s="1">
        <v>0.1</v>
      </c>
      <c r="I2575" s="1">
        <v>0.1</v>
      </c>
      <c r="J2575" s="1">
        <v>0.92783115057826915</v>
      </c>
      <c r="K2575" s="1" t="s">
        <v>181</v>
      </c>
    </row>
    <row r="2576" spans="1:11" x14ac:dyDescent="0.25">
      <c r="A2576" s="1" t="s">
        <v>8210</v>
      </c>
      <c r="B2576" s="1" t="s">
        <v>1109</v>
      </c>
      <c r="C2576" s="1" t="s">
        <v>8211</v>
      </c>
      <c r="D2576" s="1" t="s">
        <v>8212</v>
      </c>
      <c r="E2576" s="1" t="s">
        <v>178</v>
      </c>
      <c r="F2576" s="1" t="s">
        <v>5017</v>
      </c>
      <c r="G2576" s="1" t="s">
        <v>5018</v>
      </c>
      <c r="H2576" s="1">
        <v>0.1</v>
      </c>
      <c r="I2576" s="1">
        <v>0.1</v>
      </c>
      <c r="J2576" s="1">
        <v>1.3165962375475313</v>
      </c>
      <c r="K2576" s="1" t="s">
        <v>181</v>
      </c>
    </row>
    <row r="2577" spans="1:11" x14ac:dyDescent="0.25">
      <c r="A2577" s="1" t="s">
        <v>8213</v>
      </c>
      <c r="B2577" s="1" t="s">
        <v>1109</v>
      </c>
      <c r="C2577" s="1" t="s">
        <v>8214</v>
      </c>
      <c r="D2577" s="1" t="s">
        <v>8215</v>
      </c>
      <c r="E2577" s="1" t="s">
        <v>178</v>
      </c>
      <c r="F2577" s="1" t="s">
        <v>5017</v>
      </c>
      <c r="G2577" s="1" t="s">
        <v>5018</v>
      </c>
      <c r="H2577" s="1">
        <v>0.1</v>
      </c>
      <c r="I2577" s="1">
        <v>0.1</v>
      </c>
      <c r="J2577" s="1">
        <v>1.3162193792775221</v>
      </c>
      <c r="K2577" s="1" t="s">
        <v>181</v>
      </c>
    </row>
    <row r="2578" spans="1:11" x14ac:dyDescent="0.25">
      <c r="A2578" s="1" t="s">
        <v>8216</v>
      </c>
      <c r="B2578" s="1" t="s">
        <v>8217</v>
      </c>
      <c r="C2578" s="1" t="s">
        <v>8218</v>
      </c>
      <c r="D2578" s="1" t="s">
        <v>8219</v>
      </c>
      <c r="E2578" s="1" t="s">
        <v>178</v>
      </c>
      <c r="F2578" s="1" t="s">
        <v>5017</v>
      </c>
      <c r="G2578" s="1" t="s">
        <v>5018</v>
      </c>
      <c r="H2578" s="1">
        <v>0.1</v>
      </c>
      <c r="I2578" s="1">
        <v>0.1</v>
      </c>
      <c r="J2578" s="1">
        <v>0.93825935600354238</v>
      </c>
      <c r="K2578" s="1" t="s">
        <v>181</v>
      </c>
    </row>
    <row r="2579" spans="1:11" x14ac:dyDescent="0.25">
      <c r="A2579" s="1" t="s">
        <v>8220</v>
      </c>
      <c r="B2579" s="1" t="s">
        <v>8221</v>
      </c>
      <c r="C2579" s="1" t="s">
        <v>8222</v>
      </c>
      <c r="D2579" s="1" t="s">
        <v>8223</v>
      </c>
      <c r="E2579" s="1" t="s">
        <v>178</v>
      </c>
      <c r="F2579" s="1" t="s">
        <v>5017</v>
      </c>
      <c r="G2579" s="1" t="s">
        <v>5018</v>
      </c>
      <c r="H2579" s="1">
        <v>0.1</v>
      </c>
      <c r="I2579" s="1">
        <v>0.1</v>
      </c>
      <c r="J2579" s="1">
        <v>1.7904079288949228</v>
      </c>
      <c r="K2579" s="1" t="s">
        <v>181</v>
      </c>
    </row>
    <row r="2580" spans="1:11" x14ac:dyDescent="0.25">
      <c r="A2580" s="1" t="s">
        <v>8224</v>
      </c>
      <c r="B2580" s="1" t="s">
        <v>8225</v>
      </c>
      <c r="C2580" s="1" t="s">
        <v>8226</v>
      </c>
      <c r="D2580" s="1" t="s">
        <v>8227</v>
      </c>
      <c r="E2580" s="1" t="s">
        <v>178</v>
      </c>
      <c r="F2580" s="1" t="s">
        <v>5017</v>
      </c>
      <c r="G2580" s="1" t="s">
        <v>5018</v>
      </c>
      <c r="H2580" s="1">
        <v>0.1</v>
      </c>
      <c r="I2580" s="1">
        <v>0.1</v>
      </c>
      <c r="J2580" s="1">
        <v>0.86347209046755136</v>
      </c>
      <c r="K2580" s="1" t="s">
        <v>181</v>
      </c>
    </row>
    <row r="2581" spans="1:11" x14ac:dyDescent="0.25">
      <c r="A2581" s="1" t="s">
        <v>8228</v>
      </c>
      <c r="B2581" s="1" t="s">
        <v>8229</v>
      </c>
      <c r="C2581" s="1" t="s">
        <v>8230</v>
      </c>
      <c r="D2581" s="1" t="s">
        <v>8231</v>
      </c>
      <c r="E2581" s="1" t="s">
        <v>178</v>
      </c>
      <c r="F2581" s="1" t="s">
        <v>5017</v>
      </c>
      <c r="G2581" s="1" t="s">
        <v>5018</v>
      </c>
      <c r="H2581" s="1">
        <v>0.1</v>
      </c>
      <c r="I2581" s="1">
        <v>0.1</v>
      </c>
      <c r="J2581" s="1">
        <v>0.86826054862601199</v>
      </c>
      <c r="K2581" s="1" t="s">
        <v>181</v>
      </c>
    </row>
    <row r="2582" spans="1:11" x14ac:dyDescent="0.25">
      <c r="A2582" s="1" t="s">
        <v>8232</v>
      </c>
      <c r="B2582" s="1" t="s">
        <v>8233</v>
      </c>
      <c r="C2582" s="1" t="s">
        <v>8234</v>
      </c>
      <c r="D2582" s="1" t="s">
        <v>8235</v>
      </c>
      <c r="E2582" s="1" t="s">
        <v>178</v>
      </c>
      <c r="F2582" s="1" t="s">
        <v>5017</v>
      </c>
      <c r="G2582" s="1" t="s">
        <v>5018</v>
      </c>
      <c r="H2582" s="1">
        <v>0.1</v>
      </c>
      <c r="I2582" s="1">
        <v>0.1</v>
      </c>
      <c r="J2582" s="1">
        <v>0.5650632187710426</v>
      </c>
      <c r="K2582" s="1" t="s">
        <v>181</v>
      </c>
    </row>
    <row r="2583" spans="1:11" x14ac:dyDescent="0.25">
      <c r="A2583" s="1" t="s">
        <v>8236</v>
      </c>
      <c r="B2583" s="1" t="s">
        <v>8237</v>
      </c>
      <c r="C2583" s="1" t="s">
        <v>8238</v>
      </c>
      <c r="D2583" s="1" t="s">
        <v>8239</v>
      </c>
      <c r="E2583" s="1" t="s">
        <v>178</v>
      </c>
      <c r="F2583" s="1" t="s">
        <v>5017</v>
      </c>
      <c r="G2583" s="1" t="s">
        <v>5018</v>
      </c>
      <c r="H2583" s="1">
        <v>0.1</v>
      </c>
      <c r="I2583" s="1">
        <v>0.1</v>
      </c>
      <c r="J2583" s="1">
        <v>0.66172326137879478</v>
      </c>
      <c r="K2583" s="1" t="s">
        <v>181</v>
      </c>
    </row>
    <row r="2584" spans="1:11" x14ac:dyDescent="0.25">
      <c r="A2584" s="1" t="s">
        <v>8240</v>
      </c>
      <c r="B2584" s="1" t="s">
        <v>8241</v>
      </c>
      <c r="C2584" s="1" t="s">
        <v>8242</v>
      </c>
      <c r="D2584" s="1" t="s">
        <v>8243</v>
      </c>
      <c r="E2584" s="1" t="s">
        <v>178</v>
      </c>
      <c r="F2584" s="1" t="s">
        <v>5017</v>
      </c>
      <c r="G2584" s="1" t="s">
        <v>5018</v>
      </c>
      <c r="H2584" s="1">
        <v>0.1</v>
      </c>
      <c r="I2584" s="1">
        <v>0.1</v>
      </c>
      <c r="J2584" s="1">
        <v>0.83769717338987593</v>
      </c>
      <c r="K2584" s="1" t="s">
        <v>181</v>
      </c>
    </row>
    <row r="2585" spans="1:11" x14ac:dyDescent="0.25">
      <c r="A2585" s="1" t="s">
        <v>8244</v>
      </c>
      <c r="B2585" s="1" t="s">
        <v>8245</v>
      </c>
      <c r="C2585" s="1" t="s">
        <v>8246</v>
      </c>
      <c r="D2585" s="1" t="s">
        <v>8247</v>
      </c>
      <c r="E2585" s="1" t="s">
        <v>178</v>
      </c>
      <c r="F2585" s="1" t="s">
        <v>5017</v>
      </c>
      <c r="G2585" s="1" t="s">
        <v>5018</v>
      </c>
      <c r="H2585" s="1">
        <v>0.1</v>
      </c>
      <c r="I2585" s="1">
        <v>0.1</v>
      </c>
      <c r="J2585" s="1">
        <v>0.77194884549232023</v>
      </c>
      <c r="K2585" s="1" t="s">
        <v>181</v>
      </c>
    </row>
    <row r="2586" spans="1:11" x14ac:dyDescent="0.25">
      <c r="A2586" s="1" t="s">
        <v>8248</v>
      </c>
      <c r="B2586" s="1" t="s">
        <v>8245</v>
      </c>
      <c r="C2586" s="1" t="s">
        <v>8249</v>
      </c>
      <c r="D2586" s="1" t="s">
        <v>8250</v>
      </c>
      <c r="E2586" s="1" t="s">
        <v>178</v>
      </c>
      <c r="F2586" s="1" t="s">
        <v>5017</v>
      </c>
      <c r="G2586" s="1" t="s">
        <v>5018</v>
      </c>
      <c r="H2586" s="1">
        <v>0.1</v>
      </c>
      <c r="I2586" s="1">
        <v>0.1</v>
      </c>
      <c r="J2586" s="1">
        <v>0.77194884549232023</v>
      </c>
      <c r="K2586" s="1" t="s">
        <v>181</v>
      </c>
    </row>
    <row r="2587" spans="1:11" x14ac:dyDescent="0.25">
      <c r="A2587" s="1" t="s">
        <v>8251</v>
      </c>
      <c r="B2587" s="1" t="s">
        <v>8252</v>
      </c>
      <c r="C2587" s="1" t="s">
        <v>8253</v>
      </c>
      <c r="D2587" s="1" t="s">
        <v>8254</v>
      </c>
      <c r="E2587" s="1" t="s">
        <v>178</v>
      </c>
      <c r="F2587" s="1" t="s">
        <v>5017</v>
      </c>
      <c r="G2587" s="1" t="s">
        <v>5018</v>
      </c>
      <c r="H2587" s="1">
        <v>0.1</v>
      </c>
      <c r="I2587" s="1">
        <v>0.1</v>
      </c>
      <c r="J2587" s="1">
        <v>1.0431270252163907</v>
      </c>
      <c r="K2587" s="1" t="s">
        <v>181</v>
      </c>
    </row>
    <row r="2588" spans="1:11" x14ac:dyDescent="0.25">
      <c r="A2588" s="1" t="s">
        <v>8255</v>
      </c>
      <c r="B2588" s="1" t="s">
        <v>8256</v>
      </c>
      <c r="C2588" s="1" t="s">
        <v>8257</v>
      </c>
      <c r="D2588" s="1" t="s">
        <v>8258</v>
      </c>
      <c r="E2588" s="1" t="s">
        <v>178</v>
      </c>
      <c r="F2588" s="1" t="s">
        <v>5017</v>
      </c>
      <c r="G2588" s="1" t="s">
        <v>5018</v>
      </c>
      <c r="H2588" s="1">
        <v>0.1</v>
      </c>
      <c r="I2588" s="1">
        <v>0.1</v>
      </c>
      <c r="J2588" s="1">
        <v>0.74148147847218282</v>
      </c>
      <c r="K2588" s="1" t="s">
        <v>181</v>
      </c>
    </row>
    <row r="2589" spans="1:11" x14ac:dyDescent="0.25">
      <c r="A2589" s="1" t="s">
        <v>8259</v>
      </c>
      <c r="B2589" s="1" t="s">
        <v>8260</v>
      </c>
      <c r="C2589" s="1" t="s">
        <v>8261</v>
      </c>
      <c r="D2589" s="1" t="s">
        <v>8262</v>
      </c>
      <c r="E2589" s="1" t="s">
        <v>178</v>
      </c>
      <c r="F2589" s="1" t="s">
        <v>5017</v>
      </c>
      <c r="G2589" s="1" t="s">
        <v>5018</v>
      </c>
      <c r="H2589" s="1">
        <v>0.1</v>
      </c>
      <c r="I2589" s="1">
        <v>0.1</v>
      </c>
      <c r="J2589" s="1">
        <v>0.70582630272110325</v>
      </c>
      <c r="K2589" s="1" t="s">
        <v>181</v>
      </c>
    </row>
    <row r="2590" spans="1:11" x14ac:dyDescent="0.25">
      <c r="A2590" s="1" t="s">
        <v>8263</v>
      </c>
      <c r="B2590" s="1" t="s">
        <v>8264</v>
      </c>
      <c r="C2590" s="1" t="s">
        <v>8265</v>
      </c>
      <c r="D2590" s="1" t="s">
        <v>8266</v>
      </c>
      <c r="E2590" s="1" t="s">
        <v>178</v>
      </c>
      <c r="F2590" s="1" t="s">
        <v>5017</v>
      </c>
      <c r="G2590" s="1" t="s">
        <v>5018</v>
      </c>
      <c r="H2590" s="1">
        <v>0.1</v>
      </c>
      <c r="I2590" s="1">
        <v>0.1</v>
      </c>
      <c r="J2590" s="1">
        <v>0.65320550734819571</v>
      </c>
      <c r="K2590" s="1" t="s">
        <v>181</v>
      </c>
    </row>
    <row r="2591" spans="1:11" x14ac:dyDescent="0.25">
      <c r="A2591" s="1" t="s">
        <v>8267</v>
      </c>
      <c r="B2591" s="1" t="s">
        <v>8268</v>
      </c>
      <c r="C2591" s="1" t="s">
        <v>8269</v>
      </c>
      <c r="D2591" s="1" t="s">
        <v>8270</v>
      </c>
      <c r="E2591" s="1" t="s">
        <v>178</v>
      </c>
      <c r="F2591" s="1" t="s">
        <v>5017</v>
      </c>
      <c r="G2591" s="1" t="s">
        <v>5018</v>
      </c>
      <c r="H2591" s="1">
        <v>0.1</v>
      </c>
      <c r="I2591" s="1">
        <v>0.1</v>
      </c>
      <c r="J2591" s="1">
        <v>0.81663046592534194</v>
      </c>
      <c r="K2591" s="1" t="s">
        <v>181</v>
      </c>
    </row>
    <row r="2592" spans="1:11" x14ac:dyDescent="0.25">
      <c r="A2592" s="1" t="s">
        <v>8271</v>
      </c>
      <c r="B2592" s="1" t="s">
        <v>8272</v>
      </c>
      <c r="C2592" s="1" t="s">
        <v>8273</v>
      </c>
      <c r="D2592" s="1" t="s">
        <v>8274</v>
      </c>
      <c r="E2592" s="1" t="s">
        <v>178</v>
      </c>
      <c r="F2592" s="1" t="s">
        <v>5017</v>
      </c>
      <c r="G2592" s="1" t="s">
        <v>5018</v>
      </c>
      <c r="H2592" s="1">
        <v>0.1</v>
      </c>
      <c r="I2592" s="1">
        <v>0.1</v>
      </c>
      <c r="J2592" s="1">
        <v>0.64175696083972733</v>
      </c>
      <c r="K2592" s="1" t="s">
        <v>181</v>
      </c>
    </row>
    <row r="2593" spans="1:11" x14ac:dyDescent="0.25">
      <c r="A2593" s="1" t="s">
        <v>8275</v>
      </c>
      <c r="B2593" s="1" t="s">
        <v>8276</v>
      </c>
      <c r="C2593" s="1" t="s">
        <v>8277</v>
      </c>
      <c r="D2593" s="1" t="s">
        <v>8278</v>
      </c>
      <c r="E2593" s="1" t="s">
        <v>178</v>
      </c>
      <c r="F2593" s="1" t="s">
        <v>5017</v>
      </c>
      <c r="G2593" s="1" t="s">
        <v>5018</v>
      </c>
      <c r="H2593" s="1">
        <v>0.1</v>
      </c>
      <c r="I2593" s="1">
        <v>0.1</v>
      </c>
      <c r="J2593" s="1">
        <v>0.60065592994561656</v>
      </c>
      <c r="K2593" s="1" t="s">
        <v>181</v>
      </c>
    </row>
    <row r="2594" spans="1:11" x14ac:dyDescent="0.25">
      <c r="A2594" s="1" t="s">
        <v>8279</v>
      </c>
      <c r="B2594" s="1" t="s">
        <v>8280</v>
      </c>
      <c r="C2594" s="1" t="s">
        <v>8281</v>
      </c>
      <c r="D2594" s="1" t="s">
        <v>8282</v>
      </c>
      <c r="E2594" s="1" t="s">
        <v>178</v>
      </c>
      <c r="F2594" s="1" t="s">
        <v>5017</v>
      </c>
      <c r="G2594" s="1" t="s">
        <v>5018</v>
      </c>
      <c r="H2594" s="1">
        <v>0.1</v>
      </c>
      <c r="I2594" s="1">
        <v>0.1</v>
      </c>
      <c r="J2594" s="1">
        <v>0.77500859445878778</v>
      </c>
      <c r="K2594" s="1" t="s">
        <v>181</v>
      </c>
    </row>
    <row r="2595" spans="1:11" x14ac:dyDescent="0.25">
      <c r="A2595" s="1" t="s">
        <v>8283</v>
      </c>
      <c r="B2595" s="1" t="s">
        <v>8280</v>
      </c>
      <c r="C2595" s="1" t="s">
        <v>8284</v>
      </c>
      <c r="D2595" s="1" t="s">
        <v>8285</v>
      </c>
      <c r="E2595" s="1" t="s">
        <v>178</v>
      </c>
      <c r="F2595" s="1" t="s">
        <v>5017</v>
      </c>
      <c r="G2595" s="1" t="s">
        <v>5018</v>
      </c>
      <c r="H2595" s="1">
        <v>0.1</v>
      </c>
      <c r="I2595" s="1">
        <v>0.1</v>
      </c>
      <c r="J2595" s="1">
        <v>0.78392215660144837</v>
      </c>
      <c r="K2595" s="1" t="s">
        <v>181</v>
      </c>
    </row>
    <row r="2596" spans="1:11" x14ac:dyDescent="0.25">
      <c r="A2596" s="1" t="s">
        <v>50</v>
      </c>
      <c r="B2596" s="1" t="s">
        <v>8286</v>
      </c>
      <c r="C2596" s="1" t="s">
        <v>8287</v>
      </c>
      <c r="D2596" s="1" t="s">
        <v>8288</v>
      </c>
      <c r="E2596" s="1" t="s">
        <v>178</v>
      </c>
      <c r="F2596" s="1" t="s">
        <v>5017</v>
      </c>
      <c r="G2596" s="1" t="s">
        <v>5018</v>
      </c>
      <c r="H2596" s="1">
        <v>0.1</v>
      </c>
      <c r="I2596" s="1">
        <v>0.1</v>
      </c>
      <c r="J2596" s="1">
        <v>1.3763837713861911</v>
      </c>
      <c r="K2596" s="1" t="s">
        <v>181</v>
      </c>
    </row>
    <row r="2597" spans="1:11" x14ac:dyDescent="0.25">
      <c r="A2597" s="1" t="s">
        <v>8289</v>
      </c>
      <c r="B2597" s="1" t="s">
        <v>8290</v>
      </c>
      <c r="C2597" s="1" t="s">
        <v>8291</v>
      </c>
      <c r="D2597" s="1" t="s">
        <v>8292</v>
      </c>
      <c r="E2597" s="1" t="s">
        <v>178</v>
      </c>
      <c r="F2597" s="1" t="s">
        <v>5017</v>
      </c>
      <c r="G2597" s="1" t="s">
        <v>5018</v>
      </c>
      <c r="H2597" s="1">
        <v>0.1</v>
      </c>
      <c r="I2597" s="1">
        <v>0.1</v>
      </c>
      <c r="J2597" s="1">
        <v>0.97301756974265763</v>
      </c>
      <c r="K2597" s="1" t="s">
        <v>181</v>
      </c>
    </row>
    <row r="2598" spans="1:11" x14ac:dyDescent="0.25">
      <c r="A2598" s="1" t="s">
        <v>8293</v>
      </c>
      <c r="B2598" s="1" t="s">
        <v>8294</v>
      </c>
      <c r="C2598" s="1" t="s">
        <v>8295</v>
      </c>
      <c r="D2598" s="1" t="s">
        <v>8296</v>
      </c>
      <c r="E2598" s="1" t="s">
        <v>178</v>
      </c>
      <c r="F2598" s="1" t="s">
        <v>5017</v>
      </c>
      <c r="G2598" s="1" t="s">
        <v>5018</v>
      </c>
      <c r="H2598" s="1">
        <v>0.1</v>
      </c>
      <c r="I2598" s="1">
        <v>0.1</v>
      </c>
      <c r="J2598" s="1">
        <v>0.76906337430691774</v>
      </c>
      <c r="K2598" s="1" t="s">
        <v>181</v>
      </c>
    </row>
    <row r="2599" spans="1:11" x14ac:dyDescent="0.25">
      <c r="A2599" s="1" t="s">
        <v>8297</v>
      </c>
      <c r="B2599" s="1" t="s">
        <v>8298</v>
      </c>
      <c r="C2599" s="1" t="s">
        <v>8299</v>
      </c>
      <c r="D2599" s="1" t="s">
        <v>8300</v>
      </c>
      <c r="E2599" s="1" t="s">
        <v>178</v>
      </c>
      <c r="F2599" s="1" t="s">
        <v>5017</v>
      </c>
      <c r="G2599" s="1" t="s">
        <v>5018</v>
      </c>
      <c r="H2599" s="1">
        <v>0.1</v>
      </c>
      <c r="I2599" s="1">
        <v>0.1</v>
      </c>
      <c r="J2599" s="1">
        <v>0.69221633999624066</v>
      </c>
      <c r="K2599" s="1" t="s">
        <v>181</v>
      </c>
    </row>
    <row r="2600" spans="1:11" x14ac:dyDescent="0.25">
      <c r="A2600" s="1" t="s">
        <v>8301</v>
      </c>
      <c r="B2600" s="1" t="s">
        <v>8302</v>
      </c>
      <c r="C2600" s="1" t="s">
        <v>8303</v>
      </c>
      <c r="D2600" s="1" t="s">
        <v>8304</v>
      </c>
      <c r="E2600" s="1" t="s">
        <v>178</v>
      </c>
      <c r="F2600" s="1" t="s">
        <v>5017</v>
      </c>
      <c r="G2600" s="1" t="s">
        <v>5018</v>
      </c>
      <c r="H2600" s="1">
        <v>0.1</v>
      </c>
      <c r="I2600" s="1">
        <v>0.1</v>
      </c>
      <c r="J2600" s="1">
        <v>0.70364648623170944</v>
      </c>
      <c r="K2600" s="1" t="s">
        <v>181</v>
      </c>
    </row>
    <row r="2601" spans="1:11" x14ac:dyDescent="0.25">
      <c r="A2601" s="1" t="s">
        <v>8305</v>
      </c>
      <c r="B2601" s="1" t="s">
        <v>8306</v>
      </c>
      <c r="C2601" s="1" t="s">
        <v>8307</v>
      </c>
      <c r="D2601" s="1" t="s">
        <v>8308</v>
      </c>
      <c r="E2601" s="1" t="s">
        <v>178</v>
      </c>
      <c r="F2601" s="1" t="s">
        <v>5017</v>
      </c>
      <c r="G2601" s="1" t="s">
        <v>5018</v>
      </c>
      <c r="H2601" s="1">
        <v>0.1</v>
      </c>
      <c r="I2601" s="1">
        <v>0.1</v>
      </c>
      <c r="J2601" s="1">
        <v>0.46678926584243841</v>
      </c>
      <c r="K2601" s="1" t="s">
        <v>181</v>
      </c>
    </row>
    <row r="2602" spans="1:11" x14ac:dyDescent="0.25">
      <c r="A2602" s="1" t="s">
        <v>8309</v>
      </c>
      <c r="B2602" s="1" t="s">
        <v>8310</v>
      </c>
      <c r="C2602" s="1" t="s">
        <v>8311</v>
      </c>
      <c r="D2602" s="1" t="s">
        <v>8312</v>
      </c>
      <c r="E2602" s="1" t="s">
        <v>178</v>
      </c>
      <c r="F2602" s="1" t="s">
        <v>5017</v>
      </c>
      <c r="G2602" s="1" t="s">
        <v>5018</v>
      </c>
      <c r="H2602" s="1">
        <v>0.1</v>
      </c>
      <c r="I2602" s="1">
        <v>0.1</v>
      </c>
      <c r="J2602" s="1">
        <v>0.5243838952455151</v>
      </c>
      <c r="K2602" s="1" t="s">
        <v>181</v>
      </c>
    </row>
    <row r="2603" spans="1:11" x14ac:dyDescent="0.25">
      <c r="A2603" s="1" t="s">
        <v>8313</v>
      </c>
      <c r="B2603" s="1" t="s">
        <v>8314</v>
      </c>
      <c r="C2603" s="1" t="s">
        <v>8315</v>
      </c>
      <c r="D2603" s="1" t="s">
        <v>8316</v>
      </c>
      <c r="E2603" s="1" t="s">
        <v>178</v>
      </c>
      <c r="F2603" s="1" t="s">
        <v>5017</v>
      </c>
      <c r="G2603" s="1" t="s">
        <v>5018</v>
      </c>
      <c r="H2603" s="1">
        <v>0.1</v>
      </c>
      <c r="I2603" s="1">
        <v>0.1</v>
      </c>
      <c r="J2603" s="1">
        <v>0.66875482202326642</v>
      </c>
      <c r="K2603" s="1" t="s">
        <v>181</v>
      </c>
    </row>
    <row r="2604" spans="1:11" x14ac:dyDescent="0.25">
      <c r="A2604" s="1" t="s">
        <v>8317</v>
      </c>
      <c r="B2604" s="1" t="s">
        <v>8314</v>
      </c>
      <c r="C2604" s="1" t="s">
        <v>8318</v>
      </c>
      <c r="D2604" s="1" t="s">
        <v>8319</v>
      </c>
      <c r="E2604" s="1" t="s">
        <v>178</v>
      </c>
      <c r="F2604" s="1" t="s">
        <v>5017</v>
      </c>
      <c r="G2604" s="1" t="s">
        <v>5018</v>
      </c>
      <c r="H2604" s="1">
        <v>0.1</v>
      </c>
      <c r="I2604" s="1">
        <v>0.1</v>
      </c>
      <c r="J2604" s="1">
        <v>0.69292254269791054</v>
      </c>
      <c r="K2604" s="1" t="s">
        <v>181</v>
      </c>
    </row>
    <row r="2605" spans="1:11" x14ac:dyDescent="0.25">
      <c r="A2605" s="1" t="s">
        <v>8320</v>
      </c>
      <c r="B2605" s="1" t="s">
        <v>8314</v>
      </c>
      <c r="C2605" s="1" t="s">
        <v>8321</v>
      </c>
      <c r="D2605" s="1" t="s">
        <v>8322</v>
      </c>
      <c r="E2605" s="1" t="s">
        <v>178</v>
      </c>
      <c r="F2605" s="1" t="s">
        <v>5017</v>
      </c>
      <c r="G2605" s="1" t="s">
        <v>5018</v>
      </c>
      <c r="H2605" s="1">
        <v>0.1</v>
      </c>
      <c r="I2605" s="1">
        <v>0.1</v>
      </c>
      <c r="J2605" s="1">
        <v>0.69437652356216961</v>
      </c>
      <c r="K2605" s="1" t="s">
        <v>181</v>
      </c>
    </row>
    <row r="2606" spans="1:11" x14ac:dyDescent="0.25">
      <c r="A2606" s="1" t="s">
        <v>8323</v>
      </c>
      <c r="B2606" s="1" t="s">
        <v>8314</v>
      </c>
      <c r="C2606" s="1" t="s">
        <v>8324</v>
      </c>
      <c r="D2606" s="1" t="s">
        <v>8325</v>
      </c>
      <c r="E2606" s="1" t="s">
        <v>178</v>
      </c>
      <c r="F2606" s="1" t="s">
        <v>5017</v>
      </c>
      <c r="G2606" s="1" t="s">
        <v>5018</v>
      </c>
      <c r="H2606" s="1">
        <v>0.1</v>
      </c>
      <c r="I2606" s="1">
        <v>0.1</v>
      </c>
      <c r="J2606" s="1">
        <v>0.66875482202326642</v>
      </c>
      <c r="K2606" s="1" t="s">
        <v>181</v>
      </c>
    </row>
    <row r="2607" spans="1:11" x14ac:dyDescent="0.25">
      <c r="A2607" s="1" t="s">
        <v>8326</v>
      </c>
      <c r="B2607" s="1" t="s">
        <v>8327</v>
      </c>
      <c r="C2607" s="1" t="s">
        <v>8328</v>
      </c>
      <c r="D2607" s="1" t="s">
        <v>8329</v>
      </c>
      <c r="E2607" s="1" t="s">
        <v>178</v>
      </c>
      <c r="F2607" s="1" t="s">
        <v>5017</v>
      </c>
      <c r="G2607" s="1" t="s">
        <v>5018</v>
      </c>
      <c r="H2607" s="1">
        <v>0.1</v>
      </c>
      <c r="I2607" s="1">
        <v>0.1</v>
      </c>
      <c r="J2607" s="1">
        <v>0.68445536124815398</v>
      </c>
      <c r="K2607" s="1" t="s">
        <v>181</v>
      </c>
    </row>
    <row r="2608" spans="1:11" x14ac:dyDescent="0.25">
      <c r="A2608" s="1" t="s">
        <v>8330</v>
      </c>
      <c r="B2608" s="1" t="s">
        <v>8327</v>
      </c>
      <c r="C2608" s="1" t="s">
        <v>8331</v>
      </c>
      <c r="D2608" s="1" t="s">
        <v>8332</v>
      </c>
      <c r="E2608" s="1" t="s">
        <v>178</v>
      </c>
      <c r="F2608" s="1" t="s">
        <v>5017</v>
      </c>
      <c r="G2608" s="1" t="s">
        <v>5018</v>
      </c>
      <c r="H2608" s="1">
        <v>0.1</v>
      </c>
      <c r="I2608" s="1">
        <v>0.1</v>
      </c>
      <c r="J2608" s="1">
        <v>0.68445536124815398</v>
      </c>
      <c r="K2608" s="1" t="s">
        <v>181</v>
      </c>
    </row>
    <row r="2609" spans="1:11" x14ac:dyDescent="0.25">
      <c r="A2609" s="1" t="s">
        <v>8333</v>
      </c>
      <c r="B2609" s="1" t="s">
        <v>8334</v>
      </c>
      <c r="C2609" s="1" t="s">
        <v>8335</v>
      </c>
      <c r="D2609" s="1" t="s">
        <v>8336</v>
      </c>
      <c r="E2609" s="1" t="s">
        <v>178</v>
      </c>
      <c r="F2609" s="1" t="s">
        <v>5017</v>
      </c>
      <c r="G2609" s="1" t="s">
        <v>5018</v>
      </c>
      <c r="H2609" s="1">
        <v>0.1</v>
      </c>
      <c r="I2609" s="1">
        <v>0.1</v>
      </c>
      <c r="J2609" s="1">
        <v>0.66958858272913835</v>
      </c>
      <c r="K2609" s="1" t="s">
        <v>181</v>
      </c>
    </row>
    <row r="2610" spans="1:11" x14ac:dyDescent="0.25">
      <c r="A2610" s="1" t="s">
        <v>8337</v>
      </c>
      <c r="B2610" s="1" t="s">
        <v>8334</v>
      </c>
      <c r="C2610" s="1" t="s">
        <v>8338</v>
      </c>
      <c r="D2610" s="1" t="s">
        <v>8339</v>
      </c>
      <c r="E2610" s="1" t="s">
        <v>178</v>
      </c>
      <c r="F2610" s="1" t="s">
        <v>5017</v>
      </c>
      <c r="G2610" s="1" t="s">
        <v>5018</v>
      </c>
      <c r="H2610" s="1">
        <v>0.1</v>
      </c>
      <c r="I2610" s="1">
        <v>0.1</v>
      </c>
      <c r="J2610" s="1">
        <v>0.66958858272913835</v>
      </c>
      <c r="K2610" s="1" t="s">
        <v>181</v>
      </c>
    </row>
    <row r="2611" spans="1:11" x14ac:dyDescent="0.25">
      <c r="A2611" s="1" t="s">
        <v>8340</v>
      </c>
      <c r="B2611" s="1" t="s">
        <v>8341</v>
      </c>
      <c r="C2611" s="1" t="s">
        <v>8342</v>
      </c>
      <c r="D2611" s="1" t="s">
        <v>8343</v>
      </c>
      <c r="E2611" s="1" t="s">
        <v>178</v>
      </c>
      <c r="F2611" s="1" t="s">
        <v>5017</v>
      </c>
      <c r="G2611" s="1" t="s">
        <v>5018</v>
      </c>
      <c r="H2611" s="1">
        <v>0.1</v>
      </c>
      <c r="I2611" s="1">
        <v>0.1</v>
      </c>
      <c r="J2611" s="1">
        <v>0.77429880720816791</v>
      </c>
      <c r="K2611" s="1" t="s">
        <v>181</v>
      </c>
    </row>
    <row r="2612" spans="1:11" x14ac:dyDescent="0.25">
      <c r="A2612" s="1" t="s">
        <v>8344</v>
      </c>
      <c r="B2612" s="1" t="s">
        <v>8341</v>
      </c>
      <c r="C2612" s="1" t="s">
        <v>8345</v>
      </c>
      <c r="D2612" s="1" t="s">
        <v>8346</v>
      </c>
      <c r="E2612" s="1" t="s">
        <v>178</v>
      </c>
      <c r="F2612" s="1" t="s">
        <v>5017</v>
      </c>
      <c r="G2612" s="1" t="s">
        <v>5018</v>
      </c>
      <c r="H2612" s="1">
        <v>0.1</v>
      </c>
      <c r="I2612" s="1">
        <v>0.1</v>
      </c>
      <c r="J2612" s="1">
        <v>0.79234044495162592</v>
      </c>
      <c r="K2612" s="1" t="s">
        <v>181</v>
      </c>
    </row>
    <row r="2613" spans="1:11" x14ac:dyDescent="0.25">
      <c r="A2613" s="1" t="s">
        <v>8347</v>
      </c>
      <c r="B2613" s="1" t="s">
        <v>8348</v>
      </c>
      <c r="C2613" s="1" t="s">
        <v>8349</v>
      </c>
      <c r="D2613" s="1" t="s">
        <v>8350</v>
      </c>
      <c r="E2613" s="1" t="s">
        <v>178</v>
      </c>
      <c r="F2613" s="1" t="s">
        <v>5017</v>
      </c>
      <c r="G2613" s="1" t="s">
        <v>5018</v>
      </c>
      <c r="H2613" s="1">
        <v>0.1</v>
      </c>
      <c r="I2613" s="1">
        <v>0.1</v>
      </c>
      <c r="J2613" s="1">
        <v>0.65837593963640006</v>
      </c>
      <c r="K2613" s="1" t="s">
        <v>181</v>
      </c>
    </row>
    <row r="2614" spans="1:11" x14ac:dyDescent="0.25">
      <c r="A2614" s="1" t="s">
        <v>8351</v>
      </c>
      <c r="B2614" s="1" t="s">
        <v>8352</v>
      </c>
      <c r="C2614" s="1" t="s">
        <v>8353</v>
      </c>
      <c r="D2614" s="1" t="s">
        <v>8354</v>
      </c>
      <c r="E2614" s="1" t="s">
        <v>178</v>
      </c>
      <c r="F2614" s="1" t="s">
        <v>5017</v>
      </c>
      <c r="G2614" s="1" t="s">
        <v>5018</v>
      </c>
      <c r="H2614" s="1">
        <v>0.1</v>
      </c>
      <c r="I2614" s="1">
        <v>0.1</v>
      </c>
      <c r="J2614" s="1">
        <v>0.37299916895489665</v>
      </c>
      <c r="K2614" s="1" t="s">
        <v>181</v>
      </c>
    </row>
    <row r="2615" spans="1:11" x14ac:dyDescent="0.25">
      <c r="A2615" s="1" t="s">
        <v>8355</v>
      </c>
      <c r="B2615" s="1" t="s">
        <v>8356</v>
      </c>
      <c r="C2615" s="1" t="s">
        <v>8357</v>
      </c>
      <c r="D2615" s="1" t="s">
        <v>8358</v>
      </c>
      <c r="E2615" s="1" t="s">
        <v>178</v>
      </c>
      <c r="F2615" s="1" t="s">
        <v>5017</v>
      </c>
      <c r="G2615" s="1" t="s">
        <v>5018</v>
      </c>
      <c r="H2615" s="1">
        <v>0.1</v>
      </c>
      <c r="I2615" s="1">
        <v>0.1</v>
      </c>
      <c r="J2615" s="1">
        <v>0.75583291713794731</v>
      </c>
      <c r="K2615" s="1" t="s">
        <v>181</v>
      </c>
    </row>
    <row r="2616" spans="1:11" x14ac:dyDescent="0.25">
      <c r="A2616" s="1" t="s">
        <v>8359</v>
      </c>
      <c r="B2616" s="1" t="s">
        <v>8360</v>
      </c>
      <c r="C2616" s="1" t="s">
        <v>8361</v>
      </c>
      <c r="D2616" s="1" t="s">
        <v>8362</v>
      </c>
      <c r="E2616" s="1" t="s">
        <v>178</v>
      </c>
      <c r="F2616" s="1" t="s">
        <v>5017</v>
      </c>
      <c r="G2616" s="1" t="s">
        <v>5018</v>
      </c>
      <c r="H2616" s="1">
        <v>0.1</v>
      </c>
      <c r="I2616" s="1">
        <v>0.1</v>
      </c>
      <c r="J2616" s="1">
        <v>0.86227526036215363</v>
      </c>
      <c r="K2616" s="1" t="s">
        <v>181</v>
      </c>
    </row>
    <row r="2617" spans="1:11" x14ac:dyDescent="0.25">
      <c r="A2617" s="1" t="s">
        <v>8363</v>
      </c>
      <c r="B2617" s="1" t="s">
        <v>8364</v>
      </c>
      <c r="C2617" s="1" t="s">
        <v>8365</v>
      </c>
      <c r="D2617" s="1" t="s">
        <v>8366</v>
      </c>
      <c r="E2617" s="1" t="s">
        <v>178</v>
      </c>
      <c r="F2617" s="1" t="s">
        <v>5017</v>
      </c>
      <c r="G2617" s="1" t="s">
        <v>5018</v>
      </c>
      <c r="H2617" s="1">
        <v>0.1</v>
      </c>
      <c r="I2617" s="1">
        <v>0.1</v>
      </c>
      <c r="J2617" s="1">
        <v>0.80028654182469194</v>
      </c>
      <c r="K2617" s="1" t="s">
        <v>181</v>
      </c>
    </row>
    <row r="2618" spans="1:11" x14ac:dyDescent="0.25">
      <c r="A2618" s="1" t="s">
        <v>8367</v>
      </c>
      <c r="B2618" s="1" t="s">
        <v>7094</v>
      </c>
      <c r="C2618" s="1" t="s">
        <v>8368</v>
      </c>
      <c r="D2618" s="1" t="s">
        <v>8369</v>
      </c>
      <c r="E2618" s="1" t="s">
        <v>178</v>
      </c>
      <c r="F2618" s="1" t="s">
        <v>5017</v>
      </c>
      <c r="G2618" s="1" t="s">
        <v>5018</v>
      </c>
      <c r="H2618" s="1">
        <v>0.1</v>
      </c>
      <c r="I2618" s="1">
        <v>0.1</v>
      </c>
      <c r="J2618" s="1">
        <v>1.8281441191997909</v>
      </c>
      <c r="K2618" s="1" t="s">
        <v>181</v>
      </c>
    </row>
    <row r="2619" spans="1:11" x14ac:dyDescent="0.25">
      <c r="A2619" s="1" t="s">
        <v>8370</v>
      </c>
      <c r="B2619" s="1" t="s">
        <v>8371</v>
      </c>
      <c r="C2619" s="1" t="s">
        <v>8372</v>
      </c>
      <c r="D2619" s="1" t="s">
        <v>8369</v>
      </c>
      <c r="E2619" s="1" t="s">
        <v>178</v>
      </c>
      <c r="F2619" s="1" t="s">
        <v>5017</v>
      </c>
      <c r="G2619" s="1" t="s">
        <v>5018</v>
      </c>
      <c r="H2619" s="1">
        <v>0.1</v>
      </c>
      <c r="I2619" s="1">
        <v>0.1</v>
      </c>
      <c r="J2619" s="1">
        <v>1.2726755206840186</v>
      </c>
      <c r="K2619" s="1" t="s">
        <v>181</v>
      </c>
    </row>
    <row r="2620" spans="1:11" x14ac:dyDescent="0.25">
      <c r="A2620" s="1" t="s">
        <v>105</v>
      </c>
      <c r="B2620" s="1" t="s">
        <v>8373</v>
      </c>
      <c r="C2620" s="1" t="s">
        <v>8374</v>
      </c>
      <c r="D2620" s="1" t="s">
        <v>8375</v>
      </c>
      <c r="E2620" s="1" t="s">
        <v>178</v>
      </c>
      <c r="F2620" s="1" t="s">
        <v>5017</v>
      </c>
      <c r="G2620" s="1" t="s">
        <v>5018</v>
      </c>
      <c r="H2620" s="1">
        <v>0.1</v>
      </c>
      <c r="I2620" s="1">
        <v>0.1</v>
      </c>
      <c r="J2620" s="1">
        <v>0.67937316892282329</v>
      </c>
      <c r="K2620" s="1" t="s">
        <v>181</v>
      </c>
    </row>
    <row r="2621" spans="1:11" x14ac:dyDescent="0.25">
      <c r="A2621" s="1" t="s">
        <v>8376</v>
      </c>
      <c r="B2621" s="1" t="s">
        <v>8373</v>
      </c>
      <c r="C2621" s="1" t="s">
        <v>8374</v>
      </c>
      <c r="D2621" s="1" t="s">
        <v>8375</v>
      </c>
      <c r="E2621" s="1" t="s">
        <v>178</v>
      </c>
      <c r="F2621" s="1" t="s">
        <v>5017</v>
      </c>
      <c r="G2621" s="1" t="s">
        <v>5018</v>
      </c>
      <c r="H2621" s="1">
        <v>0.1</v>
      </c>
      <c r="I2621" s="1">
        <v>0.1</v>
      </c>
      <c r="J2621" s="1">
        <v>0.67937316892282329</v>
      </c>
      <c r="K2621" s="1" t="s">
        <v>181</v>
      </c>
    </row>
    <row r="2622" spans="1:11" x14ac:dyDescent="0.25">
      <c r="A2622" s="1" t="s">
        <v>8377</v>
      </c>
      <c r="B2622" s="1" t="s">
        <v>8378</v>
      </c>
      <c r="C2622" s="1" t="s">
        <v>8379</v>
      </c>
      <c r="D2622" s="1" t="s">
        <v>8380</v>
      </c>
      <c r="E2622" s="1" t="s">
        <v>178</v>
      </c>
      <c r="F2622" s="1" t="s">
        <v>5017</v>
      </c>
      <c r="G2622" s="1" t="s">
        <v>5018</v>
      </c>
      <c r="H2622" s="1">
        <v>0.1</v>
      </c>
      <c r="I2622" s="1">
        <v>0.1</v>
      </c>
      <c r="J2622" s="1">
        <v>0.44740458385402537</v>
      </c>
      <c r="K2622" s="1" t="s">
        <v>181</v>
      </c>
    </row>
    <row r="2623" spans="1:11" x14ac:dyDescent="0.25">
      <c r="A2623" s="1" t="s">
        <v>8381</v>
      </c>
      <c r="B2623" s="1" t="s">
        <v>8382</v>
      </c>
      <c r="C2623" s="1" t="s">
        <v>8383</v>
      </c>
      <c r="D2623" s="1" t="s">
        <v>8384</v>
      </c>
      <c r="E2623" s="1" t="s">
        <v>178</v>
      </c>
      <c r="F2623" s="1" t="s">
        <v>5017</v>
      </c>
      <c r="G2623" s="1" t="s">
        <v>5018</v>
      </c>
      <c r="H2623" s="1">
        <v>0.1</v>
      </c>
      <c r="I2623" s="1">
        <v>0.1</v>
      </c>
      <c r="J2623" s="1">
        <v>0.58935382024004068</v>
      </c>
      <c r="K2623" s="1" t="s">
        <v>181</v>
      </c>
    </row>
    <row r="2624" spans="1:11" x14ac:dyDescent="0.25">
      <c r="A2624" s="1" t="s">
        <v>8385</v>
      </c>
      <c r="B2624" s="1" t="s">
        <v>8382</v>
      </c>
      <c r="C2624" s="1" t="s">
        <v>8386</v>
      </c>
      <c r="D2624" s="1" t="s">
        <v>8387</v>
      </c>
      <c r="E2624" s="1" t="s">
        <v>178</v>
      </c>
      <c r="F2624" s="1" t="s">
        <v>5017</v>
      </c>
      <c r="G2624" s="1" t="s">
        <v>5018</v>
      </c>
      <c r="H2624" s="1">
        <v>0.1</v>
      </c>
      <c r="I2624" s="1">
        <v>0.1</v>
      </c>
      <c r="J2624" s="1">
        <v>0.64012198653104679</v>
      </c>
      <c r="K2624" s="1" t="s">
        <v>181</v>
      </c>
    </row>
    <row r="2625" spans="1:11" x14ac:dyDescent="0.25">
      <c r="A2625" s="1" t="s">
        <v>8388</v>
      </c>
      <c r="B2625" s="1" t="s">
        <v>7963</v>
      </c>
      <c r="C2625" s="1" t="s">
        <v>8389</v>
      </c>
      <c r="D2625" s="1" t="s">
        <v>8390</v>
      </c>
      <c r="E2625" s="1" t="s">
        <v>178</v>
      </c>
      <c r="F2625" s="1" t="s">
        <v>5017</v>
      </c>
      <c r="G2625" s="1" t="s">
        <v>5018</v>
      </c>
      <c r="H2625" s="1">
        <v>0.1</v>
      </c>
      <c r="I2625" s="1">
        <v>0.1</v>
      </c>
      <c r="J2625" s="1">
        <v>0.83948033134910993</v>
      </c>
      <c r="K2625" s="1" t="s">
        <v>181</v>
      </c>
    </row>
    <row r="2626" spans="1:11" x14ac:dyDescent="0.25">
      <c r="A2626" s="1" t="s">
        <v>8391</v>
      </c>
      <c r="B2626" s="1" t="s">
        <v>7681</v>
      </c>
      <c r="C2626" s="1" t="s">
        <v>8392</v>
      </c>
      <c r="D2626" s="1" t="s">
        <v>8393</v>
      </c>
      <c r="E2626" s="1" t="s">
        <v>178</v>
      </c>
      <c r="F2626" s="1" t="s">
        <v>5017</v>
      </c>
      <c r="G2626" s="1" t="s">
        <v>5018</v>
      </c>
      <c r="H2626" s="1">
        <v>0.1</v>
      </c>
      <c r="I2626" s="1">
        <v>0.1</v>
      </c>
      <c r="J2626" s="1">
        <v>0.81742088021152393</v>
      </c>
      <c r="K2626" s="1" t="s">
        <v>181</v>
      </c>
    </row>
    <row r="2627" spans="1:11" x14ac:dyDescent="0.25">
      <c r="A2627" s="1" t="s">
        <v>8394</v>
      </c>
      <c r="B2627" s="1" t="s">
        <v>7681</v>
      </c>
      <c r="C2627" s="1" t="s">
        <v>8395</v>
      </c>
      <c r="D2627" s="1" t="s">
        <v>8396</v>
      </c>
      <c r="E2627" s="1" t="s">
        <v>178</v>
      </c>
      <c r="F2627" s="1" t="s">
        <v>5017</v>
      </c>
      <c r="G2627" s="1" t="s">
        <v>5018</v>
      </c>
      <c r="H2627" s="1">
        <v>0.1</v>
      </c>
      <c r="I2627" s="1">
        <v>0.1</v>
      </c>
      <c r="J2627" s="1">
        <v>0.81742088021152393</v>
      </c>
      <c r="K2627" s="1" t="s">
        <v>181</v>
      </c>
    </row>
    <row r="2628" spans="1:11" x14ac:dyDescent="0.25">
      <c r="A2628" s="1" t="s">
        <v>8397</v>
      </c>
      <c r="B2628" s="1" t="s">
        <v>8398</v>
      </c>
      <c r="C2628" s="1" t="s">
        <v>8399</v>
      </c>
      <c r="D2628" s="1" t="s">
        <v>8400</v>
      </c>
      <c r="E2628" s="1" t="s">
        <v>178</v>
      </c>
      <c r="F2628" s="1" t="s">
        <v>5017</v>
      </c>
      <c r="G2628" s="1" t="s">
        <v>5018</v>
      </c>
      <c r="H2628" s="1">
        <v>0.1</v>
      </c>
      <c r="I2628" s="1">
        <v>0.1</v>
      </c>
      <c r="J2628" s="1">
        <v>0.80365211931185709</v>
      </c>
      <c r="K2628" s="1" t="s">
        <v>181</v>
      </c>
    </row>
    <row r="2629" spans="1:11" x14ac:dyDescent="0.25">
      <c r="A2629" s="1" t="s">
        <v>8401</v>
      </c>
      <c r="B2629" s="1" t="s">
        <v>8402</v>
      </c>
      <c r="C2629" s="1" t="s">
        <v>8403</v>
      </c>
      <c r="D2629" s="1" t="s">
        <v>8404</v>
      </c>
      <c r="E2629" s="1" t="s">
        <v>178</v>
      </c>
      <c r="F2629" s="1" t="s">
        <v>5017</v>
      </c>
      <c r="G2629" s="1" t="s">
        <v>5018</v>
      </c>
      <c r="H2629" s="1">
        <v>0.1</v>
      </c>
      <c r="I2629" s="1">
        <v>0.1</v>
      </c>
      <c r="J2629" s="1">
        <v>0.76808775975366095</v>
      </c>
      <c r="K2629" s="1" t="s">
        <v>181</v>
      </c>
    </row>
    <row r="2630" spans="1:11" x14ac:dyDescent="0.25">
      <c r="A2630" s="1" t="s">
        <v>8405</v>
      </c>
      <c r="B2630" s="1" t="s">
        <v>8406</v>
      </c>
      <c r="C2630" s="1" t="s">
        <v>8407</v>
      </c>
      <c r="D2630" s="1" t="s">
        <v>8408</v>
      </c>
      <c r="E2630" s="1" t="s">
        <v>178</v>
      </c>
      <c r="F2630" s="1" t="s">
        <v>5017</v>
      </c>
      <c r="G2630" s="1" t="s">
        <v>5018</v>
      </c>
      <c r="H2630" s="1">
        <v>0.1</v>
      </c>
      <c r="I2630" s="1">
        <v>0.1</v>
      </c>
      <c r="J2630" s="1">
        <v>0.72664254670886008</v>
      </c>
      <c r="K2630" s="1" t="s">
        <v>181</v>
      </c>
    </row>
    <row r="2631" spans="1:11" x14ac:dyDescent="0.25">
      <c r="A2631" s="1" t="s">
        <v>8409</v>
      </c>
      <c r="B2631" s="1" t="s">
        <v>7882</v>
      </c>
      <c r="C2631" s="1" t="s">
        <v>8410</v>
      </c>
      <c r="D2631" s="1" t="s">
        <v>8411</v>
      </c>
      <c r="E2631" s="1" t="s">
        <v>178</v>
      </c>
      <c r="F2631" s="1" t="s">
        <v>5017</v>
      </c>
      <c r="G2631" s="1" t="s">
        <v>5018</v>
      </c>
      <c r="H2631" s="1">
        <v>0.1</v>
      </c>
      <c r="I2631" s="1">
        <v>0.1</v>
      </c>
      <c r="J2631" s="1">
        <v>1.0266222496709063</v>
      </c>
      <c r="K2631" s="1" t="s">
        <v>181</v>
      </c>
    </row>
    <row r="2632" spans="1:11" x14ac:dyDescent="0.25">
      <c r="A2632" s="1" t="s">
        <v>8412</v>
      </c>
      <c r="B2632" s="1" t="s">
        <v>8413</v>
      </c>
      <c r="C2632" s="1" t="s">
        <v>8414</v>
      </c>
      <c r="D2632" s="1" t="s">
        <v>8415</v>
      </c>
      <c r="E2632" s="1" t="s">
        <v>178</v>
      </c>
      <c r="F2632" s="1" t="s">
        <v>5017</v>
      </c>
      <c r="G2632" s="1" t="s">
        <v>5018</v>
      </c>
      <c r="H2632" s="1">
        <v>0.1</v>
      </c>
      <c r="I2632" s="1">
        <v>0.1</v>
      </c>
      <c r="J2632" s="1">
        <v>0.79997935370284667</v>
      </c>
      <c r="K2632" s="1" t="s">
        <v>181</v>
      </c>
    </row>
    <row r="2633" spans="1:11" x14ac:dyDescent="0.25">
      <c r="A2633" s="1" t="s">
        <v>8416</v>
      </c>
      <c r="B2633" s="1" t="s">
        <v>8417</v>
      </c>
      <c r="C2633" s="1" t="s">
        <v>8418</v>
      </c>
      <c r="D2633" s="1" t="s">
        <v>8419</v>
      </c>
      <c r="E2633" s="1" t="s">
        <v>178</v>
      </c>
      <c r="F2633" s="1" t="s">
        <v>5017</v>
      </c>
      <c r="G2633" s="1" t="s">
        <v>5018</v>
      </c>
      <c r="H2633" s="1">
        <v>0.1</v>
      </c>
      <c r="I2633" s="1">
        <v>0.1</v>
      </c>
      <c r="J2633" s="1">
        <v>0.70581749977087871</v>
      </c>
      <c r="K2633" s="1" t="s">
        <v>181</v>
      </c>
    </row>
    <row r="2634" spans="1:11" x14ac:dyDescent="0.25">
      <c r="A2634" s="1" t="s">
        <v>8420</v>
      </c>
      <c r="B2634" s="1" t="s">
        <v>8421</v>
      </c>
      <c r="C2634" s="1" t="s">
        <v>8422</v>
      </c>
      <c r="D2634" s="1" t="s">
        <v>8423</v>
      </c>
      <c r="E2634" s="1" t="s">
        <v>178</v>
      </c>
      <c r="F2634" s="1" t="s">
        <v>5017</v>
      </c>
      <c r="G2634" s="1" t="s">
        <v>5018</v>
      </c>
      <c r="H2634" s="1">
        <v>0.1</v>
      </c>
      <c r="I2634" s="1">
        <v>0.1</v>
      </c>
      <c r="J2634" s="1">
        <v>0.57095387662346886</v>
      </c>
      <c r="K2634" s="1" t="s">
        <v>181</v>
      </c>
    </row>
    <row r="2635" spans="1:11" x14ac:dyDescent="0.25">
      <c r="A2635" s="1" t="s">
        <v>8424</v>
      </c>
      <c r="B2635" s="1" t="s">
        <v>8425</v>
      </c>
      <c r="C2635" s="1" t="s">
        <v>8426</v>
      </c>
      <c r="D2635" s="1" t="s">
        <v>8427</v>
      </c>
      <c r="E2635" s="1" t="s">
        <v>178</v>
      </c>
      <c r="F2635" s="1" t="s">
        <v>5017</v>
      </c>
      <c r="G2635" s="1" t="s">
        <v>5018</v>
      </c>
      <c r="H2635" s="1">
        <v>0.1</v>
      </c>
      <c r="I2635" s="1">
        <v>0.1</v>
      </c>
      <c r="J2635" s="1">
        <v>0.47493053387918588</v>
      </c>
      <c r="K2635" s="1" t="s">
        <v>181</v>
      </c>
    </row>
    <row r="2636" spans="1:11" x14ac:dyDescent="0.25">
      <c r="A2636" s="1" t="s">
        <v>8428</v>
      </c>
      <c r="B2636" s="1" t="s">
        <v>7882</v>
      </c>
      <c r="C2636" s="1" t="s">
        <v>8429</v>
      </c>
      <c r="D2636" s="1" t="s">
        <v>8430</v>
      </c>
      <c r="E2636" s="1" t="s">
        <v>178</v>
      </c>
      <c r="F2636" s="1" t="s">
        <v>5017</v>
      </c>
      <c r="G2636" s="1" t="s">
        <v>5018</v>
      </c>
      <c r="H2636" s="1">
        <v>0.1</v>
      </c>
      <c r="I2636" s="1">
        <v>0.1</v>
      </c>
      <c r="J2636" s="1">
        <v>2.5121564106792365</v>
      </c>
      <c r="K2636" s="1" t="s">
        <v>181</v>
      </c>
    </row>
    <row r="2637" spans="1:11" x14ac:dyDescent="0.25">
      <c r="A2637" s="1" t="s">
        <v>8431</v>
      </c>
      <c r="B2637" s="1" t="s">
        <v>7875</v>
      </c>
      <c r="C2637" s="1" t="s">
        <v>8432</v>
      </c>
      <c r="D2637" s="1" t="s">
        <v>8433</v>
      </c>
      <c r="E2637" s="1" t="s">
        <v>178</v>
      </c>
      <c r="F2637" s="1" t="s">
        <v>5017</v>
      </c>
      <c r="G2637" s="1" t="s">
        <v>5018</v>
      </c>
      <c r="H2637" s="1">
        <v>0.1</v>
      </c>
      <c r="I2637" s="1">
        <v>0.1</v>
      </c>
      <c r="J2637" s="1">
        <v>2.6287022492531427</v>
      </c>
      <c r="K2637" s="1" t="s">
        <v>181</v>
      </c>
    </row>
    <row r="2638" spans="1:11" x14ac:dyDescent="0.25">
      <c r="A2638" s="1" t="s">
        <v>8434</v>
      </c>
      <c r="B2638" s="1" t="s">
        <v>7875</v>
      </c>
      <c r="C2638" s="1" t="s">
        <v>8435</v>
      </c>
      <c r="D2638" s="1" t="s">
        <v>8436</v>
      </c>
      <c r="E2638" s="1" t="s">
        <v>178</v>
      </c>
      <c r="F2638" s="1" t="s">
        <v>5017</v>
      </c>
      <c r="G2638" s="1" t="s">
        <v>5018</v>
      </c>
      <c r="H2638" s="1">
        <v>0.1</v>
      </c>
      <c r="I2638" s="1">
        <v>0.1</v>
      </c>
      <c r="J2638" s="1">
        <v>2.6287022492531427</v>
      </c>
      <c r="K2638" s="1" t="s">
        <v>181</v>
      </c>
    </row>
    <row r="2639" spans="1:11" x14ac:dyDescent="0.25">
      <c r="A2639" s="1" t="s">
        <v>46</v>
      </c>
      <c r="B2639" s="1" t="s">
        <v>8437</v>
      </c>
      <c r="C2639" s="1" t="s">
        <v>8438</v>
      </c>
      <c r="D2639" s="1" t="s">
        <v>8439</v>
      </c>
      <c r="E2639" s="1" t="s">
        <v>178</v>
      </c>
      <c r="F2639" s="1" t="s">
        <v>5017</v>
      </c>
      <c r="G2639" s="1" t="s">
        <v>5018</v>
      </c>
      <c r="H2639" s="1">
        <v>0.1</v>
      </c>
      <c r="I2639" s="1">
        <v>0.1</v>
      </c>
      <c r="J2639" s="1">
        <v>1.547513575461847</v>
      </c>
      <c r="K2639" s="1" t="s">
        <v>181</v>
      </c>
    </row>
    <row r="2640" spans="1:11" x14ac:dyDescent="0.25">
      <c r="A2640" s="1" t="s">
        <v>8440</v>
      </c>
      <c r="B2640" s="1" t="s">
        <v>8441</v>
      </c>
      <c r="C2640" s="1" t="s">
        <v>8442</v>
      </c>
      <c r="D2640" s="1" t="s">
        <v>8443</v>
      </c>
      <c r="E2640" s="1" t="s">
        <v>178</v>
      </c>
      <c r="F2640" s="1" t="s">
        <v>5017</v>
      </c>
      <c r="G2640" s="1" t="s">
        <v>5018</v>
      </c>
      <c r="H2640" s="1">
        <v>0.1</v>
      </c>
      <c r="I2640" s="1">
        <v>0.1</v>
      </c>
      <c r="J2640" s="1">
        <v>1.1828541129276171</v>
      </c>
      <c r="K2640" s="1" t="s">
        <v>181</v>
      </c>
    </row>
    <row r="2641" spans="1:11" x14ac:dyDescent="0.25">
      <c r="A2641" s="1" t="s">
        <v>8444</v>
      </c>
      <c r="B2641" s="1" t="s">
        <v>8445</v>
      </c>
      <c r="C2641" s="1" t="s">
        <v>8446</v>
      </c>
      <c r="D2641" s="1" t="s">
        <v>8447</v>
      </c>
      <c r="E2641" s="1" t="s">
        <v>178</v>
      </c>
      <c r="F2641" s="1" t="s">
        <v>5017</v>
      </c>
      <c r="G2641" s="1" t="s">
        <v>5018</v>
      </c>
      <c r="H2641" s="1">
        <v>0.1</v>
      </c>
      <c r="I2641" s="1">
        <v>0.1</v>
      </c>
      <c r="J2641" s="1">
        <v>0.84151333485014834</v>
      </c>
      <c r="K2641" s="1" t="s">
        <v>181</v>
      </c>
    </row>
    <row r="2642" spans="1:11" x14ac:dyDescent="0.25">
      <c r="A2642" s="1" t="s">
        <v>8448</v>
      </c>
      <c r="B2642" s="1" t="s">
        <v>388</v>
      </c>
      <c r="C2642" s="1" t="s">
        <v>8449</v>
      </c>
      <c r="D2642" s="1" t="s">
        <v>8450</v>
      </c>
      <c r="E2642" s="1" t="s">
        <v>178</v>
      </c>
      <c r="F2642" s="1" t="s">
        <v>5017</v>
      </c>
      <c r="G2642" s="1" t="s">
        <v>5018</v>
      </c>
      <c r="H2642" s="1">
        <v>0.1</v>
      </c>
      <c r="I2642" s="1">
        <v>0.1</v>
      </c>
      <c r="J2642" s="1">
        <v>1.071749983237013</v>
      </c>
      <c r="K2642" s="1" t="s">
        <v>181</v>
      </c>
    </row>
    <row r="2643" spans="1:11" x14ac:dyDescent="0.25">
      <c r="A2643" s="1" t="s">
        <v>8451</v>
      </c>
      <c r="B2643" s="1" t="s">
        <v>388</v>
      </c>
      <c r="C2643" s="1" t="s">
        <v>8452</v>
      </c>
      <c r="D2643" s="1" t="s">
        <v>8453</v>
      </c>
      <c r="E2643" s="1" t="s">
        <v>178</v>
      </c>
      <c r="F2643" s="1" t="s">
        <v>5017</v>
      </c>
      <c r="G2643" s="1" t="s">
        <v>5018</v>
      </c>
      <c r="H2643" s="1">
        <v>0.1</v>
      </c>
      <c r="I2643" s="1">
        <v>0.1</v>
      </c>
      <c r="J2643" s="1">
        <v>1.0868728767374696</v>
      </c>
      <c r="K2643" s="1" t="s">
        <v>181</v>
      </c>
    </row>
    <row r="2644" spans="1:11" x14ac:dyDescent="0.25">
      <c r="A2644" s="1" t="s">
        <v>8454</v>
      </c>
      <c r="B2644" s="1" t="s">
        <v>8455</v>
      </c>
      <c r="C2644" s="1" t="s">
        <v>8456</v>
      </c>
      <c r="D2644" s="1" t="s">
        <v>8457</v>
      </c>
      <c r="E2644" s="1" t="s">
        <v>178</v>
      </c>
      <c r="F2644" s="1" t="s">
        <v>5017</v>
      </c>
      <c r="G2644" s="1" t="s">
        <v>5018</v>
      </c>
      <c r="H2644" s="1">
        <v>0.1</v>
      </c>
      <c r="I2644" s="1">
        <v>0.1</v>
      </c>
      <c r="J2644" s="1">
        <v>0.92685859025346096</v>
      </c>
      <c r="K2644" s="1" t="s">
        <v>181</v>
      </c>
    </row>
    <row r="2645" spans="1:11" x14ac:dyDescent="0.25">
      <c r="A2645" s="1" t="s">
        <v>8458</v>
      </c>
      <c r="B2645" s="1" t="s">
        <v>388</v>
      </c>
      <c r="C2645" s="1" t="s">
        <v>8459</v>
      </c>
      <c r="D2645" s="1" t="s">
        <v>8460</v>
      </c>
      <c r="E2645" s="1" t="s">
        <v>178</v>
      </c>
      <c r="F2645" s="1" t="s">
        <v>5017</v>
      </c>
      <c r="G2645" s="1" t="s">
        <v>5018</v>
      </c>
      <c r="H2645" s="1">
        <v>0.1</v>
      </c>
      <c r="I2645" s="1">
        <v>0.1</v>
      </c>
      <c r="J2645" s="1">
        <v>2.2877922771393298</v>
      </c>
      <c r="K2645" s="1" t="s">
        <v>181</v>
      </c>
    </row>
    <row r="2646" spans="1:11" x14ac:dyDescent="0.25">
      <c r="A2646" s="1" t="s">
        <v>8461</v>
      </c>
      <c r="B2646" s="1" t="s">
        <v>8462</v>
      </c>
      <c r="C2646" s="1" t="s">
        <v>8463</v>
      </c>
      <c r="D2646" s="1" t="s">
        <v>8464</v>
      </c>
      <c r="E2646" s="1" t="s">
        <v>178</v>
      </c>
      <c r="F2646" s="1" t="s">
        <v>5017</v>
      </c>
      <c r="G2646" s="1" t="s">
        <v>5018</v>
      </c>
      <c r="H2646" s="1">
        <v>0.1</v>
      </c>
      <c r="I2646" s="1">
        <v>0.1</v>
      </c>
      <c r="J2646" s="1">
        <v>0.505730566200425</v>
      </c>
      <c r="K2646" s="1" t="s">
        <v>181</v>
      </c>
    </row>
    <row r="2647" spans="1:11" x14ac:dyDescent="0.25">
      <c r="A2647" s="1" t="s">
        <v>8465</v>
      </c>
      <c r="B2647" s="1" t="s">
        <v>8462</v>
      </c>
      <c r="C2647" s="1" t="s">
        <v>8466</v>
      </c>
      <c r="D2647" s="1" t="s">
        <v>8467</v>
      </c>
      <c r="E2647" s="1" t="s">
        <v>178</v>
      </c>
      <c r="F2647" s="1" t="s">
        <v>5017</v>
      </c>
      <c r="G2647" s="1" t="s">
        <v>5018</v>
      </c>
      <c r="H2647" s="1">
        <v>0.1</v>
      </c>
      <c r="I2647" s="1">
        <v>0.1</v>
      </c>
      <c r="J2647" s="1">
        <v>0.505730566200425</v>
      </c>
      <c r="K2647" s="1" t="s">
        <v>181</v>
      </c>
    </row>
    <row r="2648" spans="1:11" x14ac:dyDescent="0.25">
      <c r="A2648" s="1" t="s">
        <v>8468</v>
      </c>
      <c r="B2648" s="1" t="s">
        <v>8469</v>
      </c>
      <c r="C2648" s="1" t="s">
        <v>8470</v>
      </c>
      <c r="D2648" s="1" t="s">
        <v>8471</v>
      </c>
      <c r="E2648" s="1" t="s">
        <v>178</v>
      </c>
      <c r="F2648" s="1" t="s">
        <v>5017</v>
      </c>
      <c r="G2648" s="1" t="s">
        <v>5018</v>
      </c>
      <c r="H2648" s="1">
        <v>0.1</v>
      </c>
      <c r="I2648" s="1">
        <v>0.1</v>
      </c>
      <c r="J2648" s="1">
        <v>0.61336873570085626</v>
      </c>
      <c r="K2648" s="1" t="s">
        <v>181</v>
      </c>
    </row>
    <row r="2649" spans="1:11" x14ac:dyDescent="0.25">
      <c r="A2649" s="1" t="s">
        <v>8472</v>
      </c>
      <c r="B2649" s="1" t="s">
        <v>8469</v>
      </c>
      <c r="C2649" s="1" t="s">
        <v>8473</v>
      </c>
      <c r="D2649" s="1" t="s">
        <v>8474</v>
      </c>
      <c r="E2649" s="1" t="s">
        <v>178</v>
      </c>
      <c r="F2649" s="1" t="s">
        <v>5017</v>
      </c>
      <c r="G2649" s="1" t="s">
        <v>5018</v>
      </c>
      <c r="H2649" s="1">
        <v>0.1</v>
      </c>
      <c r="I2649" s="1">
        <v>0.1</v>
      </c>
      <c r="J2649" s="1">
        <v>0.56792621283834033</v>
      </c>
      <c r="K2649" s="1" t="s">
        <v>181</v>
      </c>
    </row>
    <row r="2650" spans="1:11" x14ac:dyDescent="0.25">
      <c r="A2650" s="1" t="s">
        <v>8475</v>
      </c>
      <c r="B2650" s="1" t="s">
        <v>8469</v>
      </c>
      <c r="C2650" s="1" t="s">
        <v>8476</v>
      </c>
      <c r="D2650" s="1" t="s">
        <v>8477</v>
      </c>
      <c r="E2650" s="1" t="s">
        <v>178</v>
      </c>
      <c r="F2650" s="1" t="s">
        <v>5017</v>
      </c>
      <c r="G2650" s="1" t="s">
        <v>5018</v>
      </c>
      <c r="H2650" s="1">
        <v>0.1</v>
      </c>
      <c r="I2650" s="1">
        <v>0.1</v>
      </c>
      <c r="J2650" s="1">
        <v>0.61336873570085626</v>
      </c>
      <c r="K2650" s="1" t="s">
        <v>181</v>
      </c>
    </row>
    <row r="2651" spans="1:11" x14ac:dyDescent="0.25">
      <c r="A2651" s="1" t="s">
        <v>8478</v>
      </c>
      <c r="B2651" s="1" t="s">
        <v>8469</v>
      </c>
      <c r="C2651" s="1" t="s">
        <v>8479</v>
      </c>
      <c r="D2651" s="1" t="s">
        <v>8480</v>
      </c>
      <c r="E2651" s="1" t="s">
        <v>178</v>
      </c>
      <c r="F2651" s="1" t="s">
        <v>5017</v>
      </c>
      <c r="G2651" s="1" t="s">
        <v>5018</v>
      </c>
      <c r="H2651" s="1">
        <v>0.1</v>
      </c>
      <c r="I2651" s="1">
        <v>0.1</v>
      </c>
      <c r="J2651" s="1">
        <v>0.61336873570085626</v>
      </c>
      <c r="K2651" s="1" t="s">
        <v>181</v>
      </c>
    </row>
    <row r="2652" spans="1:11" x14ac:dyDescent="0.25">
      <c r="A2652" s="1" t="s">
        <v>8481</v>
      </c>
      <c r="B2652" s="1" t="s">
        <v>8482</v>
      </c>
      <c r="C2652" s="1" t="s">
        <v>8483</v>
      </c>
      <c r="D2652" s="1" t="s">
        <v>8484</v>
      </c>
      <c r="E2652" s="1" t="s">
        <v>178</v>
      </c>
      <c r="F2652" s="1" t="s">
        <v>5017</v>
      </c>
      <c r="G2652" s="1" t="s">
        <v>5018</v>
      </c>
      <c r="H2652" s="1">
        <v>0.1</v>
      </c>
      <c r="I2652" s="1">
        <v>0.1</v>
      </c>
      <c r="J2652" s="1">
        <v>0.75205020505935272</v>
      </c>
      <c r="K2652" s="1" t="s">
        <v>181</v>
      </c>
    </row>
    <row r="2653" spans="1:11" x14ac:dyDescent="0.25">
      <c r="A2653" s="1" t="s">
        <v>8485</v>
      </c>
      <c r="B2653" s="1" t="s">
        <v>8486</v>
      </c>
      <c r="C2653" s="1" t="s">
        <v>8487</v>
      </c>
      <c r="D2653" s="1" t="s">
        <v>8488</v>
      </c>
      <c r="E2653" s="1" t="s">
        <v>178</v>
      </c>
      <c r="F2653" s="1" t="s">
        <v>5017</v>
      </c>
      <c r="G2653" s="1" t="s">
        <v>5018</v>
      </c>
      <c r="H2653" s="1">
        <v>0.1</v>
      </c>
      <c r="I2653" s="1">
        <v>0.1</v>
      </c>
      <c r="J2653" s="1">
        <v>0.86501267961775841</v>
      </c>
      <c r="K2653" s="1" t="s">
        <v>181</v>
      </c>
    </row>
    <row r="2654" spans="1:11" x14ac:dyDescent="0.25">
      <c r="A2654" s="1" t="s">
        <v>32</v>
      </c>
      <c r="B2654" s="1" t="s">
        <v>8486</v>
      </c>
      <c r="C2654" s="1" t="s">
        <v>8489</v>
      </c>
      <c r="D2654" s="1" t="s">
        <v>8490</v>
      </c>
      <c r="E2654" s="1" t="s">
        <v>178</v>
      </c>
      <c r="F2654" s="1" t="s">
        <v>5017</v>
      </c>
      <c r="G2654" s="1" t="s">
        <v>5018</v>
      </c>
      <c r="H2654" s="1">
        <v>0.1</v>
      </c>
      <c r="I2654" s="1">
        <v>0.1</v>
      </c>
      <c r="J2654" s="1">
        <v>0.86501267961775841</v>
      </c>
      <c r="K2654" s="1" t="s">
        <v>181</v>
      </c>
    </row>
    <row r="2655" spans="1:11" x14ac:dyDescent="0.25">
      <c r="A2655" s="1" t="s">
        <v>33</v>
      </c>
      <c r="B2655" s="1" t="s">
        <v>8486</v>
      </c>
      <c r="C2655" s="1" t="s">
        <v>8491</v>
      </c>
      <c r="D2655" s="1" t="s">
        <v>8492</v>
      </c>
      <c r="E2655" s="1" t="s">
        <v>178</v>
      </c>
      <c r="F2655" s="1" t="s">
        <v>5017</v>
      </c>
      <c r="G2655" s="1" t="s">
        <v>5018</v>
      </c>
      <c r="H2655" s="1">
        <v>0.1</v>
      </c>
      <c r="I2655" s="1">
        <v>0.1</v>
      </c>
      <c r="J2655" s="1">
        <v>0.86501267961775841</v>
      </c>
      <c r="K2655" s="1" t="s">
        <v>181</v>
      </c>
    </row>
    <row r="2656" spans="1:11" x14ac:dyDescent="0.25">
      <c r="A2656" s="1" t="s">
        <v>8493</v>
      </c>
      <c r="B2656" s="1" t="s">
        <v>8486</v>
      </c>
      <c r="C2656" s="1" t="s">
        <v>8494</v>
      </c>
      <c r="D2656" s="1" t="s">
        <v>8495</v>
      </c>
      <c r="E2656" s="1" t="s">
        <v>178</v>
      </c>
      <c r="F2656" s="1" t="s">
        <v>5017</v>
      </c>
      <c r="G2656" s="1" t="s">
        <v>5018</v>
      </c>
      <c r="H2656" s="1">
        <v>0.1</v>
      </c>
      <c r="I2656" s="1">
        <v>0.1</v>
      </c>
      <c r="J2656" s="1">
        <v>0.86501267961775841</v>
      </c>
      <c r="K2656" s="1" t="s">
        <v>181</v>
      </c>
    </row>
    <row r="2657" spans="1:11" x14ac:dyDescent="0.25">
      <c r="A2657" s="1" t="s">
        <v>8496</v>
      </c>
      <c r="B2657" s="1" t="s">
        <v>8497</v>
      </c>
      <c r="C2657" s="1" t="s">
        <v>8498</v>
      </c>
      <c r="D2657" s="1" t="s">
        <v>8499</v>
      </c>
      <c r="E2657" s="1" t="s">
        <v>178</v>
      </c>
      <c r="F2657" s="1" t="s">
        <v>5017</v>
      </c>
      <c r="G2657" s="1" t="s">
        <v>5018</v>
      </c>
      <c r="H2657" s="1">
        <v>0.1</v>
      </c>
      <c r="I2657" s="1">
        <v>0.1</v>
      </c>
      <c r="J2657" s="1">
        <v>0.86913221369486027</v>
      </c>
      <c r="K2657" s="1" t="s">
        <v>181</v>
      </c>
    </row>
    <row r="2658" spans="1:11" x14ac:dyDescent="0.25">
      <c r="A2658" s="1" t="s">
        <v>8500</v>
      </c>
      <c r="B2658" s="1" t="s">
        <v>7534</v>
      </c>
      <c r="C2658" s="1" t="s">
        <v>8501</v>
      </c>
      <c r="D2658" s="1" t="s">
        <v>8502</v>
      </c>
      <c r="E2658" s="1" t="s">
        <v>178</v>
      </c>
      <c r="F2658" s="1" t="s">
        <v>5017</v>
      </c>
      <c r="G2658" s="1" t="s">
        <v>5018</v>
      </c>
      <c r="H2658" s="1">
        <v>0.1</v>
      </c>
      <c r="I2658" s="1">
        <v>0.1</v>
      </c>
      <c r="J2658" s="1">
        <v>0.89518543784292659</v>
      </c>
      <c r="K2658" s="1" t="s">
        <v>181</v>
      </c>
    </row>
    <row r="2659" spans="1:11" x14ac:dyDescent="0.25">
      <c r="A2659" s="1" t="s">
        <v>8503</v>
      </c>
      <c r="B2659" s="1" t="s">
        <v>8504</v>
      </c>
      <c r="C2659" s="1" t="s">
        <v>8505</v>
      </c>
      <c r="D2659" s="1" t="s">
        <v>8506</v>
      </c>
      <c r="E2659" s="1" t="s">
        <v>178</v>
      </c>
      <c r="F2659" s="1" t="s">
        <v>5017</v>
      </c>
      <c r="G2659" s="1" t="s">
        <v>5018</v>
      </c>
      <c r="H2659" s="1">
        <v>0.1</v>
      </c>
      <c r="I2659" s="1">
        <v>0.1</v>
      </c>
      <c r="J2659" s="1">
        <v>0.86761999337105356</v>
      </c>
      <c r="K2659" s="1" t="s">
        <v>181</v>
      </c>
    </row>
    <row r="2660" spans="1:11" x14ac:dyDescent="0.25">
      <c r="A2660" s="1" t="s">
        <v>8507</v>
      </c>
      <c r="B2660" s="1" t="s">
        <v>8508</v>
      </c>
      <c r="C2660" s="1" t="s">
        <v>8509</v>
      </c>
      <c r="D2660" s="1" t="s">
        <v>8510</v>
      </c>
      <c r="E2660" s="1" t="s">
        <v>178</v>
      </c>
      <c r="F2660" s="1" t="s">
        <v>5017</v>
      </c>
      <c r="G2660" s="1" t="s">
        <v>5018</v>
      </c>
      <c r="H2660" s="1">
        <v>0.1</v>
      </c>
      <c r="I2660" s="1">
        <v>0.1</v>
      </c>
      <c r="J2660" s="1">
        <v>0.83125185796073764</v>
      </c>
      <c r="K2660" s="1" t="s">
        <v>181</v>
      </c>
    </row>
    <row r="2661" spans="1:11" x14ac:dyDescent="0.25">
      <c r="A2661" s="1" t="s">
        <v>8511</v>
      </c>
      <c r="B2661" s="1" t="s">
        <v>8512</v>
      </c>
      <c r="C2661" s="1" t="s">
        <v>8513</v>
      </c>
      <c r="D2661" s="1" t="s">
        <v>8514</v>
      </c>
      <c r="E2661" s="1" t="s">
        <v>178</v>
      </c>
      <c r="F2661" s="1" t="s">
        <v>5017</v>
      </c>
      <c r="G2661" s="1" t="s">
        <v>5018</v>
      </c>
      <c r="H2661" s="1">
        <v>0.1</v>
      </c>
      <c r="I2661" s="1">
        <v>0.1</v>
      </c>
      <c r="J2661" s="1">
        <v>0.66207545047067462</v>
      </c>
      <c r="K2661" s="1" t="s">
        <v>181</v>
      </c>
    </row>
    <row r="2662" spans="1:11" x14ac:dyDescent="0.25">
      <c r="A2662" s="1" t="s">
        <v>8515</v>
      </c>
      <c r="B2662" s="1" t="s">
        <v>7716</v>
      </c>
      <c r="C2662" s="1" t="s">
        <v>8516</v>
      </c>
      <c r="D2662" s="1" t="s">
        <v>8517</v>
      </c>
      <c r="E2662" s="1" t="s">
        <v>178</v>
      </c>
      <c r="F2662" s="1" t="s">
        <v>5017</v>
      </c>
      <c r="G2662" s="1" t="s">
        <v>5018</v>
      </c>
      <c r="H2662" s="1">
        <v>0.1</v>
      </c>
      <c r="I2662" s="1">
        <v>0.1</v>
      </c>
      <c r="J2662" s="1">
        <v>0.83139808911994062</v>
      </c>
      <c r="K2662" s="1" t="s">
        <v>181</v>
      </c>
    </row>
    <row r="2663" spans="1:11" x14ac:dyDescent="0.25">
      <c r="A2663" s="1" t="s">
        <v>8518</v>
      </c>
      <c r="B2663" s="1" t="s">
        <v>8519</v>
      </c>
      <c r="C2663" s="1" t="s">
        <v>8520</v>
      </c>
      <c r="D2663" s="1" t="s">
        <v>8521</v>
      </c>
      <c r="E2663" s="1" t="s">
        <v>178</v>
      </c>
      <c r="F2663" s="1" t="s">
        <v>5017</v>
      </c>
      <c r="G2663" s="1" t="s">
        <v>5018</v>
      </c>
      <c r="H2663" s="1">
        <v>0.1</v>
      </c>
      <c r="I2663" s="1">
        <v>0.1</v>
      </c>
      <c r="J2663" s="1">
        <v>0.79952746061730384</v>
      </c>
      <c r="K2663" s="1" t="s">
        <v>181</v>
      </c>
    </row>
    <row r="2664" spans="1:11" x14ac:dyDescent="0.25">
      <c r="A2664" s="1" t="s">
        <v>8522</v>
      </c>
      <c r="B2664" s="1" t="s">
        <v>8523</v>
      </c>
      <c r="C2664" s="1" t="s">
        <v>8524</v>
      </c>
      <c r="D2664" s="1" t="s">
        <v>8525</v>
      </c>
      <c r="E2664" s="1" t="s">
        <v>178</v>
      </c>
      <c r="F2664" s="1" t="s">
        <v>5017</v>
      </c>
      <c r="G2664" s="1" t="s">
        <v>5018</v>
      </c>
      <c r="H2664" s="1">
        <v>0.1</v>
      </c>
      <c r="I2664" s="1">
        <v>0.1</v>
      </c>
      <c r="J2664" s="1">
        <v>0.8933571435683102</v>
      </c>
      <c r="K2664" s="1" t="s">
        <v>181</v>
      </c>
    </row>
    <row r="2665" spans="1:11" x14ac:dyDescent="0.25">
      <c r="A2665" s="1" t="s">
        <v>8526</v>
      </c>
      <c r="B2665" s="1" t="s">
        <v>8527</v>
      </c>
      <c r="C2665" s="1" t="s">
        <v>8528</v>
      </c>
      <c r="D2665" s="1" t="s">
        <v>8529</v>
      </c>
      <c r="E2665" s="1" t="s">
        <v>178</v>
      </c>
      <c r="F2665" s="1" t="s">
        <v>5017</v>
      </c>
      <c r="G2665" s="1" t="s">
        <v>5018</v>
      </c>
      <c r="H2665" s="1">
        <v>0.1</v>
      </c>
      <c r="I2665" s="1">
        <v>0.1</v>
      </c>
      <c r="J2665" s="1">
        <v>0.95665344206973613</v>
      </c>
      <c r="K2665" s="1" t="s">
        <v>181</v>
      </c>
    </row>
    <row r="2666" spans="1:11" x14ac:dyDescent="0.25">
      <c r="A2666" s="1" t="s">
        <v>140</v>
      </c>
      <c r="B2666" s="1" t="s">
        <v>8530</v>
      </c>
      <c r="C2666" s="1" t="s">
        <v>8531</v>
      </c>
      <c r="D2666" s="1" t="s">
        <v>8532</v>
      </c>
      <c r="E2666" s="1" t="s">
        <v>178</v>
      </c>
      <c r="F2666" s="1" t="s">
        <v>5017</v>
      </c>
      <c r="G2666" s="1" t="s">
        <v>5018</v>
      </c>
      <c r="H2666" s="1">
        <v>0.1</v>
      </c>
      <c r="I2666" s="1">
        <v>0.1</v>
      </c>
      <c r="J2666" s="1">
        <v>0.86278589758122126</v>
      </c>
      <c r="K2666" s="1" t="s">
        <v>181</v>
      </c>
    </row>
    <row r="2667" spans="1:11" x14ac:dyDescent="0.25">
      <c r="A2667" s="1" t="s">
        <v>8533</v>
      </c>
      <c r="B2667" s="1" t="s">
        <v>8534</v>
      </c>
      <c r="C2667" s="1" t="s">
        <v>8535</v>
      </c>
      <c r="D2667" s="1" t="s">
        <v>8536</v>
      </c>
      <c r="E2667" s="1" t="s">
        <v>178</v>
      </c>
      <c r="F2667" s="1" t="s">
        <v>5017</v>
      </c>
      <c r="G2667" s="1" t="s">
        <v>5018</v>
      </c>
      <c r="H2667" s="1">
        <v>0.1</v>
      </c>
      <c r="I2667" s="1">
        <v>0.1</v>
      </c>
      <c r="J2667" s="1">
        <v>0.9611737547827981</v>
      </c>
      <c r="K2667" s="1" t="s">
        <v>181</v>
      </c>
    </row>
    <row r="2668" spans="1:11" x14ac:dyDescent="0.25">
      <c r="A2668" s="1" t="s">
        <v>8537</v>
      </c>
      <c r="B2668" s="1" t="s">
        <v>8482</v>
      </c>
      <c r="C2668" s="1" t="s">
        <v>8538</v>
      </c>
      <c r="D2668" s="1" t="s">
        <v>8539</v>
      </c>
      <c r="E2668" s="1" t="s">
        <v>178</v>
      </c>
      <c r="F2668" s="1" t="s">
        <v>5017</v>
      </c>
      <c r="G2668" s="1" t="s">
        <v>5018</v>
      </c>
      <c r="H2668" s="1">
        <v>0.1</v>
      </c>
      <c r="I2668" s="1">
        <v>0.1</v>
      </c>
      <c r="J2668" s="1">
        <v>0.75205020505935272</v>
      </c>
      <c r="K2668" s="1" t="s">
        <v>181</v>
      </c>
    </row>
    <row r="2669" spans="1:11" x14ac:dyDescent="0.25">
      <c r="A2669" s="1" t="s">
        <v>8540</v>
      </c>
      <c r="B2669" s="1" t="s">
        <v>8541</v>
      </c>
      <c r="C2669" s="1" t="s">
        <v>8542</v>
      </c>
      <c r="D2669" s="1" t="s">
        <v>8543</v>
      </c>
      <c r="E2669" s="1" t="s">
        <v>178</v>
      </c>
      <c r="F2669" s="1" t="s">
        <v>5017</v>
      </c>
      <c r="G2669" s="1" t="s">
        <v>5018</v>
      </c>
      <c r="H2669" s="1">
        <v>0.1</v>
      </c>
      <c r="I2669" s="1">
        <v>0.1</v>
      </c>
      <c r="J2669" s="1">
        <v>1.0742498492640022</v>
      </c>
      <c r="K2669" s="1" t="s">
        <v>181</v>
      </c>
    </row>
    <row r="2670" spans="1:11" x14ac:dyDescent="0.25">
      <c r="A2670" s="1" t="s">
        <v>8544</v>
      </c>
      <c r="B2670" s="1" t="s">
        <v>8545</v>
      </c>
      <c r="C2670" s="1" t="s">
        <v>8546</v>
      </c>
      <c r="D2670" s="1" t="s">
        <v>8547</v>
      </c>
      <c r="E2670" s="1" t="s">
        <v>178</v>
      </c>
      <c r="F2670" s="1" t="s">
        <v>5017</v>
      </c>
      <c r="G2670" s="1" t="s">
        <v>5018</v>
      </c>
      <c r="H2670" s="1">
        <v>0.1</v>
      </c>
      <c r="I2670" s="1">
        <v>0.1</v>
      </c>
      <c r="J2670" s="1">
        <v>0.76833060752541527</v>
      </c>
      <c r="K2670" s="1" t="s">
        <v>181</v>
      </c>
    </row>
    <row r="2671" spans="1:11" x14ac:dyDescent="0.25">
      <c r="A2671" s="1" t="s">
        <v>8548</v>
      </c>
      <c r="B2671" s="1" t="s">
        <v>8549</v>
      </c>
      <c r="C2671" s="1" t="s">
        <v>8550</v>
      </c>
      <c r="D2671" s="1" t="s">
        <v>8551</v>
      </c>
      <c r="E2671" s="1" t="s">
        <v>178</v>
      </c>
      <c r="F2671" s="1" t="s">
        <v>5017</v>
      </c>
      <c r="G2671" s="1" t="s">
        <v>5018</v>
      </c>
      <c r="H2671" s="1">
        <v>0.1</v>
      </c>
      <c r="I2671" s="1">
        <v>0.1</v>
      </c>
      <c r="J2671" s="1">
        <v>0.69192340552147624</v>
      </c>
      <c r="K2671" s="1" t="s">
        <v>181</v>
      </c>
    </row>
    <row r="2672" spans="1:11" x14ac:dyDescent="0.25">
      <c r="A2672" s="1" t="s">
        <v>8552</v>
      </c>
      <c r="B2672" s="1" t="s">
        <v>8553</v>
      </c>
      <c r="C2672" s="1" t="s">
        <v>8554</v>
      </c>
      <c r="D2672" s="1" t="s">
        <v>8555</v>
      </c>
      <c r="E2672" s="1" t="s">
        <v>178</v>
      </c>
      <c r="F2672" s="1" t="s">
        <v>5017</v>
      </c>
      <c r="G2672" s="1" t="s">
        <v>5018</v>
      </c>
      <c r="H2672" s="1">
        <v>0.1</v>
      </c>
      <c r="I2672" s="1">
        <v>0.1</v>
      </c>
      <c r="J2672" s="1">
        <v>0.53145712143269241</v>
      </c>
      <c r="K2672" s="1" t="s">
        <v>181</v>
      </c>
    </row>
    <row r="2673" spans="1:11" x14ac:dyDescent="0.25">
      <c r="A2673" s="1" t="s">
        <v>8556</v>
      </c>
      <c r="B2673" s="1" t="s">
        <v>8557</v>
      </c>
      <c r="C2673" s="1" t="s">
        <v>8558</v>
      </c>
      <c r="D2673" s="1" t="s">
        <v>8559</v>
      </c>
      <c r="E2673" s="1" t="s">
        <v>178</v>
      </c>
      <c r="F2673" s="1" t="s">
        <v>5017</v>
      </c>
      <c r="G2673" s="1" t="s">
        <v>5018</v>
      </c>
      <c r="H2673" s="1">
        <v>0.1</v>
      </c>
      <c r="I2673" s="1">
        <v>0.1</v>
      </c>
      <c r="J2673" s="1">
        <v>0.92219582710436787</v>
      </c>
      <c r="K2673" s="1" t="s">
        <v>181</v>
      </c>
    </row>
    <row r="2674" spans="1:11" x14ac:dyDescent="0.25">
      <c r="A2674" s="1" t="s">
        <v>8560</v>
      </c>
      <c r="B2674" s="1" t="s">
        <v>8557</v>
      </c>
      <c r="C2674" s="1" t="s">
        <v>8561</v>
      </c>
      <c r="D2674" s="1" t="s">
        <v>8562</v>
      </c>
      <c r="E2674" s="1" t="s">
        <v>178</v>
      </c>
      <c r="F2674" s="1" t="s">
        <v>5017</v>
      </c>
      <c r="G2674" s="1" t="s">
        <v>5018</v>
      </c>
      <c r="H2674" s="1">
        <v>0.1</v>
      </c>
      <c r="I2674" s="1">
        <v>0.1</v>
      </c>
      <c r="J2674" s="1">
        <v>0.92219582710436787</v>
      </c>
      <c r="K2674" s="1" t="s">
        <v>181</v>
      </c>
    </row>
    <row r="2675" spans="1:11" x14ac:dyDescent="0.25">
      <c r="A2675" s="1" t="s">
        <v>8563</v>
      </c>
      <c r="B2675" s="1" t="s">
        <v>8564</v>
      </c>
      <c r="C2675" s="1" t="s">
        <v>8565</v>
      </c>
      <c r="D2675" s="1" t="s">
        <v>8566</v>
      </c>
      <c r="E2675" s="1" t="s">
        <v>178</v>
      </c>
      <c r="F2675" s="1" t="s">
        <v>5017</v>
      </c>
      <c r="G2675" s="1" t="s">
        <v>5018</v>
      </c>
      <c r="H2675" s="1">
        <v>0.1</v>
      </c>
      <c r="I2675" s="1">
        <v>0.1</v>
      </c>
      <c r="J2675" s="1">
        <v>0.6166749513058184</v>
      </c>
      <c r="K2675" s="1" t="s">
        <v>181</v>
      </c>
    </row>
    <row r="2676" spans="1:11" x14ac:dyDescent="0.25">
      <c r="A2676" s="1" t="s">
        <v>8567</v>
      </c>
      <c r="B2676" s="1" t="s">
        <v>8568</v>
      </c>
      <c r="C2676" s="1" t="s">
        <v>8569</v>
      </c>
      <c r="D2676" s="1" t="s">
        <v>8570</v>
      </c>
      <c r="E2676" s="1" t="s">
        <v>178</v>
      </c>
      <c r="F2676" s="1" t="s">
        <v>5017</v>
      </c>
      <c r="G2676" s="1" t="s">
        <v>5018</v>
      </c>
      <c r="H2676" s="1">
        <v>0.1</v>
      </c>
      <c r="I2676" s="1">
        <v>0.1</v>
      </c>
      <c r="J2676" s="1">
        <v>0.47854667136101664</v>
      </c>
      <c r="K2676" s="1" t="s">
        <v>181</v>
      </c>
    </row>
    <row r="2677" spans="1:11" x14ac:dyDescent="0.25">
      <c r="A2677" s="1" t="s">
        <v>8571</v>
      </c>
      <c r="B2677" s="1" t="s">
        <v>336</v>
      </c>
      <c r="C2677" s="1" t="s">
        <v>8572</v>
      </c>
      <c r="D2677" s="1" t="s">
        <v>8573</v>
      </c>
      <c r="E2677" s="1" t="s">
        <v>178</v>
      </c>
      <c r="F2677" s="1" t="s">
        <v>5017</v>
      </c>
      <c r="G2677" s="1" t="s">
        <v>5018</v>
      </c>
      <c r="H2677" s="1">
        <v>0.1</v>
      </c>
      <c r="I2677" s="1">
        <v>0.1</v>
      </c>
      <c r="J2677" s="1">
        <v>1.1559133968284632</v>
      </c>
      <c r="K2677" s="1" t="s">
        <v>181</v>
      </c>
    </row>
    <row r="2678" spans="1:11" x14ac:dyDescent="0.25">
      <c r="A2678" s="1" t="s">
        <v>8574</v>
      </c>
      <c r="B2678" s="1" t="s">
        <v>336</v>
      </c>
      <c r="C2678" s="1" t="s">
        <v>8575</v>
      </c>
      <c r="D2678" s="1" t="s">
        <v>8576</v>
      </c>
      <c r="E2678" s="1" t="s">
        <v>178</v>
      </c>
      <c r="F2678" s="1" t="s">
        <v>5017</v>
      </c>
      <c r="G2678" s="1" t="s">
        <v>5018</v>
      </c>
      <c r="H2678" s="1">
        <v>0.1</v>
      </c>
      <c r="I2678" s="1">
        <v>0.1</v>
      </c>
      <c r="J2678" s="1">
        <v>1.1286287468722747</v>
      </c>
      <c r="K2678" s="1" t="s">
        <v>181</v>
      </c>
    </row>
    <row r="2679" spans="1:11" x14ac:dyDescent="0.25">
      <c r="A2679" s="1" t="s">
        <v>8577</v>
      </c>
      <c r="B2679" s="1" t="s">
        <v>8578</v>
      </c>
      <c r="C2679" s="1" t="s">
        <v>8579</v>
      </c>
      <c r="D2679" s="1" t="s">
        <v>8580</v>
      </c>
      <c r="E2679" s="1" t="s">
        <v>178</v>
      </c>
      <c r="F2679" s="1" t="s">
        <v>5017</v>
      </c>
      <c r="G2679" s="1" t="s">
        <v>5018</v>
      </c>
      <c r="H2679" s="1">
        <v>0.1</v>
      </c>
      <c r="I2679" s="1">
        <v>0.1</v>
      </c>
      <c r="J2679" s="1">
        <v>0.58348325719787575</v>
      </c>
      <c r="K2679" s="1" t="s">
        <v>181</v>
      </c>
    </row>
    <row r="2680" spans="1:11" x14ac:dyDescent="0.25">
      <c r="A2680" s="1" t="s">
        <v>8581</v>
      </c>
      <c r="B2680" s="1" t="s">
        <v>8582</v>
      </c>
      <c r="C2680" s="1" t="s">
        <v>8583</v>
      </c>
      <c r="D2680" s="1" t="s">
        <v>8584</v>
      </c>
      <c r="E2680" s="1" t="s">
        <v>178</v>
      </c>
      <c r="F2680" s="1" t="s">
        <v>5017</v>
      </c>
      <c r="G2680" s="1" t="s">
        <v>5018</v>
      </c>
      <c r="H2680" s="1">
        <v>0.1</v>
      </c>
      <c r="I2680" s="1">
        <v>0.1</v>
      </c>
      <c r="J2680" s="1">
        <v>1.2596766930925252</v>
      </c>
      <c r="K2680" s="1" t="s">
        <v>181</v>
      </c>
    </row>
    <row r="2681" spans="1:11" x14ac:dyDescent="0.25">
      <c r="A2681" s="1" t="s">
        <v>8585</v>
      </c>
      <c r="B2681" s="1" t="s">
        <v>8586</v>
      </c>
      <c r="C2681" s="1" t="s">
        <v>8587</v>
      </c>
      <c r="D2681" s="1" t="s">
        <v>8588</v>
      </c>
      <c r="E2681" s="1" t="s">
        <v>178</v>
      </c>
      <c r="F2681" s="1" t="s">
        <v>5017</v>
      </c>
      <c r="G2681" s="1" t="s">
        <v>5018</v>
      </c>
      <c r="H2681" s="1">
        <v>0.1</v>
      </c>
      <c r="I2681" s="1">
        <v>0.1</v>
      </c>
      <c r="J2681" s="1">
        <v>0.92617734697400866</v>
      </c>
      <c r="K2681" s="1" t="s">
        <v>181</v>
      </c>
    </row>
    <row r="2682" spans="1:11" x14ac:dyDescent="0.25">
      <c r="A2682" s="1" t="s">
        <v>8589</v>
      </c>
      <c r="B2682" s="1" t="s">
        <v>8590</v>
      </c>
      <c r="C2682" s="1" t="s">
        <v>8591</v>
      </c>
      <c r="D2682" s="1" t="s">
        <v>8592</v>
      </c>
      <c r="E2682" s="1" t="s">
        <v>178</v>
      </c>
      <c r="F2682" s="1" t="s">
        <v>5017</v>
      </c>
      <c r="G2682" s="1" t="s">
        <v>5018</v>
      </c>
      <c r="H2682" s="1">
        <v>0.1</v>
      </c>
      <c r="I2682" s="1">
        <v>0.1</v>
      </c>
      <c r="J2682" s="1">
        <v>0.36528237758639348</v>
      </c>
      <c r="K2682" s="1" t="s">
        <v>181</v>
      </c>
    </row>
    <row r="2683" spans="1:11" x14ac:dyDescent="0.25">
      <c r="A2683" s="1" t="s">
        <v>8593</v>
      </c>
      <c r="B2683" s="1" t="s">
        <v>8594</v>
      </c>
      <c r="C2683" s="1" t="s">
        <v>8595</v>
      </c>
      <c r="D2683" s="1" t="s">
        <v>8596</v>
      </c>
      <c r="E2683" s="1" t="s">
        <v>178</v>
      </c>
      <c r="F2683" s="1" t="s">
        <v>5017</v>
      </c>
      <c r="G2683" s="1" t="s">
        <v>5018</v>
      </c>
      <c r="H2683" s="1">
        <v>0.1</v>
      </c>
      <c r="I2683" s="1">
        <v>0.1</v>
      </c>
      <c r="J2683" s="1">
        <v>0.72005986707354008</v>
      </c>
      <c r="K2683" s="1" t="s">
        <v>181</v>
      </c>
    </row>
    <row r="2684" spans="1:11" x14ac:dyDescent="0.25">
      <c r="A2684" s="1" t="s">
        <v>8597</v>
      </c>
      <c r="B2684" s="1" t="s">
        <v>8598</v>
      </c>
      <c r="C2684" s="1" t="s">
        <v>8599</v>
      </c>
      <c r="D2684" s="1" t="s">
        <v>8600</v>
      </c>
      <c r="E2684" s="1" t="s">
        <v>178</v>
      </c>
      <c r="F2684" s="1" t="s">
        <v>5017</v>
      </c>
      <c r="G2684" s="1" t="s">
        <v>5018</v>
      </c>
      <c r="H2684" s="1">
        <v>0.1</v>
      </c>
      <c r="I2684" s="1">
        <v>0.1</v>
      </c>
      <c r="J2684" s="1">
        <v>0.39176985748646032</v>
      </c>
      <c r="K2684" s="1" t="s">
        <v>181</v>
      </c>
    </row>
    <row r="2685" spans="1:11" x14ac:dyDescent="0.25">
      <c r="A2685" s="1" t="s">
        <v>8601</v>
      </c>
      <c r="B2685" s="1" t="s">
        <v>8437</v>
      </c>
      <c r="C2685" s="1" t="s">
        <v>8602</v>
      </c>
      <c r="D2685" s="1" t="s">
        <v>8603</v>
      </c>
      <c r="E2685" s="1" t="s">
        <v>178</v>
      </c>
      <c r="F2685" s="1" t="s">
        <v>5017</v>
      </c>
      <c r="G2685" s="1" t="s">
        <v>5018</v>
      </c>
      <c r="H2685" s="1">
        <v>0.1</v>
      </c>
      <c r="I2685" s="1">
        <v>0.1</v>
      </c>
      <c r="J2685" s="1">
        <v>0.99536103419088628</v>
      </c>
      <c r="K2685" s="1" t="s">
        <v>181</v>
      </c>
    </row>
    <row r="2686" spans="1:11" x14ac:dyDescent="0.25">
      <c r="A2686" s="1" t="s">
        <v>8604</v>
      </c>
      <c r="B2686" s="1" t="s">
        <v>8605</v>
      </c>
      <c r="C2686" s="1" t="s">
        <v>8606</v>
      </c>
      <c r="D2686" s="1" t="s">
        <v>8607</v>
      </c>
      <c r="E2686" s="1" t="s">
        <v>178</v>
      </c>
      <c r="F2686" s="1" t="s">
        <v>5017</v>
      </c>
      <c r="G2686" s="1" t="s">
        <v>5018</v>
      </c>
      <c r="H2686" s="1">
        <v>0.1</v>
      </c>
      <c r="I2686" s="1">
        <v>0.1</v>
      </c>
      <c r="J2686" s="1">
        <v>0.63548904485421087</v>
      </c>
      <c r="K2686" s="1" t="s">
        <v>181</v>
      </c>
    </row>
    <row r="2687" spans="1:11" x14ac:dyDescent="0.25">
      <c r="A2687" s="1" t="s">
        <v>8608</v>
      </c>
      <c r="B2687" s="1" t="s">
        <v>8605</v>
      </c>
      <c r="C2687" s="1" t="s">
        <v>8609</v>
      </c>
      <c r="D2687" s="1" t="s">
        <v>8610</v>
      </c>
      <c r="E2687" s="1" t="s">
        <v>178</v>
      </c>
      <c r="F2687" s="1" t="s">
        <v>5017</v>
      </c>
      <c r="G2687" s="1" t="s">
        <v>5018</v>
      </c>
      <c r="H2687" s="1">
        <v>0.1</v>
      </c>
      <c r="I2687" s="1">
        <v>0.1</v>
      </c>
      <c r="J2687" s="1">
        <v>0.63548904485421087</v>
      </c>
      <c r="K2687" s="1" t="s">
        <v>181</v>
      </c>
    </row>
    <row r="2688" spans="1:11" x14ac:dyDescent="0.25">
      <c r="A2688" s="1" t="s">
        <v>149</v>
      </c>
      <c r="B2688" s="1" t="s">
        <v>8611</v>
      </c>
      <c r="C2688" s="1" t="s">
        <v>8612</v>
      </c>
      <c r="D2688" s="1" t="s">
        <v>8613</v>
      </c>
      <c r="E2688" s="1" t="s">
        <v>178</v>
      </c>
      <c r="F2688" s="1" t="s">
        <v>5017</v>
      </c>
      <c r="G2688" s="1" t="s">
        <v>5018</v>
      </c>
      <c r="H2688" s="1">
        <v>0.1</v>
      </c>
      <c r="I2688" s="1">
        <v>0.1</v>
      </c>
      <c r="J2688" s="1">
        <v>1.2031589610095088</v>
      </c>
      <c r="K2688" s="1" t="s">
        <v>181</v>
      </c>
    </row>
    <row r="2689" spans="1:11" x14ac:dyDescent="0.25">
      <c r="A2689" s="1" t="s">
        <v>8614</v>
      </c>
      <c r="B2689" s="1" t="s">
        <v>8615</v>
      </c>
      <c r="C2689" s="1" t="s">
        <v>8616</v>
      </c>
      <c r="D2689" s="1" t="s">
        <v>8617</v>
      </c>
      <c r="E2689" s="1" t="s">
        <v>178</v>
      </c>
      <c r="F2689" s="1" t="s">
        <v>5017</v>
      </c>
      <c r="G2689" s="1" t="s">
        <v>5018</v>
      </c>
      <c r="H2689" s="1">
        <v>0.1</v>
      </c>
      <c r="I2689" s="1">
        <v>0.1</v>
      </c>
      <c r="J2689" s="1">
        <v>0.72117378475638316</v>
      </c>
      <c r="K2689" s="1" t="s">
        <v>181</v>
      </c>
    </row>
    <row r="2690" spans="1:11" x14ac:dyDescent="0.25">
      <c r="A2690" s="1" t="s">
        <v>8618</v>
      </c>
      <c r="B2690" s="1" t="s">
        <v>8619</v>
      </c>
      <c r="C2690" s="1" t="s">
        <v>8620</v>
      </c>
      <c r="D2690" s="1" t="s">
        <v>8621</v>
      </c>
      <c r="E2690" s="1" t="s">
        <v>178</v>
      </c>
      <c r="F2690" s="1" t="s">
        <v>5017</v>
      </c>
      <c r="G2690" s="1" t="s">
        <v>5018</v>
      </c>
      <c r="H2690" s="1">
        <v>0.1</v>
      </c>
      <c r="I2690" s="1">
        <v>0.1</v>
      </c>
      <c r="J2690" s="1">
        <v>0.71136464604282867</v>
      </c>
      <c r="K2690" s="1" t="s">
        <v>181</v>
      </c>
    </row>
    <row r="2691" spans="1:11" x14ac:dyDescent="0.25">
      <c r="A2691" s="1" t="s">
        <v>8622</v>
      </c>
      <c r="B2691" s="1" t="s">
        <v>8623</v>
      </c>
      <c r="C2691" s="1" t="s">
        <v>8624</v>
      </c>
      <c r="D2691" s="1" t="s">
        <v>8625</v>
      </c>
      <c r="E2691" s="1" t="s">
        <v>178</v>
      </c>
      <c r="F2691" s="1" t="s">
        <v>5017</v>
      </c>
      <c r="G2691" s="1" t="s">
        <v>5018</v>
      </c>
      <c r="H2691" s="1">
        <v>0.1</v>
      </c>
      <c r="I2691" s="1">
        <v>0.1</v>
      </c>
      <c r="J2691" s="1">
        <v>0.55998469379791838</v>
      </c>
      <c r="K2691" s="1" t="s">
        <v>181</v>
      </c>
    </row>
    <row r="2692" spans="1:11" x14ac:dyDescent="0.25">
      <c r="A2692" s="1" t="s">
        <v>8626</v>
      </c>
      <c r="B2692" s="1" t="s">
        <v>8623</v>
      </c>
      <c r="C2692" s="1" t="s">
        <v>8627</v>
      </c>
      <c r="D2692" s="1" t="s">
        <v>8628</v>
      </c>
      <c r="E2692" s="1" t="s">
        <v>178</v>
      </c>
      <c r="F2692" s="1" t="s">
        <v>5017</v>
      </c>
      <c r="G2692" s="1" t="s">
        <v>5018</v>
      </c>
      <c r="H2692" s="1">
        <v>0.1</v>
      </c>
      <c r="I2692" s="1">
        <v>0.1</v>
      </c>
      <c r="J2692" s="1">
        <v>0.58807337157475592</v>
      </c>
      <c r="K2692" s="1" t="s">
        <v>181</v>
      </c>
    </row>
    <row r="2693" spans="1:11" x14ac:dyDescent="0.25">
      <c r="A2693" s="1" t="s">
        <v>8629</v>
      </c>
      <c r="B2693" s="1" t="s">
        <v>8630</v>
      </c>
      <c r="C2693" s="1" t="s">
        <v>8631</v>
      </c>
      <c r="D2693" s="1" t="s">
        <v>8632</v>
      </c>
      <c r="E2693" s="1" t="s">
        <v>178</v>
      </c>
      <c r="F2693" s="1" t="s">
        <v>5017</v>
      </c>
      <c r="G2693" s="1" t="s">
        <v>5018</v>
      </c>
      <c r="H2693" s="1">
        <v>0.1</v>
      </c>
      <c r="I2693" s="1">
        <v>0.1</v>
      </c>
      <c r="J2693" s="1">
        <v>0.7710096764953428</v>
      </c>
      <c r="K2693" s="1" t="s">
        <v>181</v>
      </c>
    </row>
    <row r="2694" spans="1:11" x14ac:dyDescent="0.25">
      <c r="A2694" s="1" t="s">
        <v>99</v>
      </c>
      <c r="B2694" s="1" t="s">
        <v>8633</v>
      </c>
      <c r="C2694" s="1" t="s">
        <v>8634</v>
      </c>
      <c r="D2694" s="1" t="s">
        <v>8635</v>
      </c>
      <c r="E2694" s="1" t="s">
        <v>178</v>
      </c>
      <c r="F2694" s="1" t="s">
        <v>5017</v>
      </c>
      <c r="G2694" s="1" t="s">
        <v>5018</v>
      </c>
      <c r="H2694" s="1">
        <v>0.1</v>
      </c>
      <c r="I2694" s="1">
        <v>0.1</v>
      </c>
      <c r="J2694" s="1">
        <v>0.67262586931366697</v>
      </c>
      <c r="K2694" s="1" t="s">
        <v>181</v>
      </c>
    </row>
    <row r="2695" spans="1:11" x14ac:dyDescent="0.25">
      <c r="A2695" s="1" t="s">
        <v>8636</v>
      </c>
      <c r="B2695" s="1" t="s">
        <v>8637</v>
      </c>
      <c r="C2695" s="1" t="s">
        <v>8638</v>
      </c>
      <c r="D2695" s="1" t="s">
        <v>8639</v>
      </c>
      <c r="E2695" s="1" t="s">
        <v>178</v>
      </c>
      <c r="F2695" s="1" t="s">
        <v>5017</v>
      </c>
      <c r="G2695" s="1" t="s">
        <v>5018</v>
      </c>
      <c r="H2695" s="1">
        <v>0.1</v>
      </c>
      <c r="I2695" s="1">
        <v>0.1</v>
      </c>
      <c r="J2695" s="1">
        <v>0.78526849496028406</v>
      </c>
      <c r="K2695" s="1" t="s">
        <v>181</v>
      </c>
    </row>
    <row r="2696" spans="1:11" x14ac:dyDescent="0.25">
      <c r="A2696" s="1" t="s">
        <v>8640</v>
      </c>
      <c r="B2696" s="1" t="s">
        <v>8623</v>
      </c>
      <c r="C2696" s="1" t="s">
        <v>8641</v>
      </c>
      <c r="D2696" s="1" t="s">
        <v>8642</v>
      </c>
      <c r="E2696" s="1" t="s">
        <v>178</v>
      </c>
      <c r="F2696" s="1" t="s">
        <v>5017</v>
      </c>
      <c r="G2696" s="1" t="s">
        <v>5018</v>
      </c>
      <c r="H2696" s="1">
        <v>0.1</v>
      </c>
      <c r="I2696" s="1">
        <v>0.1</v>
      </c>
      <c r="J2696" s="1">
        <v>0.61384474206869566</v>
      </c>
      <c r="K2696" s="1" t="s">
        <v>181</v>
      </c>
    </row>
    <row r="2697" spans="1:11" x14ac:dyDescent="0.25">
      <c r="A2697" s="1" t="s">
        <v>150</v>
      </c>
      <c r="B2697" s="1" t="s">
        <v>8643</v>
      </c>
      <c r="C2697" s="1" t="s">
        <v>8644</v>
      </c>
      <c r="D2697" s="1" t="s">
        <v>8645</v>
      </c>
      <c r="E2697" s="1" t="s">
        <v>178</v>
      </c>
      <c r="F2697" s="1" t="s">
        <v>5017</v>
      </c>
      <c r="G2697" s="1" t="s">
        <v>5018</v>
      </c>
      <c r="H2697" s="1">
        <v>0.1</v>
      </c>
      <c r="I2697" s="1">
        <v>0.1</v>
      </c>
      <c r="J2697" s="1">
        <v>0.65655037885639711</v>
      </c>
      <c r="K2697" s="1" t="s">
        <v>181</v>
      </c>
    </row>
    <row r="2698" spans="1:11" x14ac:dyDescent="0.25">
      <c r="A2698" s="1" t="s">
        <v>8646</v>
      </c>
      <c r="B2698" s="1" t="s">
        <v>8647</v>
      </c>
      <c r="C2698" s="1" t="s">
        <v>8648</v>
      </c>
      <c r="D2698" s="1" t="s">
        <v>8649</v>
      </c>
      <c r="E2698" s="1" t="s">
        <v>178</v>
      </c>
      <c r="F2698" s="1" t="s">
        <v>5017</v>
      </c>
      <c r="G2698" s="1" t="s">
        <v>5018</v>
      </c>
      <c r="H2698" s="1">
        <v>0.1</v>
      </c>
      <c r="I2698" s="1">
        <v>0.1</v>
      </c>
      <c r="J2698" s="1">
        <v>0.66132951786415961</v>
      </c>
      <c r="K2698" s="1" t="s">
        <v>181</v>
      </c>
    </row>
    <row r="2699" spans="1:11" x14ac:dyDescent="0.25">
      <c r="A2699" s="1" t="s">
        <v>8650</v>
      </c>
      <c r="B2699" s="1" t="s">
        <v>8651</v>
      </c>
      <c r="C2699" s="1" t="s">
        <v>8652</v>
      </c>
      <c r="D2699" s="1" t="s">
        <v>8653</v>
      </c>
      <c r="E2699" s="1" t="s">
        <v>178</v>
      </c>
      <c r="F2699" s="1" t="s">
        <v>5017</v>
      </c>
      <c r="G2699" s="1" t="s">
        <v>5018</v>
      </c>
      <c r="H2699" s="1">
        <v>0.1</v>
      </c>
      <c r="I2699" s="1">
        <v>0.1</v>
      </c>
      <c r="J2699" s="1">
        <v>0.66711892451653998</v>
      </c>
      <c r="K2699" s="1" t="s">
        <v>181</v>
      </c>
    </row>
    <row r="2700" spans="1:11" x14ac:dyDescent="0.25">
      <c r="A2700" s="1" t="s">
        <v>8654</v>
      </c>
      <c r="B2700" s="1" t="s">
        <v>8655</v>
      </c>
      <c r="C2700" s="1" t="s">
        <v>8656</v>
      </c>
      <c r="D2700" s="1" t="s">
        <v>8657</v>
      </c>
      <c r="E2700" s="1" t="s">
        <v>178</v>
      </c>
      <c r="F2700" s="1" t="s">
        <v>5017</v>
      </c>
      <c r="G2700" s="1" t="s">
        <v>5018</v>
      </c>
      <c r="H2700" s="1">
        <v>0.1</v>
      </c>
      <c r="I2700" s="1">
        <v>0.1</v>
      </c>
      <c r="J2700" s="1">
        <v>0.68926935643971976</v>
      </c>
      <c r="K2700" s="1" t="s">
        <v>181</v>
      </c>
    </row>
    <row r="2701" spans="1:11" x14ac:dyDescent="0.25">
      <c r="A2701" s="1" t="s">
        <v>8658</v>
      </c>
      <c r="B2701" s="1" t="s">
        <v>8615</v>
      </c>
      <c r="C2701" s="1" t="s">
        <v>8659</v>
      </c>
      <c r="D2701" s="1" t="s">
        <v>8660</v>
      </c>
      <c r="E2701" s="1" t="s">
        <v>178</v>
      </c>
      <c r="F2701" s="1" t="s">
        <v>5017</v>
      </c>
      <c r="G2701" s="1" t="s">
        <v>5018</v>
      </c>
      <c r="H2701" s="1">
        <v>0.1</v>
      </c>
      <c r="I2701" s="1">
        <v>0.1</v>
      </c>
      <c r="J2701" s="1">
        <v>0.73960036843185728</v>
      </c>
      <c r="K2701" s="1" t="s">
        <v>181</v>
      </c>
    </row>
    <row r="2702" spans="1:11" x14ac:dyDescent="0.25">
      <c r="A2702" s="1" t="s">
        <v>8661</v>
      </c>
      <c r="B2702" s="1" t="s">
        <v>8662</v>
      </c>
      <c r="C2702" s="1" t="s">
        <v>8663</v>
      </c>
      <c r="D2702" s="1" t="s">
        <v>8664</v>
      </c>
      <c r="E2702" s="1" t="s">
        <v>178</v>
      </c>
      <c r="F2702" s="1" t="s">
        <v>5017</v>
      </c>
      <c r="G2702" s="1" t="s">
        <v>5018</v>
      </c>
      <c r="H2702" s="1">
        <v>0.1</v>
      </c>
      <c r="I2702" s="1">
        <v>0.1</v>
      </c>
      <c r="J2702" s="1">
        <v>0.84454365198186976</v>
      </c>
      <c r="K2702" s="1" t="s">
        <v>181</v>
      </c>
    </row>
    <row r="2703" spans="1:11" x14ac:dyDescent="0.25">
      <c r="A2703" s="1" t="s">
        <v>8665</v>
      </c>
      <c r="B2703" s="1" t="s">
        <v>8666</v>
      </c>
      <c r="C2703" s="1" t="s">
        <v>8667</v>
      </c>
      <c r="D2703" s="1" t="s">
        <v>8668</v>
      </c>
      <c r="E2703" s="1" t="s">
        <v>178</v>
      </c>
      <c r="F2703" s="1" t="s">
        <v>5017</v>
      </c>
      <c r="G2703" s="1" t="s">
        <v>5018</v>
      </c>
      <c r="H2703" s="1">
        <v>0.1</v>
      </c>
      <c r="I2703" s="1">
        <v>0.1</v>
      </c>
      <c r="J2703" s="1">
        <v>0.86758749395366641</v>
      </c>
      <c r="K2703" s="1" t="s">
        <v>181</v>
      </c>
    </row>
    <row r="2704" spans="1:11" x14ac:dyDescent="0.25">
      <c r="A2704" s="1" t="s">
        <v>8669</v>
      </c>
      <c r="B2704" s="1" t="s">
        <v>8615</v>
      </c>
      <c r="C2704" s="1" t="s">
        <v>8670</v>
      </c>
      <c r="D2704" s="1" t="s">
        <v>8671</v>
      </c>
      <c r="E2704" s="1" t="s">
        <v>178</v>
      </c>
      <c r="F2704" s="1" t="s">
        <v>5017</v>
      </c>
      <c r="G2704" s="1" t="s">
        <v>5018</v>
      </c>
      <c r="H2704" s="1">
        <v>0.1</v>
      </c>
      <c r="I2704" s="1">
        <v>0.1</v>
      </c>
      <c r="J2704" s="1">
        <v>0.92464210516683121</v>
      </c>
      <c r="K2704" s="1" t="s">
        <v>181</v>
      </c>
    </row>
    <row r="2705" spans="1:11" x14ac:dyDescent="0.25">
      <c r="A2705" s="1" t="s">
        <v>8672</v>
      </c>
      <c r="B2705" s="1" t="s">
        <v>8615</v>
      </c>
      <c r="C2705" s="1" t="s">
        <v>8673</v>
      </c>
      <c r="D2705" s="1" t="s">
        <v>8674</v>
      </c>
      <c r="E2705" s="1" t="s">
        <v>178</v>
      </c>
      <c r="F2705" s="1" t="s">
        <v>5017</v>
      </c>
      <c r="G2705" s="1" t="s">
        <v>5018</v>
      </c>
      <c r="H2705" s="1">
        <v>0.1</v>
      </c>
      <c r="I2705" s="1">
        <v>0.1</v>
      </c>
      <c r="J2705" s="1">
        <v>0.92464210516683121</v>
      </c>
      <c r="K2705" s="1" t="s">
        <v>181</v>
      </c>
    </row>
    <row r="2706" spans="1:11" x14ac:dyDescent="0.25">
      <c r="A2706" s="1" t="s">
        <v>8675</v>
      </c>
      <c r="B2706" s="1" t="s">
        <v>8666</v>
      </c>
      <c r="C2706" s="1" t="s">
        <v>8676</v>
      </c>
      <c r="D2706" s="1" t="s">
        <v>8677</v>
      </c>
      <c r="E2706" s="1" t="s">
        <v>178</v>
      </c>
      <c r="F2706" s="1" t="s">
        <v>5017</v>
      </c>
      <c r="G2706" s="1" t="s">
        <v>5018</v>
      </c>
      <c r="H2706" s="1">
        <v>0.1</v>
      </c>
      <c r="I2706" s="1">
        <v>0.1</v>
      </c>
      <c r="J2706" s="1">
        <v>0.86758749395366641</v>
      </c>
      <c r="K2706" s="1" t="s">
        <v>181</v>
      </c>
    </row>
    <row r="2707" spans="1:11" x14ac:dyDescent="0.25">
      <c r="A2707" s="1" t="s">
        <v>8678</v>
      </c>
      <c r="B2707" s="1" t="s">
        <v>8662</v>
      </c>
      <c r="C2707" s="1" t="s">
        <v>8679</v>
      </c>
      <c r="D2707" s="1" t="s">
        <v>8680</v>
      </c>
      <c r="E2707" s="1" t="s">
        <v>178</v>
      </c>
      <c r="F2707" s="1" t="s">
        <v>5017</v>
      </c>
      <c r="G2707" s="1" t="s">
        <v>5018</v>
      </c>
      <c r="H2707" s="1">
        <v>0.1</v>
      </c>
      <c r="I2707" s="1">
        <v>0.1</v>
      </c>
      <c r="J2707" s="1">
        <v>0.84454365198186976</v>
      </c>
      <c r="K2707" s="1" t="s">
        <v>181</v>
      </c>
    </row>
    <row r="2708" spans="1:11" x14ac:dyDescent="0.25">
      <c r="A2708" s="1" t="s">
        <v>8681</v>
      </c>
      <c r="B2708" s="1" t="s">
        <v>8615</v>
      </c>
      <c r="C2708" s="1" t="s">
        <v>8682</v>
      </c>
      <c r="D2708" s="1" t="s">
        <v>8683</v>
      </c>
      <c r="E2708" s="1" t="s">
        <v>178</v>
      </c>
      <c r="F2708" s="1" t="s">
        <v>5017</v>
      </c>
      <c r="G2708" s="1" t="s">
        <v>5018</v>
      </c>
      <c r="H2708" s="1">
        <v>0.1</v>
      </c>
      <c r="I2708" s="1">
        <v>0.1</v>
      </c>
      <c r="J2708" s="1">
        <v>0.73960036843185728</v>
      </c>
      <c r="K2708" s="1" t="s">
        <v>181</v>
      </c>
    </row>
    <row r="2709" spans="1:11" x14ac:dyDescent="0.25">
      <c r="A2709" s="1" t="s">
        <v>8684</v>
      </c>
      <c r="B2709" s="1" t="s">
        <v>8615</v>
      </c>
      <c r="C2709" s="1" t="s">
        <v>8685</v>
      </c>
      <c r="D2709" s="1" t="s">
        <v>8686</v>
      </c>
      <c r="E2709" s="1" t="s">
        <v>178</v>
      </c>
      <c r="F2709" s="1" t="s">
        <v>5017</v>
      </c>
      <c r="G2709" s="1" t="s">
        <v>5018</v>
      </c>
      <c r="H2709" s="1">
        <v>0.1</v>
      </c>
      <c r="I2709" s="1">
        <v>0.1</v>
      </c>
      <c r="J2709" s="1">
        <v>0.72117378475638316</v>
      </c>
      <c r="K2709" s="1" t="s">
        <v>181</v>
      </c>
    </row>
    <row r="2710" spans="1:11" x14ac:dyDescent="0.25">
      <c r="A2710" s="1" t="s">
        <v>8687</v>
      </c>
      <c r="B2710" s="1" t="s">
        <v>8655</v>
      </c>
      <c r="C2710" s="1" t="s">
        <v>8688</v>
      </c>
      <c r="D2710" s="1" t="s">
        <v>8689</v>
      </c>
      <c r="E2710" s="1" t="s">
        <v>178</v>
      </c>
      <c r="F2710" s="1" t="s">
        <v>5017</v>
      </c>
      <c r="G2710" s="1" t="s">
        <v>5018</v>
      </c>
      <c r="H2710" s="1">
        <v>0.1</v>
      </c>
      <c r="I2710" s="1">
        <v>0.1</v>
      </c>
      <c r="J2710" s="1">
        <v>0.68926935643971976</v>
      </c>
      <c r="K2710" s="1" t="s">
        <v>181</v>
      </c>
    </row>
    <row r="2711" spans="1:11" x14ac:dyDescent="0.25">
      <c r="A2711" s="1" t="s">
        <v>8690</v>
      </c>
      <c r="B2711" s="1" t="s">
        <v>8655</v>
      </c>
      <c r="C2711" s="1" t="s">
        <v>8691</v>
      </c>
      <c r="D2711" s="1" t="s">
        <v>8692</v>
      </c>
      <c r="E2711" s="1" t="s">
        <v>178</v>
      </c>
      <c r="F2711" s="1" t="s">
        <v>5017</v>
      </c>
      <c r="G2711" s="1" t="s">
        <v>5018</v>
      </c>
      <c r="H2711" s="1">
        <v>0.1</v>
      </c>
      <c r="I2711" s="1">
        <v>0.1</v>
      </c>
      <c r="J2711" s="1">
        <v>0.68926935643971976</v>
      </c>
      <c r="K2711" s="1" t="s">
        <v>181</v>
      </c>
    </row>
    <row r="2712" spans="1:11" x14ac:dyDescent="0.25">
      <c r="A2712" s="1" t="s">
        <v>8693</v>
      </c>
      <c r="B2712" s="1" t="s">
        <v>8655</v>
      </c>
      <c r="C2712" s="1" t="s">
        <v>8694</v>
      </c>
      <c r="D2712" s="1" t="s">
        <v>8695</v>
      </c>
      <c r="E2712" s="1" t="s">
        <v>178</v>
      </c>
      <c r="F2712" s="1" t="s">
        <v>5017</v>
      </c>
      <c r="G2712" s="1" t="s">
        <v>5018</v>
      </c>
      <c r="H2712" s="1">
        <v>0.1</v>
      </c>
      <c r="I2712" s="1">
        <v>0.1</v>
      </c>
      <c r="J2712" s="1">
        <v>0.68926935643971976</v>
      </c>
      <c r="K2712" s="1" t="s">
        <v>181</v>
      </c>
    </row>
    <row r="2713" spans="1:11" x14ac:dyDescent="0.25">
      <c r="A2713" s="1" t="s">
        <v>8696</v>
      </c>
      <c r="B2713" s="1" t="s">
        <v>8655</v>
      </c>
      <c r="C2713" s="1" t="s">
        <v>8697</v>
      </c>
      <c r="D2713" s="1" t="s">
        <v>8698</v>
      </c>
      <c r="E2713" s="1" t="s">
        <v>178</v>
      </c>
      <c r="F2713" s="1" t="s">
        <v>5017</v>
      </c>
      <c r="G2713" s="1" t="s">
        <v>5018</v>
      </c>
      <c r="H2713" s="1">
        <v>0.1</v>
      </c>
      <c r="I2713" s="1">
        <v>0.1</v>
      </c>
      <c r="J2713" s="1">
        <v>0.68926935643971976</v>
      </c>
      <c r="K2713" s="1" t="s">
        <v>181</v>
      </c>
    </row>
    <row r="2714" spans="1:11" x14ac:dyDescent="0.25">
      <c r="A2714" s="1" t="s">
        <v>8699</v>
      </c>
      <c r="B2714" s="1" t="s">
        <v>8655</v>
      </c>
      <c r="C2714" s="1" t="s">
        <v>8700</v>
      </c>
      <c r="D2714" s="1" t="s">
        <v>8701</v>
      </c>
      <c r="E2714" s="1" t="s">
        <v>178</v>
      </c>
      <c r="F2714" s="1" t="s">
        <v>5017</v>
      </c>
      <c r="G2714" s="1" t="s">
        <v>5018</v>
      </c>
      <c r="H2714" s="1">
        <v>0.1</v>
      </c>
      <c r="I2714" s="1">
        <v>0.1</v>
      </c>
      <c r="J2714" s="1">
        <v>0.68926935643971976</v>
      </c>
      <c r="K2714" s="1" t="s">
        <v>181</v>
      </c>
    </row>
    <row r="2715" spans="1:11" x14ac:dyDescent="0.25">
      <c r="A2715" s="1" t="s">
        <v>8702</v>
      </c>
      <c r="B2715" s="1" t="s">
        <v>8703</v>
      </c>
      <c r="C2715" s="1" t="s">
        <v>8704</v>
      </c>
      <c r="D2715" s="1" t="s">
        <v>8705</v>
      </c>
      <c r="E2715" s="1" t="s">
        <v>178</v>
      </c>
      <c r="F2715" s="1" t="s">
        <v>5017</v>
      </c>
      <c r="G2715" s="1" t="s">
        <v>5018</v>
      </c>
      <c r="H2715" s="1">
        <v>0.1</v>
      </c>
      <c r="I2715" s="1">
        <v>0.1</v>
      </c>
      <c r="J2715" s="1">
        <v>0.55903364491046548</v>
      </c>
      <c r="K2715" s="1" t="s">
        <v>181</v>
      </c>
    </row>
    <row r="2716" spans="1:11" x14ac:dyDescent="0.25">
      <c r="A2716" s="1" t="s">
        <v>8706</v>
      </c>
      <c r="B2716" s="1" t="s">
        <v>8707</v>
      </c>
      <c r="C2716" s="1" t="s">
        <v>8708</v>
      </c>
      <c r="D2716" s="1" t="s">
        <v>8709</v>
      </c>
      <c r="E2716" s="1" t="s">
        <v>178</v>
      </c>
      <c r="F2716" s="1" t="s">
        <v>5017</v>
      </c>
      <c r="G2716" s="1" t="s">
        <v>5018</v>
      </c>
      <c r="H2716" s="1">
        <v>0.1</v>
      </c>
      <c r="I2716" s="1">
        <v>0.1</v>
      </c>
      <c r="J2716" s="1">
        <v>0.57878812875780028</v>
      </c>
      <c r="K2716" s="1" t="s">
        <v>181</v>
      </c>
    </row>
    <row r="2717" spans="1:11" x14ac:dyDescent="0.25">
      <c r="A2717" s="1" t="s">
        <v>8710</v>
      </c>
      <c r="B2717" s="1" t="s">
        <v>8711</v>
      </c>
      <c r="C2717" s="1" t="s">
        <v>8712</v>
      </c>
      <c r="D2717" s="1" t="s">
        <v>8713</v>
      </c>
      <c r="E2717" s="1" t="s">
        <v>178</v>
      </c>
      <c r="F2717" s="1" t="s">
        <v>5017</v>
      </c>
      <c r="G2717" s="1" t="s">
        <v>5018</v>
      </c>
      <c r="H2717" s="1">
        <v>0.1</v>
      </c>
      <c r="I2717" s="1">
        <v>0.1</v>
      </c>
      <c r="J2717" s="1">
        <v>0.54668814047606085</v>
      </c>
      <c r="K2717" s="1" t="s">
        <v>181</v>
      </c>
    </row>
    <row r="2718" spans="1:11" x14ac:dyDescent="0.25">
      <c r="A2718" s="1" t="s">
        <v>8714</v>
      </c>
      <c r="B2718" s="1" t="s">
        <v>8715</v>
      </c>
      <c r="C2718" s="1" t="s">
        <v>8716</v>
      </c>
      <c r="D2718" s="1" t="s">
        <v>8717</v>
      </c>
      <c r="E2718" s="1" t="s">
        <v>178</v>
      </c>
      <c r="F2718" s="1" t="s">
        <v>5017</v>
      </c>
      <c r="G2718" s="1" t="s">
        <v>5018</v>
      </c>
      <c r="H2718" s="1">
        <v>0.1</v>
      </c>
      <c r="I2718" s="1">
        <v>0.1</v>
      </c>
      <c r="J2718" s="1">
        <v>0.59633550095229981</v>
      </c>
      <c r="K2718" s="1" t="s">
        <v>181</v>
      </c>
    </row>
    <row r="2719" spans="1:11" x14ac:dyDescent="0.25">
      <c r="A2719" s="1" t="s">
        <v>8718</v>
      </c>
      <c r="B2719" s="1" t="s">
        <v>8719</v>
      </c>
      <c r="C2719" s="1" t="s">
        <v>8720</v>
      </c>
      <c r="D2719" s="1" t="s">
        <v>8721</v>
      </c>
      <c r="E2719" s="1" t="s">
        <v>178</v>
      </c>
      <c r="F2719" s="1" t="s">
        <v>5017</v>
      </c>
      <c r="G2719" s="1" t="s">
        <v>5018</v>
      </c>
      <c r="H2719" s="1">
        <v>0.1</v>
      </c>
      <c r="I2719" s="1">
        <v>0.1</v>
      </c>
      <c r="J2719" s="1">
        <v>0.57463636988257105</v>
      </c>
      <c r="K2719" s="1" t="s">
        <v>181</v>
      </c>
    </row>
    <row r="2720" spans="1:11" x14ac:dyDescent="0.25">
      <c r="A2720" s="1" t="s">
        <v>8722</v>
      </c>
      <c r="B2720" s="1" t="s">
        <v>8723</v>
      </c>
      <c r="C2720" s="1" t="s">
        <v>8724</v>
      </c>
      <c r="D2720" s="1" t="s">
        <v>8725</v>
      </c>
      <c r="E2720" s="1" t="s">
        <v>178</v>
      </c>
      <c r="F2720" s="1" t="s">
        <v>5017</v>
      </c>
      <c r="G2720" s="1" t="s">
        <v>5018</v>
      </c>
      <c r="H2720" s="1">
        <v>0.1</v>
      </c>
      <c r="I2720" s="1">
        <v>0.1</v>
      </c>
      <c r="J2720" s="1">
        <v>0.53824232011821216</v>
      </c>
      <c r="K2720" s="1" t="s">
        <v>181</v>
      </c>
    </row>
    <row r="2721" spans="1:11" x14ac:dyDescent="0.25">
      <c r="A2721" s="1" t="s">
        <v>8726</v>
      </c>
      <c r="B2721" s="1" t="s">
        <v>8723</v>
      </c>
      <c r="C2721" s="1" t="s">
        <v>8727</v>
      </c>
      <c r="D2721" s="1" t="s">
        <v>8728</v>
      </c>
      <c r="E2721" s="1" t="s">
        <v>178</v>
      </c>
      <c r="F2721" s="1" t="s">
        <v>5017</v>
      </c>
      <c r="G2721" s="1" t="s">
        <v>5018</v>
      </c>
      <c r="H2721" s="1">
        <v>0.1</v>
      </c>
      <c r="I2721" s="1">
        <v>0.1</v>
      </c>
      <c r="J2721" s="1">
        <v>0.53824232011821216</v>
      </c>
      <c r="K2721" s="1" t="s">
        <v>181</v>
      </c>
    </row>
    <row r="2722" spans="1:11" x14ac:dyDescent="0.25">
      <c r="A2722" s="1" t="s">
        <v>48</v>
      </c>
      <c r="B2722" s="1" t="s">
        <v>8729</v>
      </c>
      <c r="C2722" s="1" t="s">
        <v>8730</v>
      </c>
      <c r="D2722" s="1" t="s">
        <v>8731</v>
      </c>
      <c r="E2722" s="1" t="s">
        <v>178</v>
      </c>
      <c r="F2722" s="1" t="s">
        <v>5017</v>
      </c>
      <c r="G2722" s="1" t="s">
        <v>5018</v>
      </c>
      <c r="H2722" s="1">
        <v>0.1</v>
      </c>
      <c r="I2722" s="1">
        <v>0.1</v>
      </c>
      <c r="J2722" s="1">
        <v>1.4572378698571231</v>
      </c>
      <c r="K2722" s="1" t="s">
        <v>181</v>
      </c>
    </row>
    <row r="2723" spans="1:11" x14ac:dyDescent="0.25">
      <c r="A2723" s="1" t="s">
        <v>102</v>
      </c>
      <c r="B2723" s="1" t="s">
        <v>8732</v>
      </c>
      <c r="C2723" s="1" t="s">
        <v>8733</v>
      </c>
      <c r="D2723" s="1" t="s">
        <v>8734</v>
      </c>
      <c r="E2723" s="1" t="s">
        <v>178</v>
      </c>
      <c r="F2723" s="1" t="s">
        <v>5017</v>
      </c>
      <c r="G2723" s="1" t="s">
        <v>5018</v>
      </c>
      <c r="H2723" s="1">
        <v>0.1</v>
      </c>
      <c r="I2723" s="1">
        <v>0.1</v>
      </c>
      <c r="J2723" s="1">
        <v>0.73940278070997423</v>
      </c>
      <c r="K2723" s="1" t="s">
        <v>181</v>
      </c>
    </row>
    <row r="2724" spans="1:11" x14ac:dyDescent="0.25">
      <c r="A2724" s="1" t="s">
        <v>51</v>
      </c>
      <c r="B2724" s="1" t="s">
        <v>8735</v>
      </c>
      <c r="C2724" s="1" t="s">
        <v>8736</v>
      </c>
      <c r="D2724" s="1" t="s">
        <v>8737</v>
      </c>
      <c r="E2724" s="1" t="s">
        <v>178</v>
      </c>
      <c r="F2724" s="1" t="s">
        <v>5017</v>
      </c>
      <c r="G2724" s="1" t="s">
        <v>5018</v>
      </c>
      <c r="H2724" s="1">
        <v>0.1</v>
      </c>
      <c r="I2724" s="1">
        <v>0.1</v>
      </c>
      <c r="J2724" s="1">
        <v>1.3505542065429461</v>
      </c>
      <c r="K2724" s="1" t="s">
        <v>181</v>
      </c>
    </row>
    <row r="2725" spans="1:11" x14ac:dyDescent="0.25">
      <c r="A2725" s="1" t="s">
        <v>8738</v>
      </c>
      <c r="B2725" s="1" t="s">
        <v>7504</v>
      </c>
      <c r="C2725" s="1" t="s">
        <v>8739</v>
      </c>
      <c r="D2725" s="1" t="s">
        <v>8740</v>
      </c>
      <c r="E2725" s="1" t="s">
        <v>178</v>
      </c>
      <c r="F2725" s="1" t="s">
        <v>5017</v>
      </c>
      <c r="G2725" s="1" t="s">
        <v>5018</v>
      </c>
      <c r="H2725" s="1">
        <v>0.1</v>
      </c>
      <c r="I2725" s="1">
        <v>0.1</v>
      </c>
      <c r="J2725" s="1">
        <v>1.696241755982892</v>
      </c>
      <c r="K2725" s="1" t="s">
        <v>181</v>
      </c>
    </row>
    <row r="2726" spans="1:11" x14ac:dyDescent="0.25">
      <c r="A2726" s="1" t="s">
        <v>8741</v>
      </c>
      <c r="B2726" s="1" t="s">
        <v>8742</v>
      </c>
      <c r="C2726" s="1" t="s">
        <v>8743</v>
      </c>
      <c r="D2726" s="1" t="s">
        <v>8744</v>
      </c>
      <c r="E2726" s="1" t="s">
        <v>178</v>
      </c>
      <c r="F2726" s="1" t="s">
        <v>5017</v>
      </c>
      <c r="G2726" s="1" t="s">
        <v>5018</v>
      </c>
      <c r="H2726" s="1">
        <v>0.1</v>
      </c>
      <c r="I2726" s="1">
        <v>0.1</v>
      </c>
      <c r="J2726" s="1">
        <v>0.79668179647604154</v>
      </c>
      <c r="K2726" s="1" t="s">
        <v>181</v>
      </c>
    </row>
    <row r="2727" spans="1:11" x14ac:dyDescent="0.25">
      <c r="A2727" s="1" t="s">
        <v>8745</v>
      </c>
      <c r="B2727" s="1" t="s">
        <v>8746</v>
      </c>
      <c r="C2727" s="1" t="s">
        <v>8747</v>
      </c>
      <c r="D2727" s="1" t="s">
        <v>8748</v>
      </c>
      <c r="E2727" s="1" t="s">
        <v>178</v>
      </c>
      <c r="F2727" s="1" t="s">
        <v>5017</v>
      </c>
      <c r="G2727" s="1" t="s">
        <v>5018</v>
      </c>
      <c r="H2727" s="1">
        <v>0.1</v>
      </c>
      <c r="I2727" s="1">
        <v>0.1</v>
      </c>
      <c r="J2727" s="1">
        <v>0.41867742603780822</v>
      </c>
      <c r="K2727" s="1" t="s">
        <v>181</v>
      </c>
    </row>
    <row r="2728" spans="1:11" x14ac:dyDescent="0.25">
      <c r="A2728" s="1" t="s">
        <v>8749</v>
      </c>
      <c r="B2728" s="1" t="s">
        <v>8750</v>
      </c>
      <c r="C2728" s="1" t="s">
        <v>8751</v>
      </c>
      <c r="D2728" s="1" t="s">
        <v>8752</v>
      </c>
      <c r="E2728" s="1" t="s">
        <v>178</v>
      </c>
      <c r="F2728" s="1" t="s">
        <v>5017</v>
      </c>
      <c r="G2728" s="1" t="s">
        <v>5018</v>
      </c>
      <c r="H2728" s="1">
        <v>0.1</v>
      </c>
      <c r="I2728" s="1">
        <v>0.1</v>
      </c>
      <c r="J2728" s="1">
        <v>0.77714429681016639</v>
      </c>
      <c r="K2728" s="1" t="s">
        <v>181</v>
      </c>
    </row>
    <row r="2729" spans="1:11" x14ac:dyDescent="0.25">
      <c r="A2729" s="1" t="s">
        <v>8753</v>
      </c>
      <c r="B2729" s="1" t="s">
        <v>8754</v>
      </c>
      <c r="C2729" s="1" t="s">
        <v>8755</v>
      </c>
      <c r="D2729" s="1" t="s">
        <v>8756</v>
      </c>
      <c r="E2729" s="1" t="s">
        <v>178</v>
      </c>
      <c r="F2729" s="1" t="s">
        <v>5017</v>
      </c>
      <c r="G2729" s="1" t="s">
        <v>5018</v>
      </c>
      <c r="H2729" s="1">
        <v>0.1</v>
      </c>
      <c r="I2729" s="1">
        <v>0.1</v>
      </c>
      <c r="J2729" s="1">
        <v>0.85976661192087023</v>
      </c>
      <c r="K2729" s="1" t="s">
        <v>181</v>
      </c>
    </row>
    <row r="2730" spans="1:11" x14ac:dyDescent="0.25">
      <c r="A2730" s="1" t="s">
        <v>42</v>
      </c>
      <c r="B2730" s="1" t="s">
        <v>8757</v>
      </c>
      <c r="C2730" s="1" t="s">
        <v>8758</v>
      </c>
      <c r="D2730" s="1" t="s">
        <v>8759</v>
      </c>
      <c r="E2730" s="1" t="s">
        <v>178</v>
      </c>
      <c r="F2730" s="1" t="s">
        <v>5017</v>
      </c>
      <c r="G2730" s="1" t="s">
        <v>5018</v>
      </c>
      <c r="H2730" s="1">
        <v>0.1</v>
      </c>
      <c r="I2730" s="1">
        <v>0.1</v>
      </c>
      <c r="J2730" s="1">
        <v>0.82447679374696181</v>
      </c>
      <c r="K2730" s="1" t="s">
        <v>181</v>
      </c>
    </row>
    <row r="2731" spans="1:11" x14ac:dyDescent="0.25">
      <c r="A2731" s="1" t="s">
        <v>49</v>
      </c>
      <c r="B2731" s="1" t="s">
        <v>8760</v>
      </c>
      <c r="C2731" s="1" t="s">
        <v>8761</v>
      </c>
      <c r="D2731" s="1" t="s">
        <v>8762</v>
      </c>
      <c r="E2731" s="1" t="s">
        <v>178</v>
      </c>
      <c r="F2731" s="1" t="s">
        <v>5017</v>
      </c>
      <c r="G2731" s="1" t="s">
        <v>5018</v>
      </c>
      <c r="H2731" s="1">
        <v>0.1</v>
      </c>
      <c r="I2731" s="1">
        <v>0.1</v>
      </c>
      <c r="J2731" s="1">
        <v>1.4558476558030462</v>
      </c>
      <c r="K2731" s="1" t="s">
        <v>181</v>
      </c>
    </row>
    <row r="2732" spans="1:11" x14ac:dyDescent="0.25">
      <c r="A2732" s="1" t="s">
        <v>8763</v>
      </c>
      <c r="B2732" s="1" t="s">
        <v>7075</v>
      </c>
      <c r="C2732" s="1" t="s">
        <v>8764</v>
      </c>
      <c r="D2732" s="1" t="s">
        <v>7077</v>
      </c>
      <c r="E2732" s="1" t="s">
        <v>178</v>
      </c>
      <c r="F2732" s="1" t="s">
        <v>5017</v>
      </c>
      <c r="G2732" s="1" t="s">
        <v>5018</v>
      </c>
      <c r="H2732" s="1">
        <v>0.1</v>
      </c>
      <c r="I2732" s="1">
        <v>0.1</v>
      </c>
      <c r="J2732" s="1">
        <v>1.3792771238130563</v>
      </c>
      <c r="K2732" s="1" t="s">
        <v>181</v>
      </c>
    </row>
    <row r="2733" spans="1:11" x14ac:dyDescent="0.25">
      <c r="A2733" s="1" t="s">
        <v>8765</v>
      </c>
      <c r="B2733" s="1" t="s">
        <v>8766</v>
      </c>
      <c r="C2733" s="1" t="s">
        <v>8767</v>
      </c>
      <c r="D2733" s="1" t="s">
        <v>8768</v>
      </c>
      <c r="E2733" s="1" t="s">
        <v>178</v>
      </c>
      <c r="F2733" s="1" t="s">
        <v>5017</v>
      </c>
      <c r="G2733" s="1" t="s">
        <v>5018</v>
      </c>
      <c r="H2733" s="1">
        <v>0.1</v>
      </c>
      <c r="I2733" s="1">
        <v>0.1</v>
      </c>
      <c r="J2733" s="1">
        <v>0.70070987315419453</v>
      </c>
      <c r="K2733" s="1" t="s">
        <v>181</v>
      </c>
    </row>
    <row r="2734" spans="1:11" x14ac:dyDescent="0.25">
      <c r="A2734" s="1" t="s">
        <v>8769</v>
      </c>
      <c r="B2734" s="1" t="s">
        <v>8711</v>
      </c>
      <c r="C2734" s="1" t="s">
        <v>8770</v>
      </c>
      <c r="D2734" s="1" t="s">
        <v>8771</v>
      </c>
      <c r="E2734" s="1" t="s">
        <v>178</v>
      </c>
      <c r="F2734" s="1" t="s">
        <v>5017</v>
      </c>
      <c r="G2734" s="1" t="s">
        <v>5018</v>
      </c>
      <c r="H2734" s="1">
        <v>0.1</v>
      </c>
      <c r="I2734" s="1">
        <v>0.1</v>
      </c>
      <c r="J2734" s="1">
        <v>0.57410986680594522</v>
      </c>
      <c r="K2734" s="1" t="s">
        <v>181</v>
      </c>
    </row>
    <row r="2735" spans="1:11" x14ac:dyDescent="0.25">
      <c r="A2735" s="1" t="s">
        <v>8772</v>
      </c>
      <c r="B2735" s="1" t="s">
        <v>8711</v>
      </c>
      <c r="C2735" s="1" t="s">
        <v>8773</v>
      </c>
      <c r="D2735" s="1" t="s">
        <v>8774</v>
      </c>
      <c r="E2735" s="1" t="s">
        <v>178</v>
      </c>
      <c r="F2735" s="1" t="s">
        <v>5017</v>
      </c>
      <c r="G2735" s="1" t="s">
        <v>5018</v>
      </c>
      <c r="H2735" s="1">
        <v>0.1</v>
      </c>
      <c r="I2735" s="1">
        <v>0.1</v>
      </c>
      <c r="J2735" s="1">
        <v>0.5992693091423027</v>
      </c>
      <c r="K2735" s="1" t="s">
        <v>181</v>
      </c>
    </row>
    <row r="2736" spans="1:11" x14ac:dyDescent="0.25">
      <c r="A2736" s="1" t="s">
        <v>148</v>
      </c>
      <c r="B2736" s="1" t="s">
        <v>8643</v>
      </c>
      <c r="C2736" s="1" t="s">
        <v>8775</v>
      </c>
      <c r="D2736" s="1" t="s">
        <v>8776</v>
      </c>
      <c r="E2736" s="1" t="s">
        <v>178</v>
      </c>
      <c r="F2736" s="1" t="s">
        <v>5017</v>
      </c>
      <c r="G2736" s="1" t="s">
        <v>5018</v>
      </c>
      <c r="H2736" s="1">
        <v>0.1</v>
      </c>
      <c r="I2736" s="1">
        <v>0.1</v>
      </c>
      <c r="J2736" s="1">
        <v>0.6352282368698926</v>
      </c>
      <c r="K2736" s="1" t="s">
        <v>181</v>
      </c>
    </row>
    <row r="2737" spans="1:11" x14ac:dyDescent="0.25">
      <c r="A2737" s="1" t="s">
        <v>151</v>
      </c>
      <c r="B2737" s="1" t="s">
        <v>8651</v>
      </c>
      <c r="C2737" s="1" t="s">
        <v>8777</v>
      </c>
      <c r="D2737" s="1" t="s">
        <v>8778</v>
      </c>
      <c r="E2737" s="1" t="s">
        <v>178</v>
      </c>
      <c r="F2737" s="1" t="s">
        <v>5017</v>
      </c>
      <c r="G2737" s="1" t="s">
        <v>5018</v>
      </c>
      <c r="H2737" s="1">
        <v>0.1</v>
      </c>
      <c r="I2737" s="1">
        <v>0.1</v>
      </c>
      <c r="J2737" s="1">
        <v>0.64488659807994275</v>
      </c>
      <c r="K2737" s="1" t="s">
        <v>181</v>
      </c>
    </row>
    <row r="2738" spans="1:11" x14ac:dyDescent="0.25">
      <c r="A2738" s="1" t="s">
        <v>8779</v>
      </c>
      <c r="B2738" s="1" t="s">
        <v>8780</v>
      </c>
      <c r="C2738" s="1" t="s">
        <v>8781</v>
      </c>
      <c r="D2738" s="1" t="s">
        <v>8782</v>
      </c>
      <c r="E2738" s="1" t="s">
        <v>178</v>
      </c>
      <c r="F2738" s="1" t="s">
        <v>5017</v>
      </c>
      <c r="G2738" s="1" t="s">
        <v>5018</v>
      </c>
      <c r="H2738" s="1">
        <v>0.1</v>
      </c>
      <c r="I2738" s="1">
        <v>0.1</v>
      </c>
      <c r="J2738" s="1">
        <v>0.55438340592738689</v>
      </c>
      <c r="K2738" s="1" t="s">
        <v>181</v>
      </c>
    </row>
    <row r="2739" spans="1:11" x14ac:dyDescent="0.25">
      <c r="A2739" s="1" t="s">
        <v>8783</v>
      </c>
      <c r="B2739" s="1" t="s">
        <v>8757</v>
      </c>
      <c r="C2739" s="1" t="s">
        <v>8784</v>
      </c>
      <c r="D2739" s="1" t="s">
        <v>8785</v>
      </c>
      <c r="E2739" s="1" t="s">
        <v>178</v>
      </c>
      <c r="F2739" s="1" t="s">
        <v>5017</v>
      </c>
      <c r="G2739" s="1" t="s">
        <v>5018</v>
      </c>
      <c r="H2739" s="1">
        <v>0.1</v>
      </c>
      <c r="I2739" s="1">
        <v>0.1</v>
      </c>
      <c r="J2739" s="1">
        <v>0.8354231711535437</v>
      </c>
      <c r="K2739" s="1" t="s">
        <v>181</v>
      </c>
    </row>
    <row r="2740" spans="1:11" x14ac:dyDescent="0.25">
      <c r="A2740" s="1" t="s">
        <v>8786</v>
      </c>
      <c r="B2740" s="1" t="s">
        <v>8787</v>
      </c>
      <c r="C2740" s="1" t="s">
        <v>8788</v>
      </c>
      <c r="D2740" s="1" t="s">
        <v>8789</v>
      </c>
      <c r="E2740" s="1" t="s">
        <v>178</v>
      </c>
      <c r="F2740" s="1" t="s">
        <v>5017</v>
      </c>
      <c r="G2740" s="1" t="s">
        <v>5018</v>
      </c>
      <c r="H2740" s="1">
        <v>0.1</v>
      </c>
      <c r="I2740" s="1">
        <v>0.1</v>
      </c>
      <c r="J2740" s="1">
        <v>0.63169899367219251</v>
      </c>
      <c r="K2740" s="1" t="s">
        <v>181</v>
      </c>
    </row>
    <row r="2741" spans="1:11" x14ac:dyDescent="0.25">
      <c r="A2741" s="1" t="s">
        <v>8790</v>
      </c>
      <c r="B2741" s="1" t="s">
        <v>8791</v>
      </c>
      <c r="C2741" s="1" t="s">
        <v>8792</v>
      </c>
      <c r="D2741" s="1" t="s">
        <v>8793</v>
      </c>
      <c r="E2741" s="1" t="s">
        <v>178</v>
      </c>
      <c r="F2741" s="1" t="s">
        <v>5017</v>
      </c>
      <c r="G2741" s="1" t="s">
        <v>5018</v>
      </c>
      <c r="H2741" s="1">
        <v>0.1</v>
      </c>
      <c r="I2741" s="1">
        <v>0.1</v>
      </c>
      <c r="J2741" s="1">
        <v>0.59525732539185539</v>
      </c>
      <c r="K2741" s="1" t="s">
        <v>181</v>
      </c>
    </row>
    <row r="2742" spans="1:11" x14ac:dyDescent="0.25">
      <c r="A2742" s="1" t="s">
        <v>8794</v>
      </c>
      <c r="B2742" s="1" t="s">
        <v>8795</v>
      </c>
      <c r="C2742" s="1" t="s">
        <v>8796</v>
      </c>
      <c r="D2742" s="1" t="s">
        <v>8797</v>
      </c>
      <c r="E2742" s="1" t="s">
        <v>178</v>
      </c>
      <c r="F2742" s="1" t="s">
        <v>5017</v>
      </c>
      <c r="G2742" s="1" t="s">
        <v>5018</v>
      </c>
      <c r="H2742" s="1">
        <v>0.1</v>
      </c>
      <c r="I2742" s="1">
        <v>0.1</v>
      </c>
      <c r="J2742" s="1">
        <v>0.73985058470751919</v>
      </c>
      <c r="K2742" s="1" t="s">
        <v>181</v>
      </c>
    </row>
    <row r="2743" spans="1:11" x14ac:dyDescent="0.25">
      <c r="A2743" s="1" t="s">
        <v>8798</v>
      </c>
      <c r="B2743" s="1" t="s">
        <v>8799</v>
      </c>
      <c r="C2743" s="1" t="s">
        <v>8800</v>
      </c>
      <c r="D2743" s="1" t="s">
        <v>8801</v>
      </c>
      <c r="E2743" s="1" t="s">
        <v>178</v>
      </c>
      <c r="F2743" s="1" t="s">
        <v>5017</v>
      </c>
      <c r="G2743" s="1" t="s">
        <v>5018</v>
      </c>
      <c r="H2743" s="1">
        <v>0.1</v>
      </c>
      <c r="I2743" s="1">
        <v>0.1</v>
      </c>
      <c r="J2743" s="1">
        <v>0.74641506020630188</v>
      </c>
      <c r="K2743" s="1" t="s">
        <v>181</v>
      </c>
    </row>
    <row r="2744" spans="1:11" x14ac:dyDescent="0.25">
      <c r="A2744" s="1" t="s">
        <v>8802</v>
      </c>
      <c r="B2744" s="1" t="s">
        <v>8803</v>
      </c>
      <c r="C2744" s="1" t="s">
        <v>8804</v>
      </c>
      <c r="D2744" s="1" t="s">
        <v>8805</v>
      </c>
      <c r="E2744" s="1" t="s">
        <v>178</v>
      </c>
      <c r="F2744" s="1" t="s">
        <v>5017</v>
      </c>
      <c r="G2744" s="1" t="s">
        <v>5018</v>
      </c>
      <c r="H2744" s="1">
        <v>0.1</v>
      </c>
      <c r="I2744" s="1">
        <v>0.1</v>
      </c>
      <c r="J2744" s="1">
        <v>0.98483165964256758</v>
      </c>
      <c r="K2744" s="1" t="s">
        <v>181</v>
      </c>
    </row>
    <row r="2745" spans="1:11" x14ac:dyDescent="0.25">
      <c r="A2745" s="1" t="s">
        <v>8806</v>
      </c>
      <c r="B2745" s="1" t="s">
        <v>8807</v>
      </c>
      <c r="C2745" s="1" t="s">
        <v>8808</v>
      </c>
      <c r="D2745" s="1" t="s">
        <v>8809</v>
      </c>
      <c r="E2745" s="1" t="s">
        <v>178</v>
      </c>
      <c r="F2745" s="1" t="s">
        <v>5017</v>
      </c>
      <c r="G2745" s="1" t="s">
        <v>5018</v>
      </c>
      <c r="H2745" s="1">
        <v>0.1</v>
      </c>
      <c r="I2745" s="1">
        <v>0.1</v>
      </c>
      <c r="J2745" s="1">
        <v>0.90745338605618553</v>
      </c>
      <c r="K2745" s="1" t="s">
        <v>181</v>
      </c>
    </row>
    <row r="2746" spans="1:11" x14ac:dyDescent="0.25">
      <c r="A2746" s="1" t="s">
        <v>8810</v>
      </c>
      <c r="B2746" s="1" t="s">
        <v>8811</v>
      </c>
      <c r="C2746" s="1" t="s">
        <v>8812</v>
      </c>
      <c r="D2746" s="1" t="s">
        <v>8813</v>
      </c>
      <c r="E2746" s="1" t="s">
        <v>178</v>
      </c>
      <c r="F2746" s="1" t="s">
        <v>5017</v>
      </c>
      <c r="G2746" s="1" t="s">
        <v>5018</v>
      </c>
      <c r="H2746" s="1">
        <v>0.1</v>
      </c>
      <c r="I2746" s="1">
        <v>0.1</v>
      </c>
      <c r="J2746" s="1">
        <v>0.8580295844184177</v>
      </c>
      <c r="K2746" s="1" t="s">
        <v>181</v>
      </c>
    </row>
    <row r="2747" spans="1:11" x14ac:dyDescent="0.25">
      <c r="A2747" s="1" t="s">
        <v>8814</v>
      </c>
      <c r="B2747" s="1" t="s">
        <v>8815</v>
      </c>
      <c r="C2747" s="1" t="s">
        <v>8816</v>
      </c>
      <c r="D2747" s="1" t="s">
        <v>8817</v>
      </c>
      <c r="E2747" s="1" t="s">
        <v>178</v>
      </c>
      <c r="F2747" s="1" t="s">
        <v>5017</v>
      </c>
      <c r="G2747" s="1" t="s">
        <v>5018</v>
      </c>
      <c r="H2747" s="1">
        <v>0.1</v>
      </c>
      <c r="I2747" s="1">
        <v>0.1</v>
      </c>
      <c r="J2747" s="1">
        <v>0.55893385750682556</v>
      </c>
      <c r="K2747" s="1" t="s">
        <v>181</v>
      </c>
    </row>
    <row r="2748" spans="1:11" x14ac:dyDescent="0.25">
      <c r="A2748" s="1" t="s">
        <v>8818</v>
      </c>
      <c r="B2748" s="1" t="s">
        <v>8819</v>
      </c>
      <c r="C2748" s="1" t="s">
        <v>8820</v>
      </c>
      <c r="D2748" s="1" t="s">
        <v>8821</v>
      </c>
      <c r="E2748" s="1" t="s">
        <v>178</v>
      </c>
      <c r="F2748" s="1" t="s">
        <v>5017</v>
      </c>
      <c r="G2748" s="1" t="s">
        <v>5018</v>
      </c>
      <c r="H2748" s="1">
        <v>0.1</v>
      </c>
      <c r="I2748" s="1">
        <v>0.1</v>
      </c>
      <c r="J2748" s="1">
        <v>0.87704056821733845</v>
      </c>
      <c r="K2748" s="1" t="s">
        <v>181</v>
      </c>
    </row>
    <row r="2749" spans="1:11" x14ac:dyDescent="0.25">
      <c r="A2749" s="1" t="s">
        <v>8822</v>
      </c>
      <c r="B2749" s="1" t="s">
        <v>8819</v>
      </c>
      <c r="C2749" s="1" t="s">
        <v>8823</v>
      </c>
      <c r="D2749" s="1" t="s">
        <v>8824</v>
      </c>
      <c r="E2749" s="1" t="s">
        <v>178</v>
      </c>
      <c r="F2749" s="1" t="s">
        <v>5017</v>
      </c>
      <c r="G2749" s="1" t="s">
        <v>5018</v>
      </c>
      <c r="H2749" s="1">
        <v>0.1</v>
      </c>
      <c r="I2749" s="1">
        <v>0.1</v>
      </c>
      <c r="J2749" s="1">
        <v>0.96030235123657237</v>
      </c>
      <c r="K2749" s="1" t="s">
        <v>181</v>
      </c>
    </row>
    <row r="2750" spans="1:11" x14ac:dyDescent="0.25">
      <c r="A2750" s="1" t="s">
        <v>8825</v>
      </c>
      <c r="B2750" s="1" t="s">
        <v>8826</v>
      </c>
      <c r="C2750" s="1" t="s">
        <v>8827</v>
      </c>
      <c r="D2750" s="1" t="s">
        <v>8828</v>
      </c>
      <c r="E2750" s="1" t="s">
        <v>178</v>
      </c>
      <c r="F2750" s="1" t="s">
        <v>5017</v>
      </c>
      <c r="G2750" s="1" t="s">
        <v>5018</v>
      </c>
      <c r="H2750" s="1">
        <v>0.1</v>
      </c>
      <c r="I2750" s="1">
        <v>0.1</v>
      </c>
      <c r="J2750" s="1">
        <v>0.89974846969790923</v>
      </c>
      <c r="K2750" s="1" t="s">
        <v>181</v>
      </c>
    </row>
    <row r="2751" spans="1:11" x14ac:dyDescent="0.25">
      <c r="A2751" s="1" t="s">
        <v>8829</v>
      </c>
      <c r="B2751" s="1" t="s">
        <v>8830</v>
      </c>
      <c r="C2751" s="1" t="s">
        <v>8831</v>
      </c>
      <c r="D2751" s="1" t="s">
        <v>8832</v>
      </c>
      <c r="E2751" s="1" t="s">
        <v>178</v>
      </c>
      <c r="F2751" s="1" t="s">
        <v>5017</v>
      </c>
      <c r="G2751" s="1" t="s">
        <v>5018</v>
      </c>
      <c r="H2751" s="1">
        <v>0.1</v>
      </c>
      <c r="I2751" s="1">
        <v>0.1</v>
      </c>
      <c r="J2751" s="1">
        <v>0.72105586089164819</v>
      </c>
      <c r="K2751" s="1" t="s">
        <v>181</v>
      </c>
    </row>
    <row r="2752" spans="1:11" x14ac:dyDescent="0.25">
      <c r="A2752" s="1" t="s">
        <v>8833</v>
      </c>
      <c r="B2752" s="1" t="s">
        <v>8830</v>
      </c>
      <c r="C2752" s="1" t="s">
        <v>8834</v>
      </c>
      <c r="D2752" s="1" t="s">
        <v>8835</v>
      </c>
      <c r="E2752" s="1" t="s">
        <v>178</v>
      </c>
      <c r="F2752" s="1" t="s">
        <v>5017</v>
      </c>
      <c r="G2752" s="1" t="s">
        <v>5018</v>
      </c>
      <c r="H2752" s="1">
        <v>0.1</v>
      </c>
      <c r="I2752" s="1">
        <v>0.1</v>
      </c>
      <c r="J2752" s="1">
        <v>0.72105586089164819</v>
      </c>
      <c r="K2752" s="1" t="s">
        <v>181</v>
      </c>
    </row>
    <row r="2753" spans="1:11" x14ac:dyDescent="0.25">
      <c r="A2753" s="1" t="s">
        <v>8836</v>
      </c>
      <c r="B2753" s="1" t="s">
        <v>8837</v>
      </c>
      <c r="C2753" s="1" t="s">
        <v>8838</v>
      </c>
      <c r="D2753" s="1" t="s">
        <v>8839</v>
      </c>
      <c r="E2753" s="1" t="s">
        <v>178</v>
      </c>
      <c r="F2753" s="1" t="s">
        <v>5017</v>
      </c>
      <c r="G2753" s="1" t="s">
        <v>5018</v>
      </c>
      <c r="H2753" s="1">
        <v>0.1</v>
      </c>
      <c r="I2753" s="1">
        <v>0.1</v>
      </c>
      <c r="J2753" s="1">
        <v>0.43310551434670763</v>
      </c>
      <c r="K2753" s="1" t="s">
        <v>181</v>
      </c>
    </row>
    <row r="2754" spans="1:11" x14ac:dyDescent="0.25">
      <c r="A2754" s="1" t="s">
        <v>8840</v>
      </c>
      <c r="B2754" s="1" t="s">
        <v>8841</v>
      </c>
      <c r="C2754" s="1" t="s">
        <v>8842</v>
      </c>
      <c r="D2754" s="1" t="s">
        <v>8843</v>
      </c>
      <c r="E2754" s="1" t="s">
        <v>178</v>
      </c>
      <c r="F2754" s="1" t="s">
        <v>5017</v>
      </c>
      <c r="G2754" s="1" t="s">
        <v>5018</v>
      </c>
      <c r="H2754" s="1">
        <v>0.1</v>
      </c>
      <c r="I2754" s="1">
        <v>0.1</v>
      </c>
      <c r="J2754" s="1">
        <v>0.53466096448497691</v>
      </c>
      <c r="K2754" s="1" t="s">
        <v>181</v>
      </c>
    </row>
    <row r="2755" spans="1:11" x14ac:dyDescent="0.25">
      <c r="A2755" s="1" t="s">
        <v>8844</v>
      </c>
      <c r="B2755" s="1" t="s">
        <v>8845</v>
      </c>
      <c r="C2755" s="1" t="s">
        <v>8846</v>
      </c>
      <c r="D2755" s="1" t="s">
        <v>8847</v>
      </c>
      <c r="E2755" s="1" t="s">
        <v>178</v>
      </c>
      <c r="F2755" s="1" t="s">
        <v>5017</v>
      </c>
      <c r="G2755" s="1" t="s">
        <v>5018</v>
      </c>
      <c r="H2755" s="1">
        <v>0.1</v>
      </c>
      <c r="I2755" s="1">
        <v>0.1</v>
      </c>
      <c r="J2755" s="1">
        <v>0.71456236066188328</v>
      </c>
      <c r="K2755" s="1" t="s">
        <v>181</v>
      </c>
    </row>
    <row r="2756" spans="1:11" x14ac:dyDescent="0.25">
      <c r="A2756" s="1" t="s">
        <v>8848</v>
      </c>
      <c r="B2756" s="1" t="s">
        <v>8849</v>
      </c>
      <c r="C2756" s="1" t="s">
        <v>8850</v>
      </c>
      <c r="D2756" s="1" t="s">
        <v>8851</v>
      </c>
      <c r="E2756" s="1" t="s">
        <v>178</v>
      </c>
      <c r="F2756" s="1" t="s">
        <v>5017</v>
      </c>
      <c r="G2756" s="1" t="s">
        <v>5018</v>
      </c>
      <c r="H2756" s="1">
        <v>0.1</v>
      </c>
      <c r="I2756" s="1">
        <v>0.1</v>
      </c>
      <c r="J2756" s="1">
        <v>0.76337646473829401</v>
      </c>
      <c r="K2756" s="1" t="s">
        <v>181</v>
      </c>
    </row>
    <row r="2757" spans="1:11" x14ac:dyDescent="0.25">
      <c r="A2757" s="1" t="s">
        <v>8852</v>
      </c>
      <c r="B2757" s="1" t="s">
        <v>8853</v>
      </c>
      <c r="C2757" s="1" t="s">
        <v>8854</v>
      </c>
      <c r="D2757" s="1" t="s">
        <v>8855</v>
      </c>
      <c r="E2757" s="1" t="s">
        <v>178</v>
      </c>
      <c r="F2757" s="1" t="s">
        <v>5017</v>
      </c>
      <c r="G2757" s="1" t="s">
        <v>5018</v>
      </c>
      <c r="H2757" s="1">
        <v>0.1</v>
      </c>
      <c r="I2757" s="1">
        <v>0.1</v>
      </c>
      <c r="J2757" s="1">
        <v>0.56447980487290572</v>
      </c>
      <c r="K2757" s="1" t="s">
        <v>181</v>
      </c>
    </row>
    <row r="2758" spans="1:11" x14ac:dyDescent="0.25">
      <c r="A2758" s="1" t="s">
        <v>8856</v>
      </c>
      <c r="B2758" s="1" t="s">
        <v>8857</v>
      </c>
      <c r="C2758" s="1" t="s">
        <v>8858</v>
      </c>
      <c r="D2758" s="1" t="s">
        <v>8859</v>
      </c>
      <c r="E2758" s="1" t="s">
        <v>178</v>
      </c>
      <c r="F2758" s="1" t="s">
        <v>5017</v>
      </c>
      <c r="G2758" s="1" t="s">
        <v>5018</v>
      </c>
      <c r="H2758" s="1">
        <v>0.1</v>
      </c>
      <c r="I2758" s="1">
        <v>0.1</v>
      </c>
      <c r="J2758" s="1">
        <v>0.82566084955234853</v>
      </c>
      <c r="K2758" s="1" t="s">
        <v>181</v>
      </c>
    </row>
    <row r="2759" spans="1:11" x14ac:dyDescent="0.25">
      <c r="A2759" s="1" t="s">
        <v>8860</v>
      </c>
      <c r="B2759" s="1" t="s">
        <v>8857</v>
      </c>
      <c r="C2759" s="1" t="s">
        <v>8861</v>
      </c>
      <c r="D2759" s="1" t="s">
        <v>8862</v>
      </c>
      <c r="E2759" s="1" t="s">
        <v>178</v>
      </c>
      <c r="F2759" s="1" t="s">
        <v>5017</v>
      </c>
      <c r="G2759" s="1" t="s">
        <v>5018</v>
      </c>
      <c r="H2759" s="1">
        <v>0.1</v>
      </c>
      <c r="I2759" s="1">
        <v>0.1</v>
      </c>
      <c r="J2759" s="1">
        <v>0.75314916268093546</v>
      </c>
      <c r="K2759" s="1" t="s">
        <v>181</v>
      </c>
    </row>
    <row r="2760" spans="1:11" x14ac:dyDescent="0.25">
      <c r="A2760" s="1" t="s">
        <v>8863</v>
      </c>
      <c r="B2760" s="1" t="s">
        <v>8857</v>
      </c>
      <c r="C2760" s="1" t="s">
        <v>8864</v>
      </c>
      <c r="D2760" s="1" t="s">
        <v>8865</v>
      </c>
      <c r="E2760" s="1" t="s">
        <v>178</v>
      </c>
      <c r="F2760" s="1" t="s">
        <v>5017</v>
      </c>
      <c r="G2760" s="1" t="s">
        <v>5018</v>
      </c>
      <c r="H2760" s="1">
        <v>0.1</v>
      </c>
      <c r="I2760" s="1">
        <v>0.1</v>
      </c>
      <c r="J2760" s="1">
        <v>0.91759092367671202</v>
      </c>
      <c r="K2760" s="1" t="s">
        <v>181</v>
      </c>
    </row>
    <row r="2761" spans="1:11" x14ac:dyDescent="0.25">
      <c r="A2761" s="1" t="s">
        <v>8866</v>
      </c>
      <c r="B2761" s="1" t="s">
        <v>6641</v>
      </c>
      <c r="C2761" s="1" t="s">
        <v>8867</v>
      </c>
      <c r="D2761" s="1" t="s">
        <v>8868</v>
      </c>
      <c r="E2761" s="1" t="s">
        <v>178</v>
      </c>
      <c r="F2761" s="1" t="s">
        <v>5017</v>
      </c>
      <c r="G2761" s="1" t="s">
        <v>5018</v>
      </c>
      <c r="H2761" s="1">
        <v>0.1</v>
      </c>
      <c r="I2761" s="1">
        <v>0.1</v>
      </c>
      <c r="J2761" s="1">
        <v>0.88889213111559762</v>
      </c>
      <c r="K2761" s="1" t="s">
        <v>181</v>
      </c>
    </row>
    <row r="2762" spans="1:11" x14ac:dyDescent="0.25">
      <c r="A2762" s="1" t="s">
        <v>8869</v>
      </c>
      <c r="B2762" s="1" t="s">
        <v>6641</v>
      </c>
      <c r="C2762" s="1" t="s">
        <v>8870</v>
      </c>
      <c r="D2762" s="1" t="s">
        <v>8871</v>
      </c>
      <c r="E2762" s="1" t="s">
        <v>178</v>
      </c>
      <c r="F2762" s="1" t="s">
        <v>5017</v>
      </c>
      <c r="G2762" s="1" t="s">
        <v>5018</v>
      </c>
      <c r="H2762" s="1">
        <v>0.1</v>
      </c>
      <c r="I2762" s="1">
        <v>0.1</v>
      </c>
      <c r="J2762" s="1">
        <v>0.88889213111559762</v>
      </c>
      <c r="K2762" s="1" t="s">
        <v>181</v>
      </c>
    </row>
    <row r="2763" spans="1:11" x14ac:dyDescent="0.25">
      <c r="A2763" s="1" t="s">
        <v>8872</v>
      </c>
      <c r="B2763" s="1" t="s">
        <v>6641</v>
      </c>
      <c r="C2763" s="1" t="s">
        <v>8873</v>
      </c>
      <c r="D2763" s="1" t="s">
        <v>8874</v>
      </c>
      <c r="E2763" s="1" t="s">
        <v>178</v>
      </c>
      <c r="F2763" s="1" t="s">
        <v>5017</v>
      </c>
      <c r="G2763" s="1" t="s">
        <v>5018</v>
      </c>
      <c r="H2763" s="1">
        <v>0.1</v>
      </c>
      <c r="I2763" s="1">
        <v>0.1</v>
      </c>
      <c r="J2763" s="1">
        <v>0.88889213111559762</v>
      </c>
      <c r="K2763" s="1" t="s">
        <v>181</v>
      </c>
    </row>
    <row r="2764" spans="1:11" x14ac:dyDescent="0.25">
      <c r="A2764" s="1" t="s">
        <v>8875</v>
      </c>
      <c r="B2764" s="1" t="s">
        <v>6641</v>
      </c>
      <c r="C2764" s="1" t="s">
        <v>8876</v>
      </c>
      <c r="D2764" s="1" t="s">
        <v>8877</v>
      </c>
      <c r="E2764" s="1" t="s">
        <v>178</v>
      </c>
      <c r="F2764" s="1" t="s">
        <v>5017</v>
      </c>
      <c r="G2764" s="1" t="s">
        <v>5018</v>
      </c>
      <c r="H2764" s="1">
        <v>0.1</v>
      </c>
      <c r="I2764" s="1">
        <v>0.1</v>
      </c>
      <c r="J2764" s="1">
        <v>0.99126246418033692</v>
      </c>
      <c r="K2764" s="1" t="s">
        <v>181</v>
      </c>
    </row>
    <row r="2765" spans="1:11" x14ac:dyDescent="0.25">
      <c r="A2765" s="1" t="s">
        <v>8878</v>
      </c>
      <c r="B2765" s="1" t="s">
        <v>6665</v>
      </c>
      <c r="C2765" s="1" t="s">
        <v>8879</v>
      </c>
      <c r="D2765" s="1" t="s">
        <v>8880</v>
      </c>
      <c r="E2765" s="1" t="s">
        <v>178</v>
      </c>
      <c r="F2765" s="1" t="s">
        <v>5017</v>
      </c>
      <c r="G2765" s="1" t="s">
        <v>5018</v>
      </c>
      <c r="H2765" s="1">
        <v>0.1</v>
      </c>
      <c r="I2765" s="1">
        <v>0.1</v>
      </c>
      <c r="J2765" s="1">
        <v>0.9132580420008547</v>
      </c>
      <c r="K2765" s="1" t="s">
        <v>181</v>
      </c>
    </row>
    <row r="2766" spans="1:11" x14ac:dyDescent="0.25">
      <c r="A2766" s="1" t="s">
        <v>8881</v>
      </c>
      <c r="B2766" s="1" t="s">
        <v>8882</v>
      </c>
      <c r="C2766" s="1" t="s">
        <v>8883</v>
      </c>
      <c r="D2766" s="1" t="s">
        <v>8884</v>
      </c>
      <c r="E2766" s="1" t="s">
        <v>178</v>
      </c>
      <c r="F2766" s="1" t="s">
        <v>5017</v>
      </c>
      <c r="G2766" s="1" t="s">
        <v>5018</v>
      </c>
      <c r="H2766" s="1">
        <v>0.1</v>
      </c>
      <c r="I2766" s="1">
        <v>0.1</v>
      </c>
      <c r="J2766" s="1">
        <v>0.34850792943255082</v>
      </c>
      <c r="K2766" s="1" t="s">
        <v>181</v>
      </c>
    </row>
    <row r="2767" spans="1:11" x14ac:dyDescent="0.25">
      <c r="A2767" s="1" t="s">
        <v>8885</v>
      </c>
      <c r="B2767" s="1" t="s">
        <v>8886</v>
      </c>
      <c r="C2767" s="1" t="s">
        <v>8887</v>
      </c>
      <c r="D2767" s="1" t="s">
        <v>8888</v>
      </c>
      <c r="E2767" s="1" t="s">
        <v>178</v>
      </c>
      <c r="F2767" s="1" t="s">
        <v>5017</v>
      </c>
      <c r="G2767" s="1" t="s">
        <v>5018</v>
      </c>
      <c r="H2767" s="1">
        <v>0.1</v>
      </c>
      <c r="I2767" s="1">
        <v>0.1</v>
      </c>
      <c r="J2767" s="1">
        <v>0.78105119187900807</v>
      </c>
      <c r="K2767" s="1" t="s">
        <v>181</v>
      </c>
    </row>
    <row r="2768" spans="1:11" x14ac:dyDescent="0.25">
      <c r="A2768" s="1" t="s">
        <v>8889</v>
      </c>
      <c r="B2768" s="1" t="s">
        <v>6661</v>
      </c>
      <c r="C2768" s="1" t="s">
        <v>8890</v>
      </c>
      <c r="D2768" s="1" t="s">
        <v>8891</v>
      </c>
      <c r="E2768" s="1" t="s">
        <v>178</v>
      </c>
      <c r="F2768" s="1" t="s">
        <v>5017</v>
      </c>
      <c r="G2768" s="1" t="s">
        <v>5018</v>
      </c>
      <c r="H2768" s="1">
        <v>0.1</v>
      </c>
      <c r="I2768" s="1">
        <v>0.1</v>
      </c>
      <c r="J2768" s="1">
        <v>1.0025967395773872</v>
      </c>
      <c r="K2768" s="1" t="s">
        <v>181</v>
      </c>
    </row>
    <row r="2769" spans="1:11" x14ac:dyDescent="0.25">
      <c r="A2769" s="1" t="s">
        <v>8892</v>
      </c>
      <c r="B2769" s="1" t="s">
        <v>7067</v>
      </c>
      <c r="C2769" s="1" t="s">
        <v>8893</v>
      </c>
      <c r="D2769" s="1" t="s">
        <v>8894</v>
      </c>
      <c r="E2769" s="1" t="s">
        <v>178</v>
      </c>
      <c r="F2769" s="1" t="s">
        <v>5017</v>
      </c>
      <c r="G2769" s="1" t="s">
        <v>5018</v>
      </c>
      <c r="H2769" s="1">
        <v>0.1</v>
      </c>
      <c r="I2769" s="1">
        <v>0.1</v>
      </c>
      <c r="J2769" s="1">
        <v>0.73063325244004262</v>
      </c>
      <c r="K2769" s="1" t="s">
        <v>181</v>
      </c>
    </row>
    <row r="2770" spans="1:11" x14ac:dyDescent="0.25">
      <c r="A2770" s="1" t="s">
        <v>8895</v>
      </c>
      <c r="B2770" s="1" t="s">
        <v>6665</v>
      </c>
      <c r="C2770" s="1" t="s">
        <v>8896</v>
      </c>
      <c r="D2770" s="1" t="s">
        <v>8897</v>
      </c>
      <c r="E2770" s="1" t="s">
        <v>178</v>
      </c>
      <c r="F2770" s="1" t="s">
        <v>5017</v>
      </c>
      <c r="G2770" s="1" t="s">
        <v>5018</v>
      </c>
      <c r="H2770" s="1">
        <v>0.1</v>
      </c>
      <c r="I2770" s="1">
        <v>0.1</v>
      </c>
      <c r="J2770" s="1">
        <v>0.9132580420008547</v>
      </c>
      <c r="K2770" s="1" t="s">
        <v>181</v>
      </c>
    </row>
    <row r="2771" spans="1:11" x14ac:dyDescent="0.25">
      <c r="A2771" s="1" t="s">
        <v>8898</v>
      </c>
      <c r="B2771" s="1" t="s">
        <v>8899</v>
      </c>
      <c r="C2771" s="1" t="s">
        <v>8900</v>
      </c>
      <c r="D2771" s="1" t="s">
        <v>8901</v>
      </c>
      <c r="E2771" s="1" t="s">
        <v>178</v>
      </c>
      <c r="F2771" s="1" t="s">
        <v>5017</v>
      </c>
      <c r="G2771" s="1" t="s">
        <v>5018</v>
      </c>
      <c r="H2771" s="1">
        <v>0.1</v>
      </c>
      <c r="I2771" s="1">
        <v>0.1</v>
      </c>
      <c r="J2771" s="1">
        <v>1.8482659672403015</v>
      </c>
      <c r="K2771" s="1" t="s">
        <v>181</v>
      </c>
    </row>
    <row r="2772" spans="1:11" x14ac:dyDescent="0.25">
      <c r="A2772" s="1" t="s">
        <v>8902</v>
      </c>
      <c r="B2772" s="1" t="s">
        <v>8903</v>
      </c>
      <c r="C2772" s="1" t="s">
        <v>8904</v>
      </c>
      <c r="D2772" s="1" t="s">
        <v>8905</v>
      </c>
      <c r="E2772" s="1" t="s">
        <v>178</v>
      </c>
      <c r="F2772" s="1" t="s">
        <v>5017</v>
      </c>
      <c r="G2772" s="1" t="s">
        <v>5018</v>
      </c>
      <c r="H2772" s="1">
        <v>0.1</v>
      </c>
      <c r="I2772" s="1">
        <v>0.1</v>
      </c>
      <c r="J2772" s="1">
        <v>0.47867082571031144</v>
      </c>
      <c r="K2772" s="1" t="s">
        <v>181</v>
      </c>
    </row>
    <row r="2773" spans="1:11" x14ac:dyDescent="0.25">
      <c r="A2773" s="1" t="s">
        <v>8906</v>
      </c>
      <c r="B2773" s="1" t="s">
        <v>8907</v>
      </c>
      <c r="C2773" s="1" t="s">
        <v>8908</v>
      </c>
      <c r="D2773" s="1" t="s">
        <v>8909</v>
      </c>
      <c r="E2773" s="1" t="s">
        <v>178</v>
      </c>
      <c r="F2773" s="1" t="s">
        <v>5017</v>
      </c>
      <c r="G2773" s="1" t="s">
        <v>5018</v>
      </c>
      <c r="H2773" s="1">
        <v>0.1</v>
      </c>
      <c r="I2773" s="1">
        <v>0.1</v>
      </c>
      <c r="J2773" s="1">
        <v>0.76043902814230024</v>
      </c>
      <c r="K2773" s="1" t="s">
        <v>181</v>
      </c>
    </row>
    <row r="2774" spans="1:11" x14ac:dyDescent="0.25">
      <c r="A2774" s="1" t="s">
        <v>8910</v>
      </c>
      <c r="B2774" s="1" t="s">
        <v>6661</v>
      </c>
      <c r="C2774" s="1" t="s">
        <v>8911</v>
      </c>
      <c r="D2774" s="1" t="s">
        <v>8912</v>
      </c>
      <c r="E2774" s="1" t="s">
        <v>178</v>
      </c>
      <c r="F2774" s="1" t="s">
        <v>5017</v>
      </c>
      <c r="G2774" s="1" t="s">
        <v>5018</v>
      </c>
      <c r="H2774" s="1">
        <v>0.1</v>
      </c>
      <c r="I2774" s="1">
        <v>0.1</v>
      </c>
      <c r="J2774" s="1">
        <v>0.97238141425900049</v>
      </c>
      <c r="K2774" s="1" t="s">
        <v>181</v>
      </c>
    </row>
    <row r="2775" spans="1:11" x14ac:dyDescent="0.25">
      <c r="A2775" s="1" t="s">
        <v>8913</v>
      </c>
      <c r="B2775" s="1" t="s">
        <v>7067</v>
      </c>
      <c r="C2775" s="1" t="s">
        <v>8914</v>
      </c>
      <c r="D2775" s="1" t="s">
        <v>8915</v>
      </c>
      <c r="E2775" s="1" t="s">
        <v>178</v>
      </c>
      <c r="F2775" s="1" t="s">
        <v>5017</v>
      </c>
      <c r="G2775" s="1" t="s">
        <v>5018</v>
      </c>
      <c r="H2775" s="1">
        <v>0.1</v>
      </c>
      <c r="I2775" s="1">
        <v>0.1</v>
      </c>
      <c r="J2775" s="1">
        <v>0.70861410901033983</v>
      </c>
      <c r="K2775" s="1" t="s">
        <v>181</v>
      </c>
    </row>
    <row r="2776" spans="1:11" x14ac:dyDescent="0.25">
      <c r="A2776" s="1" t="s">
        <v>8916</v>
      </c>
      <c r="B2776" s="1" t="s">
        <v>6665</v>
      </c>
      <c r="C2776" s="1" t="s">
        <v>8917</v>
      </c>
      <c r="D2776" s="1" t="s">
        <v>8918</v>
      </c>
      <c r="E2776" s="1" t="s">
        <v>178</v>
      </c>
      <c r="F2776" s="1" t="s">
        <v>5017</v>
      </c>
      <c r="G2776" s="1" t="s">
        <v>5018</v>
      </c>
      <c r="H2776" s="1">
        <v>0.1</v>
      </c>
      <c r="I2776" s="1">
        <v>0.1</v>
      </c>
      <c r="J2776" s="1">
        <v>0.90171900033054686</v>
      </c>
      <c r="K2776" s="1" t="s">
        <v>181</v>
      </c>
    </row>
    <row r="2777" spans="1:11" x14ac:dyDescent="0.25">
      <c r="A2777" s="1" t="s">
        <v>8919</v>
      </c>
      <c r="B2777" s="1" t="s">
        <v>7788</v>
      </c>
      <c r="C2777" s="1" t="s">
        <v>8920</v>
      </c>
      <c r="D2777" s="1" t="s">
        <v>8921</v>
      </c>
      <c r="E2777" s="1" t="s">
        <v>178</v>
      </c>
      <c r="F2777" s="1" t="s">
        <v>5017</v>
      </c>
      <c r="G2777" s="1" t="s">
        <v>5018</v>
      </c>
      <c r="H2777" s="1">
        <v>0.1</v>
      </c>
      <c r="I2777" s="1">
        <v>0.1</v>
      </c>
      <c r="J2777" s="1">
        <v>0.97589975432465714</v>
      </c>
      <c r="K2777" s="1" t="s">
        <v>181</v>
      </c>
    </row>
    <row r="2778" spans="1:11" x14ac:dyDescent="0.25">
      <c r="A2778" s="1" t="s">
        <v>8922</v>
      </c>
      <c r="B2778" s="1" t="s">
        <v>7777</v>
      </c>
      <c r="C2778" s="1" t="s">
        <v>8923</v>
      </c>
      <c r="D2778" s="1" t="s">
        <v>8924</v>
      </c>
      <c r="E2778" s="1" t="s">
        <v>178</v>
      </c>
      <c r="F2778" s="1" t="s">
        <v>5017</v>
      </c>
      <c r="G2778" s="1" t="s">
        <v>5018</v>
      </c>
      <c r="H2778" s="1">
        <v>0.1</v>
      </c>
      <c r="I2778" s="1">
        <v>0.1</v>
      </c>
      <c r="J2778" s="1">
        <v>0.76923218502070001</v>
      </c>
      <c r="K2778" s="1" t="s">
        <v>181</v>
      </c>
    </row>
    <row r="2779" spans="1:11" x14ac:dyDescent="0.25">
      <c r="A2779" s="1" t="s">
        <v>8925</v>
      </c>
      <c r="B2779" s="1" t="s">
        <v>8926</v>
      </c>
      <c r="C2779" s="1" t="s">
        <v>8927</v>
      </c>
      <c r="D2779" s="1" t="s">
        <v>8928</v>
      </c>
      <c r="E2779" s="1" t="s">
        <v>178</v>
      </c>
      <c r="F2779" s="1" t="s">
        <v>5017</v>
      </c>
      <c r="G2779" s="1" t="s">
        <v>5018</v>
      </c>
      <c r="H2779" s="1">
        <v>0.1</v>
      </c>
      <c r="I2779" s="1">
        <v>0.1</v>
      </c>
      <c r="J2779" s="1">
        <v>0.8414533040454677</v>
      </c>
      <c r="K2779" s="1" t="s">
        <v>181</v>
      </c>
    </row>
    <row r="2780" spans="1:11" x14ac:dyDescent="0.25">
      <c r="A2780" s="1" t="s">
        <v>8929</v>
      </c>
      <c r="B2780" s="1" t="s">
        <v>8899</v>
      </c>
      <c r="C2780" s="1" t="s">
        <v>8930</v>
      </c>
      <c r="D2780" s="1" t="s">
        <v>8931</v>
      </c>
      <c r="E2780" s="1" t="s">
        <v>178</v>
      </c>
      <c r="F2780" s="1" t="s">
        <v>5017</v>
      </c>
      <c r="G2780" s="1" t="s">
        <v>5018</v>
      </c>
      <c r="H2780" s="1">
        <v>0.1</v>
      </c>
      <c r="I2780" s="1">
        <v>0.1</v>
      </c>
      <c r="J2780" s="1">
        <v>1.8482659672403015</v>
      </c>
      <c r="K2780" s="1" t="s">
        <v>181</v>
      </c>
    </row>
    <row r="2781" spans="1:11" x14ac:dyDescent="0.25">
      <c r="A2781" s="1" t="s">
        <v>8932</v>
      </c>
      <c r="B2781" s="1" t="s">
        <v>8933</v>
      </c>
      <c r="C2781" s="1" t="s">
        <v>8934</v>
      </c>
      <c r="D2781" s="1" t="s">
        <v>8935</v>
      </c>
      <c r="E2781" s="1" t="s">
        <v>178</v>
      </c>
      <c r="F2781" s="1" t="s">
        <v>5017</v>
      </c>
      <c r="G2781" s="1" t="s">
        <v>5018</v>
      </c>
      <c r="H2781" s="1">
        <v>0.1</v>
      </c>
      <c r="I2781" s="1">
        <v>0.1</v>
      </c>
      <c r="J2781" s="1">
        <v>1.8317547676236885</v>
      </c>
      <c r="K2781" s="1" t="s">
        <v>181</v>
      </c>
    </row>
    <row r="2782" spans="1:11" x14ac:dyDescent="0.25">
      <c r="A2782" s="1" t="s">
        <v>8936</v>
      </c>
      <c r="B2782" s="1" t="s">
        <v>6661</v>
      </c>
      <c r="C2782" s="1" t="s">
        <v>8937</v>
      </c>
      <c r="D2782" s="1" t="s">
        <v>8938</v>
      </c>
      <c r="E2782" s="1" t="s">
        <v>178</v>
      </c>
      <c r="F2782" s="1" t="s">
        <v>5017</v>
      </c>
      <c r="G2782" s="1" t="s">
        <v>5018</v>
      </c>
      <c r="H2782" s="1">
        <v>0.1</v>
      </c>
      <c r="I2782" s="1">
        <v>0.1</v>
      </c>
      <c r="J2782" s="1">
        <v>1.1700931528117604</v>
      </c>
      <c r="K2782" s="1" t="s">
        <v>181</v>
      </c>
    </row>
    <row r="2783" spans="1:11" x14ac:dyDescent="0.25">
      <c r="A2783" s="1" t="s">
        <v>8939</v>
      </c>
      <c r="B2783" s="1" t="s">
        <v>7067</v>
      </c>
      <c r="C2783" s="1" t="s">
        <v>8940</v>
      </c>
      <c r="D2783" s="1" t="s">
        <v>8941</v>
      </c>
      <c r="E2783" s="1" t="s">
        <v>178</v>
      </c>
      <c r="F2783" s="1" t="s">
        <v>5017</v>
      </c>
      <c r="G2783" s="1" t="s">
        <v>5018</v>
      </c>
      <c r="H2783" s="1">
        <v>0.1</v>
      </c>
      <c r="I2783" s="1">
        <v>0.1</v>
      </c>
      <c r="J2783" s="1">
        <v>0.85269473971862308</v>
      </c>
      <c r="K2783" s="1" t="s">
        <v>181</v>
      </c>
    </row>
    <row r="2784" spans="1:11" x14ac:dyDescent="0.25">
      <c r="A2784" s="1" t="s">
        <v>8942</v>
      </c>
      <c r="B2784" s="1" t="s">
        <v>8926</v>
      </c>
      <c r="C2784" s="1" t="s">
        <v>8943</v>
      </c>
      <c r="D2784" s="1" t="s">
        <v>8944</v>
      </c>
      <c r="E2784" s="1" t="s">
        <v>178</v>
      </c>
      <c r="F2784" s="1" t="s">
        <v>5017</v>
      </c>
      <c r="G2784" s="1" t="s">
        <v>5018</v>
      </c>
      <c r="H2784" s="1">
        <v>0.1</v>
      </c>
      <c r="I2784" s="1">
        <v>0.1</v>
      </c>
      <c r="J2784" s="1">
        <v>0.8414533040454677</v>
      </c>
      <c r="K2784" s="1" t="s">
        <v>181</v>
      </c>
    </row>
    <row r="2785" spans="1:11" x14ac:dyDescent="0.25">
      <c r="A2785" s="1" t="s">
        <v>8945</v>
      </c>
      <c r="B2785" s="1" t="s">
        <v>8946</v>
      </c>
      <c r="C2785" s="1" t="s">
        <v>8947</v>
      </c>
      <c r="D2785" s="1" t="s">
        <v>8948</v>
      </c>
      <c r="E2785" s="1" t="s">
        <v>178</v>
      </c>
      <c r="F2785" s="1" t="s">
        <v>5017</v>
      </c>
      <c r="G2785" s="1" t="s">
        <v>5018</v>
      </c>
      <c r="H2785" s="1">
        <v>0.1</v>
      </c>
      <c r="I2785" s="1">
        <v>0.1</v>
      </c>
      <c r="J2785" s="1">
        <v>0.92020084334943086</v>
      </c>
      <c r="K2785" s="1" t="s">
        <v>181</v>
      </c>
    </row>
    <row r="2786" spans="1:11" x14ac:dyDescent="0.25">
      <c r="A2786" s="1" t="s">
        <v>8949</v>
      </c>
      <c r="B2786" s="1" t="s">
        <v>8926</v>
      </c>
      <c r="C2786" s="1" t="s">
        <v>8943</v>
      </c>
      <c r="D2786" s="1" t="s">
        <v>8944</v>
      </c>
      <c r="E2786" s="1" t="s">
        <v>178</v>
      </c>
      <c r="F2786" s="1" t="s">
        <v>5017</v>
      </c>
      <c r="G2786" s="1" t="s">
        <v>5018</v>
      </c>
      <c r="H2786" s="1">
        <v>0.1</v>
      </c>
      <c r="I2786" s="1">
        <v>0.1</v>
      </c>
      <c r="J2786" s="1">
        <v>0.8414533040454677</v>
      </c>
      <c r="K2786" s="1" t="s">
        <v>181</v>
      </c>
    </row>
    <row r="2787" spans="1:11" x14ac:dyDescent="0.25">
      <c r="A2787" s="1" t="s">
        <v>8950</v>
      </c>
      <c r="B2787" s="1" t="s">
        <v>8946</v>
      </c>
      <c r="C2787" s="1" t="s">
        <v>8951</v>
      </c>
      <c r="D2787" s="1" t="s">
        <v>8952</v>
      </c>
      <c r="E2787" s="1" t="s">
        <v>178</v>
      </c>
      <c r="F2787" s="1" t="s">
        <v>5017</v>
      </c>
      <c r="G2787" s="1" t="s">
        <v>5018</v>
      </c>
      <c r="H2787" s="1">
        <v>0.1</v>
      </c>
      <c r="I2787" s="1">
        <v>0.1</v>
      </c>
      <c r="J2787" s="1">
        <v>0.92020084334943086</v>
      </c>
      <c r="K2787" s="1" t="s">
        <v>181</v>
      </c>
    </row>
    <row r="2788" spans="1:11" x14ac:dyDescent="0.25">
      <c r="A2788" s="1" t="s">
        <v>8953</v>
      </c>
      <c r="B2788" s="1" t="s">
        <v>8946</v>
      </c>
      <c r="C2788" s="1" t="s">
        <v>8954</v>
      </c>
      <c r="D2788" s="1" t="s">
        <v>8955</v>
      </c>
      <c r="E2788" s="1" t="s">
        <v>178</v>
      </c>
      <c r="F2788" s="1" t="s">
        <v>5017</v>
      </c>
      <c r="G2788" s="1" t="s">
        <v>5018</v>
      </c>
      <c r="H2788" s="1">
        <v>0.1</v>
      </c>
      <c r="I2788" s="1">
        <v>0.1</v>
      </c>
      <c r="J2788" s="1">
        <v>0.9566612874460414</v>
      </c>
      <c r="K2788" s="1" t="s">
        <v>181</v>
      </c>
    </row>
    <row r="2789" spans="1:11" x14ac:dyDescent="0.25">
      <c r="A2789" s="1" t="s">
        <v>8956</v>
      </c>
      <c r="B2789" s="1" t="s">
        <v>8926</v>
      </c>
      <c r="C2789" s="1" t="s">
        <v>8943</v>
      </c>
      <c r="D2789" s="1" t="s">
        <v>8944</v>
      </c>
      <c r="E2789" s="1" t="s">
        <v>178</v>
      </c>
      <c r="F2789" s="1" t="s">
        <v>5017</v>
      </c>
      <c r="G2789" s="1" t="s">
        <v>5018</v>
      </c>
      <c r="H2789" s="1">
        <v>0.1</v>
      </c>
      <c r="I2789" s="1">
        <v>0.1</v>
      </c>
      <c r="J2789" s="1">
        <v>0.8414533040454677</v>
      </c>
      <c r="K2789" s="1" t="s">
        <v>181</v>
      </c>
    </row>
    <row r="2790" spans="1:11" x14ac:dyDescent="0.25">
      <c r="A2790" s="1" t="s">
        <v>8957</v>
      </c>
      <c r="B2790" s="1" t="s">
        <v>8958</v>
      </c>
      <c r="C2790" s="1" t="s">
        <v>8959</v>
      </c>
      <c r="D2790" s="1" t="s">
        <v>8960</v>
      </c>
      <c r="E2790" s="1" t="s">
        <v>178</v>
      </c>
      <c r="F2790" s="1" t="s">
        <v>5017</v>
      </c>
      <c r="G2790" s="1" t="s">
        <v>5018</v>
      </c>
      <c r="H2790" s="1">
        <v>0.1</v>
      </c>
      <c r="I2790" s="1">
        <v>0.1</v>
      </c>
      <c r="J2790" s="1">
        <v>1.0375904421762363</v>
      </c>
      <c r="K2790" s="1" t="s">
        <v>181</v>
      </c>
    </row>
    <row r="2791" spans="1:11" x14ac:dyDescent="0.25">
      <c r="A2791" s="1" t="s">
        <v>8961</v>
      </c>
      <c r="B2791" s="1" t="s">
        <v>8933</v>
      </c>
      <c r="C2791" s="1" t="s">
        <v>8962</v>
      </c>
      <c r="D2791" s="1" t="s">
        <v>8963</v>
      </c>
      <c r="E2791" s="1" t="s">
        <v>178</v>
      </c>
      <c r="F2791" s="1" t="s">
        <v>5017</v>
      </c>
      <c r="G2791" s="1" t="s">
        <v>5018</v>
      </c>
      <c r="H2791" s="1">
        <v>0.1</v>
      </c>
      <c r="I2791" s="1">
        <v>0.1</v>
      </c>
      <c r="J2791" s="1">
        <v>1.8317547676236885</v>
      </c>
      <c r="K2791" s="1" t="s">
        <v>181</v>
      </c>
    </row>
    <row r="2792" spans="1:11" x14ac:dyDescent="0.25">
      <c r="A2792" s="1" t="s">
        <v>8964</v>
      </c>
      <c r="B2792" s="1" t="s">
        <v>8965</v>
      </c>
      <c r="C2792" s="1" t="s">
        <v>8966</v>
      </c>
      <c r="D2792" s="1" t="s">
        <v>8967</v>
      </c>
      <c r="E2792" s="1" t="s">
        <v>178</v>
      </c>
      <c r="F2792" s="1" t="s">
        <v>5017</v>
      </c>
      <c r="G2792" s="1" t="s">
        <v>5018</v>
      </c>
      <c r="H2792" s="1">
        <v>0.1</v>
      </c>
      <c r="I2792" s="1">
        <v>0.1</v>
      </c>
      <c r="J2792" s="1">
        <v>0.55748428229232649</v>
      </c>
      <c r="K2792" s="1" t="s">
        <v>181</v>
      </c>
    </row>
    <row r="2793" spans="1:11" x14ac:dyDescent="0.25">
      <c r="A2793" s="1" t="s">
        <v>8968</v>
      </c>
      <c r="B2793" s="1" t="s">
        <v>8969</v>
      </c>
      <c r="C2793" s="1" t="s">
        <v>8970</v>
      </c>
      <c r="D2793" s="1" t="s">
        <v>8971</v>
      </c>
      <c r="E2793" s="1" t="s">
        <v>178</v>
      </c>
      <c r="F2793" s="1" t="s">
        <v>5017</v>
      </c>
      <c r="G2793" s="1" t="s">
        <v>5018</v>
      </c>
      <c r="H2793" s="1">
        <v>0.1</v>
      </c>
      <c r="I2793" s="1">
        <v>0.1</v>
      </c>
      <c r="J2793" s="1">
        <v>0.83185257362832121</v>
      </c>
      <c r="K2793" s="1" t="s">
        <v>181</v>
      </c>
    </row>
    <row r="2794" spans="1:11" x14ac:dyDescent="0.25">
      <c r="A2794" s="1" t="s">
        <v>8972</v>
      </c>
      <c r="B2794" s="1" t="s">
        <v>8973</v>
      </c>
      <c r="C2794" s="1" t="s">
        <v>8974</v>
      </c>
      <c r="D2794" s="1" t="s">
        <v>8975</v>
      </c>
      <c r="E2794" s="1" t="s">
        <v>178</v>
      </c>
      <c r="F2794" s="1" t="s">
        <v>5017</v>
      </c>
      <c r="G2794" s="1" t="s">
        <v>5018</v>
      </c>
      <c r="H2794" s="1">
        <v>0.1</v>
      </c>
      <c r="I2794" s="1">
        <v>0.1</v>
      </c>
      <c r="J2794" s="1">
        <v>0.65823291188533806</v>
      </c>
      <c r="K2794" s="1" t="s">
        <v>181</v>
      </c>
    </row>
    <row r="2795" spans="1:11" x14ac:dyDescent="0.25">
      <c r="A2795" s="1" t="s">
        <v>8976</v>
      </c>
      <c r="B2795" s="1" t="s">
        <v>8977</v>
      </c>
      <c r="C2795" s="1" t="s">
        <v>8978</v>
      </c>
      <c r="D2795" s="1" t="s">
        <v>8979</v>
      </c>
      <c r="E2795" s="1" t="s">
        <v>178</v>
      </c>
      <c r="F2795" s="1" t="s">
        <v>5017</v>
      </c>
      <c r="G2795" s="1" t="s">
        <v>5018</v>
      </c>
      <c r="H2795" s="1">
        <v>0.1</v>
      </c>
      <c r="I2795" s="1">
        <v>0.1</v>
      </c>
      <c r="J2795" s="1">
        <v>0.69035454190236034</v>
      </c>
      <c r="K2795" s="1" t="s">
        <v>181</v>
      </c>
    </row>
    <row r="2796" spans="1:11" x14ac:dyDescent="0.25">
      <c r="A2796" s="1" t="s">
        <v>8980</v>
      </c>
      <c r="B2796" s="1" t="s">
        <v>8977</v>
      </c>
      <c r="C2796" s="1" t="s">
        <v>8981</v>
      </c>
      <c r="D2796" s="1" t="s">
        <v>8982</v>
      </c>
      <c r="E2796" s="1" t="s">
        <v>178</v>
      </c>
      <c r="F2796" s="1" t="s">
        <v>5017</v>
      </c>
      <c r="G2796" s="1" t="s">
        <v>5018</v>
      </c>
      <c r="H2796" s="1">
        <v>0.1</v>
      </c>
      <c r="I2796" s="1">
        <v>0.1</v>
      </c>
      <c r="J2796" s="1">
        <v>0.69035454190236034</v>
      </c>
      <c r="K2796" s="1" t="s">
        <v>181</v>
      </c>
    </row>
    <row r="2797" spans="1:11" x14ac:dyDescent="0.25">
      <c r="A2797" s="1" t="s">
        <v>8983</v>
      </c>
      <c r="B2797" s="1" t="s">
        <v>8977</v>
      </c>
      <c r="C2797" s="1" t="s">
        <v>8984</v>
      </c>
      <c r="D2797" s="1" t="s">
        <v>8985</v>
      </c>
      <c r="E2797" s="1" t="s">
        <v>178</v>
      </c>
      <c r="F2797" s="1" t="s">
        <v>5017</v>
      </c>
      <c r="G2797" s="1" t="s">
        <v>5018</v>
      </c>
      <c r="H2797" s="1">
        <v>0.1</v>
      </c>
      <c r="I2797" s="1">
        <v>0.1</v>
      </c>
      <c r="J2797" s="1">
        <v>0.67627236292525106</v>
      </c>
      <c r="K2797" s="1" t="s">
        <v>181</v>
      </c>
    </row>
    <row r="2798" spans="1:11" x14ac:dyDescent="0.25">
      <c r="A2798" s="1" t="s">
        <v>8986</v>
      </c>
      <c r="B2798" s="1" t="s">
        <v>8977</v>
      </c>
      <c r="C2798" s="1" t="s">
        <v>8987</v>
      </c>
      <c r="D2798" s="1" t="s">
        <v>8988</v>
      </c>
      <c r="E2798" s="1" t="s">
        <v>178</v>
      </c>
      <c r="F2798" s="1" t="s">
        <v>5017</v>
      </c>
      <c r="G2798" s="1" t="s">
        <v>5018</v>
      </c>
      <c r="H2798" s="1">
        <v>0.1</v>
      </c>
      <c r="I2798" s="1">
        <v>0.1</v>
      </c>
      <c r="J2798" s="1">
        <v>0.67627236292525106</v>
      </c>
      <c r="K2798" s="1" t="s">
        <v>181</v>
      </c>
    </row>
    <row r="2799" spans="1:11" x14ac:dyDescent="0.25">
      <c r="A2799" s="1" t="s">
        <v>8989</v>
      </c>
      <c r="B2799" s="1" t="s">
        <v>8990</v>
      </c>
      <c r="C2799" s="1" t="s">
        <v>8991</v>
      </c>
      <c r="D2799" s="1" t="s">
        <v>8992</v>
      </c>
      <c r="E2799" s="1" t="s">
        <v>178</v>
      </c>
      <c r="F2799" s="1" t="s">
        <v>5017</v>
      </c>
      <c r="G2799" s="1" t="s">
        <v>5018</v>
      </c>
      <c r="H2799" s="1">
        <v>0.1</v>
      </c>
      <c r="I2799" s="1">
        <v>0.1</v>
      </c>
      <c r="J2799" s="1">
        <v>0.55065367563467515</v>
      </c>
      <c r="K2799" s="1" t="s">
        <v>181</v>
      </c>
    </row>
    <row r="2800" spans="1:11" x14ac:dyDescent="0.25">
      <c r="A2800" s="1" t="s">
        <v>8993</v>
      </c>
      <c r="B2800" s="1" t="s">
        <v>8994</v>
      </c>
      <c r="C2800" s="1" t="s">
        <v>8995</v>
      </c>
      <c r="D2800" s="1" t="s">
        <v>8996</v>
      </c>
      <c r="E2800" s="1" t="s">
        <v>178</v>
      </c>
      <c r="F2800" s="1" t="s">
        <v>5017</v>
      </c>
      <c r="G2800" s="1" t="s">
        <v>5018</v>
      </c>
      <c r="H2800" s="1">
        <v>0.1</v>
      </c>
      <c r="I2800" s="1">
        <v>0.1</v>
      </c>
      <c r="J2800" s="1">
        <v>1.1936084158389852</v>
      </c>
      <c r="K2800" s="1" t="s">
        <v>181</v>
      </c>
    </row>
    <row r="2801" spans="1:11" x14ac:dyDescent="0.25">
      <c r="A2801" s="1" t="s">
        <v>8997</v>
      </c>
      <c r="B2801" s="1" t="s">
        <v>8994</v>
      </c>
      <c r="C2801" s="1" t="s">
        <v>8998</v>
      </c>
      <c r="D2801" s="1" t="s">
        <v>8999</v>
      </c>
      <c r="E2801" s="1" t="s">
        <v>178</v>
      </c>
      <c r="F2801" s="1" t="s">
        <v>5017</v>
      </c>
      <c r="G2801" s="1" t="s">
        <v>5018</v>
      </c>
      <c r="H2801" s="1">
        <v>0.1</v>
      </c>
      <c r="I2801" s="1">
        <v>0.1</v>
      </c>
      <c r="J2801" s="1">
        <v>0.84475654928158783</v>
      </c>
      <c r="K2801" s="1" t="s">
        <v>181</v>
      </c>
    </row>
    <row r="2802" spans="1:11" x14ac:dyDescent="0.25">
      <c r="A2802" s="1" t="s">
        <v>9000</v>
      </c>
      <c r="B2802" s="1" t="s">
        <v>6665</v>
      </c>
      <c r="C2802" s="1" t="s">
        <v>9001</v>
      </c>
      <c r="D2802" s="1" t="s">
        <v>9002</v>
      </c>
      <c r="E2802" s="1" t="s">
        <v>178</v>
      </c>
      <c r="F2802" s="1" t="s">
        <v>5017</v>
      </c>
      <c r="G2802" s="1" t="s">
        <v>5018</v>
      </c>
      <c r="H2802" s="1">
        <v>0.1</v>
      </c>
      <c r="I2802" s="1">
        <v>0.1</v>
      </c>
      <c r="J2802" s="1">
        <v>1.1343367318790054</v>
      </c>
      <c r="K2802" s="1" t="s">
        <v>181</v>
      </c>
    </row>
    <row r="2803" spans="1:11" x14ac:dyDescent="0.25">
      <c r="A2803" s="1" t="s">
        <v>9003</v>
      </c>
      <c r="B2803" s="1" t="s">
        <v>9004</v>
      </c>
      <c r="C2803" s="1" t="s">
        <v>9005</v>
      </c>
      <c r="D2803" s="1" t="s">
        <v>9006</v>
      </c>
      <c r="E2803" s="1" t="s">
        <v>178</v>
      </c>
      <c r="F2803" s="1" t="s">
        <v>5017</v>
      </c>
      <c r="G2803" s="1" t="s">
        <v>5018</v>
      </c>
      <c r="H2803" s="1">
        <v>0.1</v>
      </c>
      <c r="I2803" s="1">
        <v>0.1</v>
      </c>
      <c r="J2803" s="1">
        <v>0.62360948089099721</v>
      </c>
      <c r="K2803" s="1" t="s">
        <v>181</v>
      </c>
    </row>
    <row r="2804" spans="1:11" x14ac:dyDescent="0.25">
      <c r="A2804" s="1" t="s">
        <v>9007</v>
      </c>
      <c r="B2804" s="1" t="s">
        <v>9008</v>
      </c>
      <c r="C2804" s="1" t="s">
        <v>9009</v>
      </c>
      <c r="D2804" s="1" t="s">
        <v>9010</v>
      </c>
      <c r="E2804" s="1" t="s">
        <v>178</v>
      </c>
      <c r="F2804" s="1" t="s">
        <v>5017</v>
      </c>
      <c r="G2804" s="1" t="s">
        <v>5018</v>
      </c>
      <c r="H2804" s="1">
        <v>0.1</v>
      </c>
      <c r="I2804" s="1">
        <v>0.1</v>
      </c>
      <c r="J2804" s="1">
        <v>0.72367204287553877</v>
      </c>
      <c r="K2804" s="1" t="s">
        <v>181</v>
      </c>
    </row>
    <row r="2805" spans="1:11" x14ac:dyDescent="0.25">
      <c r="A2805" s="1" t="s">
        <v>9011</v>
      </c>
      <c r="B2805" s="1" t="s">
        <v>9012</v>
      </c>
      <c r="C2805" s="1" t="s">
        <v>9013</v>
      </c>
      <c r="D2805" s="1" t="s">
        <v>9014</v>
      </c>
      <c r="E2805" s="1" t="s">
        <v>178</v>
      </c>
      <c r="F2805" s="1" t="s">
        <v>5017</v>
      </c>
      <c r="G2805" s="1" t="s">
        <v>5018</v>
      </c>
      <c r="H2805" s="1">
        <v>0.1</v>
      </c>
      <c r="I2805" s="1">
        <v>0.1</v>
      </c>
      <c r="J2805" s="1">
        <v>0.5045724415341527</v>
      </c>
      <c r="K2805" s="1" t="s">
        <v>181</v>
      </c>
    </row>
    <row r="2806" spans="1:11" x14ac:dyDescent="0.25">
      <c r="A2806" s="1" t="s">
        <v>9015</v>
      </c>
      <c r="B2806" s="1" t="s">
        <v>9016</v>
      </c>
      <c r="C2806" s="1" t="s">
        <v>9017</v>
      </c>
      <c r="D2806" s="1" t="s">
        <v>9018</v>
      </c>
      <c r="E2806" s="1" t="s">
        <v>178</v>
      </c>
      <c r="F2806" s="1" t="s">
        <v>5017</v>
      </c>
      <c r="G2806" s="1" t="s">
        <v>5018</v>
      </c>
      <c r="H2806" s="1">
        <v>0.1</v>
      </c>
      <c r="I2806" s="1">
        <v>0.1</v>
      </c>
      <c r="J2806" s="1">
        <v>0.54557883785876304</v>
      </c>
      <c r="K2806" s="1" t="s">
        <v>181</v>
      </c>
    </row>
    <row r="2807" spans="1:11" x14ac:dyDescent="0.25">
      <c r="A2807" s="1" t="s">
        <v>9019</v>
      </c>
      <c r="B2807" s="1" t="s">
        <v>8272</v>
      </c>
      <c r="C2807" s="1" t="s">
        <v>9020</v>
      </c>
      <c r="D2807" s="1" t="s">
        <v>9021</v>
      </c>
      <c r="E2807" s="1" t="s">
        <v>178</v>
      </c>
      <c r="F2807" s="1" t="s">
        <v>5017</v>
      </c>
      <c r="G2807" s="1" t="s">
        <v>5018</v>
      </c>
      <c r="H2807" s="1">
        <v>0.1</v>
      </c>
      <c r="I2807" s="1">
        <v>0.1</v>
      </c>
      <c r="J2807" s="1">
        <v>0.60995963933347852</v>
      </c>
      <c r="K2807" s="1" t="s">
        <v>181</v>
      </c>
    </row>
    <row r="2808" spans="1:11" x14ac:dyDescent="0.25">
      <c r="A2808" s="1" t="s">
        <v>9022</v>
      </c>
      <c r="B2808" s="1" t="s">
        <v>9023</v>
      </c>
      <c r="C2808" s="1" t="s">
        <v>9024</v>
      </c>
      <c r="D2808" s="1" t="s">
        <v>9025</v>
      </c>
      <c r="E2808" s="1" t="s">
        <v>178</v>
      </c>
      <c r="F2808" s="1" t="s">
        <v>5017</v>
      </c>
      <c r="G2808" s="1" t="s">
        <v>5018</v>
      </c>
      <c r="H2808" s="1">
        <v>0.1</v>
      </c>
      <c r="I2808" s="1">
        <v>0.1</v>
      </c>
      <c r="J2808" s="1">
        <v>0.55740515942509949</v>
      </c>
      <c r="K2808" s="1" t="s">
        <v>181</v>
      </c>
    </row>
    <row r="2809" spans="1:11" x14ac:dyDescent="0.25">
      <c r="A2809" s="1" t="s">
        <v>9026</v>
      </c>
      <c r="B2809" s="1" t="s">
        <v>7762</v>
      </c>
      <c r="C2809" s="1" t="s">
        <v>9027</v>
      </c>
      <c r="D2809" s="1" t="s">
        <v>9028</v>
      </c>
      <c r="E2809" s="1" t="s">
        <v>178</v>
      </c>
      <c r="F2809" s="1" t="s">
        <v>5017</v>
      </c>
      <c r="G2809" s="1" t="s">
        <v>5018</v>
      </c>
      <c r="H2809" s="1">
        <v>0.1</v>
      </c>
      <c r="I2809" s="1">
        <v>0.1</v>
      </c>
      <c r="J2809" s="1">
        <v>0.7258742279835465</v>
      </c>
      <c r="K2809" s="1" t="s">
        <v>181</v>
      </c>
    </row>
    <row r="2810" spans="1:11" x14ac:dyDescent="0.25">
      <c r="A2810" s="1" t="s">
        <v>9029</v>
      </c>
      <c r="B2810" s="1" t="s">
        <v>7762</v>
      </c>
      <c r="C2810" s="1" t="s">
        <v>9030</v>
      </c>
      <c r="D2810" s="1" t="s">
        <v>9031</v>
      </c>
      <c r="E2810" s="1" t="s">
        <v>178</v>
      </c>
      <c r="F2810" s="1" t="s">
        <v>5017</v>
      </c>
      <c r="G2810" s="1" t="s">
        <v>5018</v>
      </c>
      <c r="H2810" s="1">
        <v>0.1</v>
      </c>
      <c r="I2810" s="1">
        <v>0.1</v>
      </c>
      <c r="J2810" s="1">
        <v>0.73835566956273857</v>
      </c>
      <c r="K2810" s="1" t="s">
        <v>181</v>
      </c>
    </row>
    <row r="2811" spans="1:11" x14ac:dyDescent="0.25">
      <c r="A2811" s="1" t="s">
        <v>9032</v>
      </c>
      <c r="B2811" s="1" t="s">
        <v>7762</v>
      </c>
      <c r="C2811" s="1" t="s">
        <v>9033</v>
      </c>
      <c r="D2811" s="1" t="s">
        <v>9034</v>
      </c>
      <c r="E2811" s="1" t="s">
        <v>178</v>
      </c>
      <c r="F2811" s="1" t="s">
        <v>5017</v>
      </c>
      <c r="G2811" s="1" t="s">
        <v>5018</v>
      </c>
      <c r="H2811" s="1">
        <v>0.1</v>
      </c>
      <c r="I2811" s="1">
        <v>0.1</v>
      </c>
      <c r="J2811" s="1">
        <v>0.72263513923340805</v>
      </c>
      <c r="K2811" s="1" t="s">
        <v>181</v>
      </c>
    </row>
    <row r="2812" spans="1:11" x14ac:dyDescent="0.25">
      <c r="A2812" s="1" t="s">
        <v>9035</v>
      </c>
      <c r="B2812" s="1" t="s">
        <v>6665</v>
      </c>
      <c r="C2812" s="1" t="s">
        <v>9036</v>
      </c>
      <c r="D2812" s="1" t="s">
        <v>9037</v>
      </c>
      <c r="E2812" s="1" t="s">
        <v>178</v>
      </c>
      <c r="F2812" s="1" t="s">
        <v>5017</v>
      </c>
      <c r="G2812" s="1" t="s">
        <v>5018</v>
      </c>
      <c r="H2812" s="1">
        <v>0.1</v>
      </c>
      <c r="I2812" s="1">
        <v>0.1</v>
      </c>
      <c r="J2812" s="1">
        <v>0.9541665882330872</v>
      </c>
      <c r="K2812" s="1" t="s">
        <v>181</v>
      </c>
    </row>
    <row r="2813" spans="1:11" x14ac:dyDescent="0.25">
      <c r="A2813" s="1" t="s">
        <v>9038</v>
      </c>
      <c r="B2813" s="1" t="s">
        <v>6661</v>
      </c>
      <c r="C2813" s="1" t="s">
        <v>9039</v>
      </c>
      <c r="D2813" s="1" t="s">
        <v>9040</v>
      </c>
      <c r="E2813" s="1" t="s">
        <v>178</v>
      </c>
      <c r="F2813" s="1" t="s">
        <v>5017</v>
      </c>
      <c r="G2813" s="1" t="s">
        <v>5018</v>
      </c>
      <c r="H2813" s="1">
        <v>0.1</v>
      </c>
      <c r="I2813" s="1">
        <v>0.1</v>
      </c>
      <c r="J2813" s="1">
        <v>1.0289390111161705</v>
      </c>
      <c r="K2813" s="1" t="s">
        <v>181</v>
      </c>
    </row>
    <row r="2814" spans="1:11" x14ac:dyDescent="0.25">
      <c r="A2814" s="1" t="s">
        <v>9041</v>
      </c>
      <c r="B2814" s="1" t="s">
        <v>7067</v>
      </c>
      <c r="C2814" s="1" t="s">
        <v>9042</v>
      </c>
      <c r="D2814" s="1" t="s">
        <v>9043</v>
      </c>
      <c r="E2814" s="1" t="s">
        <v>178</v>
      </c>
      <c r="F2814" s="1" t="s">
        <v>5017</v>
      </c>
      <c r="G2814" s="1" t="s">
        <v>5018</v>
      </c>
      <c r="H2814" s="1">
        <v>0.1</v>
      </c>
      <c r="I2814" s="1">
        <v>0.1</v>
      </c>
      <c r="J2814" s="1">
        <v>0.74982994316452345</v>
      </c>
      <c r="K2814" s="1" t="s">
        <v>181</v>
      </c>
    </row>
    <row r="2815" spans="1:11" x14ac:dyDescent="0.25">
      <c r="A2815" s="1" t="s">
        <v>9044</v>
      </c>
      <c r="B2815" s="1" t="s">
        <v>9045</v>
      </c>
      <c r="C2815" s="1" t="s">
        <v>9046</v>
      </c>
      <c r="D2815" s="1" t="s">
        <v>9047</v>
      </c>
      <c r="E2815" s="1" t="s">
        <v>178</v>
      </c>
      <c r="F2815" s="1" t="s">
        <v>5017</v>
      </c>
      <c r="G2815" s="1" t="s">
        <v>5018</v>
      </c>
      <c r="H2815" s="1">
        <v>0.1</v>
      </c>
      <c r="I2815" s="1">
        <v>0.1</v>
      </c>
      <c r="J2815" s="1">
        <v>0.56688230371533854</v>
      </c>
      <c r="K2815" s="1" t="s">
        <v>181</v>
      </c>
    </row>
    <row r="2816" spans="1:11" x14ac:dyDescent="0.25">
      <c r="A2816" s="1" t="s">
        <v>9048</v>
      </c>
      <c r="B2816" s="1" t="s">
        <v>9049</v>
      </c>
      <c r="C2816" s="1" t="s">
        <v>9050</v>
      </c>
      <c r="D2816" s="1" t="s">
        <v>9051</v>
      </c>
      <c r="E2816" s="1" t="s">
        <v>178</v>
      </c>
      <c r="F2816" s="1" t="s">
        <v>5017</v>
      </c>
      <c r="G2816" s="1" t="s">
        <v>5018</v>
      </c>
      <c r="H2816" s="1">
        <v>0.1</v>
      </c>
      <c r="I2816" s="1">
        <v>0.1</v>
      </c>
      <c r="J2816" s="1">
        <v>0.44226154851707722</v>
      </c>
      <c r="K2816" s="1" t="s">
        <v>181</v>
      </c>
    </row>
    <row r="2817" spans="1:11" x14ac:dyDescent="0.25">
      <c r="A2817" s="1" t="s">
        <v>9052</v>
      </c>
      <c r="B2817" s="1" t="s">
        <v>9053</v>
      </c>
      <c r="C2817" s="1" t="s">
        <v>9054</v>
      </c>
      <c r="D2817" s="1" t="s">
        <v>9055</v>
      </c>
      <c r="E2817" s="1" t="s">
        <v>178</v>
      </c>
      <c r="F2817" s="1" t="s">
        <v>5017</v>
      </c>
      <c r="G2817" s="1" t="s">
        <v>5018</v>
      </c>
      <c r="H2817" s="1">
        <v>0.1</v>
      </c>
      <c r="I2817" s="1">
        <v>0.1</v>
      </c>
      <c r="J2817" s="1">
        <v>0.91838934307612474</v>
      </c>
      <c r="K2817" s="1" t="s">
        <v>181</v>
      </c>
    </row>
    <row r="2818" spans="1:11" x14ac:dyDescent="0.25">
      <c r="A2818" s="1" t="s">
        <v>9056</v>
      </c>
      <c r="B2818" s="1" t="s">
        <v>6665</v>
      </c>
      <c r="C2818" s="1" t="s">
        <v>9057</v>
      </c>
      <c r="D2818" s="1" t="s">
        <v>9058</v>
      </c>
      <c r="E2818" s="1" t="s">
        <v>178</v>
      </c>
      <c r="F2818" s="1" t="s">
        <v>5017</v>
      </c>
      <c r="G2818" s="1" t="s">
        <v>5018</v>
      </c>
      <c r="H2818" s="1">
        <v>0.1</v>
      </c>
      <c r="I2818" s="1">
        <v>0.1</v>
      </c>
      <c r="J2818" s="1">
        <v>1.105072756875028</v>
      </c>
      <c r="K2818" s="1" t="s">
        <v>181</v>
      </c>
    </row>
    <row r="2819" spans="1:11" x14ac:dyDescent="0.25">
      <c r="A2819" s="1" t="s">
        <v>9059</v>
      </c>
      <c r="B2819" s="1" t="s">
        <v>6661</v>
      </c>
      <c r="C2819" s="1" t="s">
        <v>9060</v>
      </c>
      <c r="D2819" s="1" t="s">
        <v>9061</v>
      </c>
      <c r="E2819" s="1" t="s">
        <v>178</v>
      </c>
      <c r="F2819" s="1" t="s">
        <v>5017</v>
      </c>
      <c r="G2819" s="1" t="s">
        <v>5018</v>
      </c>
      <c r="H2819" s="1">
        <v>0.1</v>
      </c>
      <c r="I2819" s="1">
        <v>0.1</v>
      </c>
      <c r="J2819" s="1">
        <v>1.1916708085282992</v>
      </c>
      <c r="K2819" s="1" t="s">
        <v>181</v>
      </c>
    </row>
    <row r="2820" spans="1:11" x14ac:dyDescent="0.25">
      <c r="A2820" s="1" t="s">
        <v>9062</v>
      </c>
      <c r="B2820" s="1" t="s">
        <v>7067</v>
      </c>
      <c r="C2820" s="1" t="s">
        <v>9063</v>
      </c>
      <c r="D2820" s="1" t="s">
        <v>9064</v>
      </c>
      <c r="E2820" s="1" t="s">
        <v>178</v>
      </c>
      <c r="F2820" s="1" t="s">
        <v>5017</v>
      </c>
      <c r="G2820" s="1" t="s">
        <v>5018</v>
      </c>
      <c r="H2820" s="1">
        <v>0.1</v>
      </c>
      <c r="I2820" s="1">
        <v>0.1</v>
      </c>
      <c r="J2820" s="1">
        <v>0.86841926001065151</v>
      </c>
      <c r="K2820" s="1" t="s">
        <v>181</v>
      </c>
    </row>
    <row r="2821" spans="1:11" x14ac:dyDescent="0.25">
      <c r="A2821" s="1" t="s">
        <v>9065</v>
      </c>
      <c r="B2821" s="1" t="s">
        <v>9045</v>
      </c>
      <c r="C2821" s="1" t="s">
        <v>9066</v>
      </c>
      <c r="D2821" s="1" t="s">
        <v>9067</v>
      </c>
      <c r="E2821" s="1" t="s">
        <v>178</v>
      </c>
      <c r="F2821" s="1" t="s">
        <v>5017</v>
      </c>
      <c r="G2821" s="1" t="s">
        <v>5018</v>
      </c>
      <c r="H2821" s="1">
        <v>0.1</v>
      </c>
      <c r="I2821" s="1">
        <v>0.1</v>
      </c>
      <c r="J2821" s="1">
        <v>0.65653754587070667</v>
      </c>
      <c r="K2821" s="1" t="s">
        <v>181</v>
      </c>
    </row>
    <row r="2822" spans="1:11" x14ac:dyDescent="0.25">
      <c r="A2822" s="1" t="s">
        <v>9068</v>
      </c>
      <c r="B2822" s="1" t="s">
        <v>9069</v>
      </c>
      <c r="C2822" s="1" t="s">
        <v>9070</v>
      </c>
      <c r="D2822" s="1" t="s">
        <v>9071</v>
      </c>
      <c r="E2822" s="1" t="s">
        <v>178</v>
      </c>
      <c r="F2822" s="1" t="s">
        <v>5017</v>
      </c>
      <c r="G2822" s="1" t="s">
        <v>5018</v>
      </c>
      <c r="H2822" s="1">
        <v>0.1</v>
      </c>
      <c r="I2822" s="1">
        <v>0.1</v>
      </c>
      <c r="J2822" s="1">
        <v>1.0423044325909296</v>
      </c>
      <c r="K2822" s="1" t="s">
        <v>181</v>
      </c>
    </row>
    <row r="2823" spans="1:11" x14ac:dyDescent="0.25">
      <c r="A2823" s="1" t="s">
        <v>9072</v>
      </c>
      <c r="B2823" s="1" t="s">
        <v>7766</v>
      </c>
      <c r="C2823" s="1" t="s">
        <v>9073</v>
      </c>
      <c r="D2823" s="1" t="s">
        <v>9074</v>
      </c>
      <c r="E2823" s="1" t="s">
        <v>178</v>
      </c>
      <c r="F2823" s="1" t="s">
        <v>5017</v>
      </c>
      <c r="G2823" s="1" t="s">
        <v>5018</v>
      </c>
      <c r="H2823" s="1">
        <v>0.1</v>
      </c>
      <c r="I2823" s="1">
        <v>0.1</v>
      </c>
      <c r="J2823" s="1">
        <v>0.80513512005736187</v>
      </c>
      <c r="K2823" s="1" t="s">
        <v>181</v>
      </c>
    </row>
    <row r="2824" spans="1:11" x14ac:dyDescent="0.25">
      <c r="A2824" s="1" t="s">
        <v>9075</v>
      </c>
      <c r="B2824" s="1" t="s">
        <v>6661</v>
      </c>
      <c r="C2824" s="1" t="s">
        <v>9076</v>
      </c>
      <c r="D2824" s="1" t="s">
        <v>9077</v>
      </c>
      <c r="E2824" s="1" t="s">
        <v>178</v>
      </c>
      <c r="F2824" s="1" t="s">
        <v>5017</v>
      </c>
      <c r="G2824" s="1" t="s">
        <v>5018</v>
      </c>
      <c r="H2824" s="1">
        <v>0.1</v>
      </c>
      <c r="I2824" s="1">
        <v>0.1</v>
      </c>
      <c r="J2824" s="1">
        <v>1.1197626772948321</v>
      </c>
      <c r="K2824" s="1" t="s">
        <v>181</v>
      </c>
    </row>
    <row r="2825" spans="1:11" x14ac:dyDescent="0.25">
      <c r="A2825" s="1" t="s">
        <v>9078</v>
      </c>
      <c r="B2825" s="1" t="s">
        <v>7067</v>
      </c>
      <c r="C2825" s="1" t="s">
        <v>9079</v>
      </c>
      <c r="D2825" s="1" t="s">
        <v>9080</v>
      </c>
      <c r="E2825" s="1" t="s">
        <v>178</v>
      </c>
      <c r="F2825" s="1" t="s">
        <v>5017</v>
      </c>
      <c r="G2825" s="1" t="s">
        <v>5018</v>
      </c>
      <c r="H2825" s="1">
        <v>0.1</v>
      </c>
      <c r="I2825" s="1">
        <v>0.1</v>
      </c>
      <c r="J2825" s="1">
        <v>0.81601686358740033</v>
      </c>
      <c r="K2825" s="1" t="s">
        <v>181</v>
      </c>
    </row>
    <row r="2826" spans="1:11" x14ac:dyDescent="0.25">
      <c r="A2826" s="1" t="s">
        <v>9081</v>
      </c>
      <c r="B2826" s="1" t="s">
        <v>9082</v>
      </c>
      <c r="C2826" s="1" t="s">
        <v>9083</v>
      </c>
      <c r="D2826" s="1" t="s">
        <v>9084</v>
      </c>
      <c r="E2826" s="1" t="s">
        <v>178</v>
      </c>
      <c r="F2826" s="1" t="s">
        <v>5017</v>
      </c>
      <c r="G2826" s="1" t="s">
        <v>5018</v>
      </c>
      <c r="H2826" s="1">
        <v>0.1</v>
      </c>
      <c r="I2826" s="1">
        <v>0.1</v>
      </c>
      <c r="J2826" s="1">
        <v>1.0467343093271972</v>
      </c>
      <c r="K2826" s="1" t="s">
        <v>181</v>
      </c>
    </row>
    <row r="2827" spans="1:11" x14ac:dyDescent="0.25">
      <c r="A2827" s="1" t="s">
        <v>9085</v>
      </c>
      <c r="B2827" s="1" t="s">
        <v>6665</v>
      </c>
      <c r="C2827" s="1" t="s">
        <v>9086</v>
      </c>
      <c r="D2827" s="1" t="s">
        <v>9087</v>
      </c>
      <c r="E2827" s="1" t="s">
        <v>178</v>
      </c>
      <c r="F2827" s="1" t="s">
        <v>5017</v>
      </c>
      <c r="G2827" s="1" t="s">
        <v>5018</v>
      </c>
      <c r="H2827" s="1">
        <v>0.1</v>
      </c>
      <c r="I2827" s="1">
        <v>0.1</v>
      </c>
      <c r="J2827" s="1">
        <v>1.0383901493501904</v>
      </c>
      <c r="K2827" s="1" t="s">
        <v>181</v>
      </c>
    </row>
    <row r="2828" spans="1:11" x14ac:dyDescent="0.25">
      <c r="A2828" s="1" t="s">
        <v>9088</v>
      </c>
      <c r="B2828" s="1" t="s">
        <v>9045</v>
      </c>
      <c r="C2828" s="1" t="s">
        <v>9089</v>
      </c>
      <c r="D2828" s="1" t="s">
        <v>9090</v>
      </c>
      <c r="E2828" s="1" t="s">
        <v>178</v>
      </c>
      <c r="F2828" s="1" t="s">
        <v>5017</v>
      </c>
      <c r="G2828" s="1" t="s">
        <v>5018</v>
      </c>
      <c r="H2828" s="1">
        <v>0.1</v>
      </c>
      <c r="I2828" s="1">
        <v>0.1</v>
      </c>
      <c r="J2828" s="1">
        <v>0.61692057474889705</v>
      </c>
      <c r="K2828" s="1" t="s">
        <v>181</v>
      </c>
    </row>
    <row r="2829" spans="1:11" x14ac:dyDescent="0.25">
      <c r="A2829" s="1" t="s">
        <v>9091</v>
      </c>
      <c r="B2829" s="1" t="s">
        <v>9092</v>
      </c>
      <c r="C2829" s="1" t="s">
        <v>9093</v>
      </c>
      <c r="D2829" s="1" t="s">
        <v>9094</v>
      </c>
      <c r="E2829" s="1" t="s">
        <v>178</v>
      </c>
      <c r="F2829" s="1" t="s">
        <v>5017</v>
      </c>
      <c r="G2829" s="1" t="s">
        <v>5018</v>
      </c>
      <c r="H2829" s="1">
        <v>0.1</v>
      </c>
      <c r="I2829" s="1">
        <v>0.1</v>
      </c>
      <c r="J2829" s="1">
        <v>0.83890600928277614</v>
      </c>
      <c r="K2829" s="1" t="s">
        <v>181</v>
      </c>
    </row>
    <row r="2830" spans="1:11" x14ac:dyDescent="0.25">
      <c r="A2830" s="1" t="s">
        <v>9095</v>
      </c>
      <c r="B2830" s="1" t="s">
        <v>9096</v>
      </c>
      <c r="C2830" s="1" t="s">
        <v>9097</v>
      </c>
      <c r="D2830" s="1" t="s">
        <v>9098</v>
      </c>
      <c r="E2830" s="1" t="s">
        <v>178</v>
      </c>
      <c r="F2830" s="1" t="s">
        <v>5017</v>
      </c>
      <c r="G2830" s="1" t="s">
        <v>5018</v>
      </c>
      <c r="H2830" s="1">
        <v>0.1</v>
      </c>
      <c r="I2830" s="1">
        <v>0.1</v>
      </c>
      <c r="J2830" s="1">
        <v>0.97414449192459784</v>
      </c>
      <c r="K2830" s="1" t="s">
        <v>181</v>
      </c>
    </row>
    <row r="2831" spans="1:11" x14ac:dyDescent="0.25">
      <c r="A2831" s="1" t="s">
        <v>9099</v>
      </c>
      <c r="B2831" s="1" t="s">
        <v>9100</v>
      </c>
      <c r="C2831" s="1" t="s">
        <v>9101</v>
      </c>
      <c r="D2831" s="1" t="s">
        <v>9102</v>
      </c>
      <c r="E2831" s="1" t="s">
        <v>178</v>
      </c>
      <c r="F2831" s="1" t="s">
        <v>5017</v>
      </c>
      <c r="G2831" s="1" t="s">
        <v>5018</v>
      </c>
      <c r="H2831" s="1">
        <v>0.1</v>
      </c>
      <c r="I2831" s="1">
        <v>0.1</v>
      </c>
      <c r="J2831" s="1">
        <v>0.78993916016209498</v>
      </c>
      <c r="K2831" s="1" t="s">
        <v>181</v>
      </c>
    </row>
    <row r="2832" spans="1:11" x14ac:dyDescent="0.25">
      <c r="A2832" s="1" t="s">
        <v>9103</v>
      </c>
      <c r="B2832" s="1" t="s">
        <v>9104</v>
      </c>
      <c r="C2832" s="1" t="s">
        <v>9105</v>
      </c>
      <c r="D2832" s="1" t="s">
        <v>9106</v>
      </c>
      <c r="E2832" s="1" t="s">
        <v>178</v>
      </c>
      <c r="F2832" s="1" t="s">
        <v>5017</v>
      </c>
      <c r="G2832" s="1" t="s">
        <v>5018</v>
      </c>
      <c r="H2832" s="1">
        <v>0.1</v>
      </c>
      <c r="I2832" s="1">
        <v>0.1</v>
      </c>
      <c r="J2832" s="1">
        <v>0.73342018985848245</v>
      </c>
      <c r="K2832" s="1" t="s">
        <v>181</v>
      </c>
    </row>
    <row r="2833" spans="1:11" x14ac:dyDescent="0.25">
      <c r="A2833" s="1" t="s">
        <v>40</v>
      </c>
      <c r="B2833" s="1" t="s">
        <v>9107</v>
      </c>
      <c r="C2833" s="1" t="s">
        <v>9108</v>
      </c>
      <c r="D2833" s="1" t="s">
        <v>9109</v>
      </c>
      <c r="E2833" s="1" t="s">
        <v>178</v>
      </c>
      <c r="F2833" s="1" t="s">
        <v>5017</v>
      </c>
      <c r="G2833" s="1" t="s">
        <v>5018</v>
      </c>
      <c r="H2833" s="1">
        <v>0.1</v>
      </c>
      <c r="I2833" s="1">
        <v>0.1</v>
      </c>
      <c r="J2833" s="1">
        <v>1.5434419425088095</v>
      </c>
      <c r="K2833" s="1" t="s">
        <v>181</v>
      </c>
    </row>
    <row r="2834" spans="1:11" x14ac:dyDescent="0.25">
      <c r="A2834" s="1" t="s">
        <v>9110</v>
      </c>
      <c r="B2834" s="1" t="s">
        <v>9111</v>
      </c>
      <c r="C2834" s="1" t="s">
        <v>9112</v>
      </c>
      <c r="D2834" s="1" t="s">
        <v>9113</v>
      </c>
      <c r="E2834" s="1" t="s">
        <v>178</v>
      </c>
      <c r="F2834" s="1" t="s">
        <v>5017</v>
      </c>
      <c r="G2834" s="1" t="s">
        <v>5018</v>
      </c>
      <c r="H2834" s="1">
        <v>0.1</v>
      </c>
      <c r="I2834" s="1">
        <v>0.1</v>
      </c>
      <c r="J2834" s="1">
        <v>0.85299916981116064</v>
      </c>
      <c r="K2834" s="1" t="s">
        <v>181</v>
      </c>
    </row>
    <row r="2835" spans="1:11" x14ac:dyDescent="0.25">
      <c r="A2835" s="1" t="s">
        <v>9114</v>
      </c>
      <c r="B2835" s="1" t="s">
        <v>7801</v>
      </c>
      <c r="C2835" s="1" t="s">
        <v>9115</v>
      </c>
      <c r="D2835" s="1" t="s">
        <v>9116</v>
      </c>
      <c r="E2835" s="1" t="s">
        <v>178</v>
      </c>
      <c r="F2835" s="1" t="s">
        <v>5017</v>
      </c>
      <c r="G2835" s="1" t="s">
        <v>5018</v>
      </c>
      <c r="H2835" s="1">
        <v>0.1</v>
      </c>
      <c r="I2835" s="1">
        <v>0.1</v>
      </c>
      <c r="J2835" s="1">
        <v>0.84133025870770362</v>
      </c>
      <c r="K2835" s="1" t="s">
        <v>181</v>
      </c>
    </row>
    <row r="2836" spans="1:11" x14ac:dyDescent="0.25">
      <c r="A2836" s="1" t="s">
        <v>9117</v>
      </c>
      <c r="B2836" s="1" t="s">
        <v>7773</v>
      </c>
      <c r="C2836" s="1" t="s">
        <v>9118</v>
      </c>
      <c r="D2836" s="1" t="s">
        <v>9119</v>
      </c>
      <c r="E2836" s="1" t="s">
        <v>178</v>
      </c>
      <c r="F2836" s="1" t="s">
        <v>5017</v>
      </c>
      <c r="G2836" s="1" t="s">
        <v>5018</v>
      </c>
      <c r="H2836" s="1">
        <v>0.1</v>
      </c>
      <c r="I2836" s="1">
        <v>0.1</v>
      </c>
      <c r="J2836" s="1">
        <v>0.49905373213305931</v>
      </c>
      <c r="K2836" s="1" t="s">
        <v>181</v>
      </c>
    </row>
    <row r="2837" spans="1:11" x14ac:dyDescent="0.25">
      <c r="A2837" s="1" t="s">
        <v>9120</v>
      </c>
      <c r="B2837" s="1" t="s">
        <v>9121</v>
      </c>
      <c r="C2837" s="1" t="s">
        <v>9122</v>
      </c>
      <c r="D2837" s="1" t="s">
        <v>9123</v>
      </c>
      <c r="E2837" s="1" t="s">
        <v>178</v>
      </c>
      <c r="F2837" s="1" t="s">
        <v>5017</v>
      </c>
      <c r="G2837" s="1" t="s">
        <v>5018</v>
      </c>
      <c r="H2837" s="1">
        <v>0.1</v>
      </c>
      <c r="I2837" s="1">
        <v>0.1</v>
      </c>
      <c r="J2837" s="1">
        <v>0.91499311727433164</v>
      </c>
      <c r="K2837" s="1" t="s">
        <v>181</v>
      </c>
    </row>
    <row r="2838" spans="1:11" x14ac:dyDescent="0.25">
      <c r="A2838" s="1" t="s">
        <v>9124</v>
      </c>
      <c r="B2838" s="1" t="s">
        <v>8534</v>
      </c>
      <c r="C2838" s="1" t="s">
        <v>9125</v>
      </c>
      <c r="D2838" s="1" t="s">
        <v>9126</v>
      </c>
      <c r="E2838" s="1" t="s">
        <v>178</v>
      </c>
      <c r="F2838" s="1" t="s">
        <v>5017</v>
      </c>
      <c r="G2838" s="1" t="s">
        <v>5018</v>
      </c>
      <c r="H2838" s="1">
        <v>0.1</v>
      </c>
      <c r="I2838" s="1">
        <v>0.1</v>
      </c>
      <c r="J2838" s="1">
        <v>0.93087165424215579</v>
      </c>
      <c r="K2838" s="1" t="s">
        <v>181</v>
      </c>
    </row>
    <row r="2839" spans="1:11" x14ac:dyDescent="0.25">
      <c r="A2839" s="1" t="s">
        <v>9127</v>
      </c>
      <c r="B2839" s="1" t="s">
        <v>8534</v>
      </c>
      <c r="C2839" s="1" t="s">
        <v>9128</v>
      </c>
      <c r="D2839" s="1" t="s">
        <v>9129</v>
      </c>
      <c r="E2839" s="1" t="s">
        <v>178</v>
      </c>
      <c r="F2839" s="1" t="s">
        <v>5017</v>
      </c>
      <c r="G2839" s="1" t="s">
        <v>5018</v>
      </c>
      <c r="H2839" s="1">
        <v>0.1</v>
      </c>
      <c r="I2839" s="1">
        <v>0.1</v>
      </c>
      <c r="J2839" s="1">
        <v>0.93087165424215579</v>
      </c>
      <c r="K2839" s="1" t="s">
        <v>181</v>
      </c>
    </row>
    <row r="2840" spans="1:11" x14ac:dyDescent="0.25">
      <c r="A2840" s="1" t="s">
        <v>9130</v>
      </c>
      <c r="B2840" s="1" t="s">
        <v>9131</v>
      </c>
      <c r="C2840" s="1" t="s">
        <v>9132</v>
      </c>
      <c r="D2840" s="1" t="s">
        <v>9133</v>
      </c>
      <c r="E2840" s="1" t="s">
        <v>178</v>
      </c>
      <c r="F2840" s="1" t="s">
        <v>5017</v>
      </c>
      <c r="G2840" s="1" t="s">
        <v>5018</v>
      </c>
      <c r="H2840" s="1">
        <v>0.1</v>
      </c>
      <c r="I2840" s="1">
        <v>0.1</v>
      </c>
      <c r="J2840" s="1">
        <v>0.90272171854879324</v>
      </c>
      <c r="K2840" s="1" t="s">
        <v>181</v>
      </c>
    </row>
    <row r="2841" spans="1:11" x14ac:dyDescent="0.25">
      <c r="A2841" s="1" t="s">
        <v>9134</v>
      </c>
      <c r="B2841" s="1" t="s">
        <v>7720</v>
      </c>
      <c r="C2841" s="1" t="s">
        <v>9135</v>
      </c>
      <c r="D2841" s="1" t="s">
        <v>9136</v>
      </c>
      <c r="E2841" s="1" t="s">
        <v>178</v>
      </c>
      <c r="F2841" s="1" t="s">
        <v>5017</v>
      </c>
      <c r="G2841" s="1" t="s">
        <v>5018</v>
      </c>
      <c r="H2841" s="1">
        <v>0.1</v>
      </c>
      <c r="I2841" s="1">
        <v>0.1</v>
      </c>
      <c r="J2841" s="1">
        <v>0.67684894116531369</v>
      </c>
      <c r="K2841" s="1" t="s">
        <v>181</v>
      </c>
    </row>
    <row r="2842" spans="1:11" x14ac:dyDescent="0.25">
      <c r="A2842" s="1" t="s">
        <v>9137</v>
      </c>
      <c r="B2842" s="1" t="s">
        <v>7781</v>
      </c>
      <c r="C2842" s="1" t="s">
        <v>9138</v>
      </c>
      <c r="D2842" s="1" t="s">
        <v>9139</v>
      </c>
      <c r="E2842" s="1" t="s">
        <v>178</v>
      </c>
      <c r="F2842" s="1" t="s">
        <v>5017</v>
      </c>
      <c r="G2842" s="1" t="s">
        <v>5018</v>
      </c>
      <c r="H2842" s="1">
        <v>0.1</v>
      </c>
      <c r="I2842" s="1">
        <v>0.1</v>
      </c>
      <c r="J2842" s="1">
        <v>0.71547429012490849</v>
      </c>
      <c r="K2842" s="1" t="s">
        <v>181</v>
      </c>
    </row>
    <row r="2843" spans="1:11" x14ac:dyDescent="0.25">
      <c r="A2843" s="1" t="s">
        <v>9140</v>
      </c>
      <c r="B2843" s="1" t="s">
        <v>7781</v>
      </c>
      <c r="C2843" s="1" t="s">
        <v>9141</v>
      </c>
      <c r="D2843" s="1" t="s">
        <v>9142</v>
      </c>
      <c r="E2843" s="1" t="s">
        <v>178</v>
      </c>
      <c r="F2843" s="1" t="s">
        <v>5017</v>
      </c>
      <c r="G2843" s="1" t="s">
        <v>5018</v>
      </c>
      <c r="H2843" s="1">
        <v>0.1</v>
      </c>
      <c r="I2843" s="1">
        <v>0.1</v>
      </c>
      <c r="J2843" s="1">
        <v>0.70811553381089398</v>
      </c>
      <c r="K2843" s="1" t="s">
        <v>181</v>
      </c>
    </row>
    <row r="2844" spans="1:11" x14ac:dyDescent="0.25">
      <c r="A2844" s="1" t="s">
        <v>9143</v>
      </c>
      <c r="B2844" s="1" t="s">
        <v>7781</v>
      </c>
      <c r="C2844" s="1" t="s">
        <v>9144</v>
      </c>
      <c r="D2844" s="1" t="s">
        <v>9145</v>
      </c>
      <c r="E2844" s="1" t="s">
        <v>178</v>
      </c>
      <c r="F2844" s="1" t="s">
        <v>5017</v>
      </c>
      <c r="G2844" s="1" t="s">
        <v>5018</v>
      </c>
      <c r="H2844" s="1">
        <v>0.1</v>
      </c>
      <c r="I2844" s="1">
        <v>0.1</v>
      </c>
      <c r="J2844" s="1">
        <v>0.70811553381089398</v>
      </c>
      <c r="K2844" s="1" t="s">
        <v>181</v>
      </c>
    </row>
    <row r="2845" spans="1:11" x14ac:dyDescent="0.25">
      <c r="A2845" s="1" t="s">
        <v>9146</v>
      </c>
      <c r="B2845" s="1" t="s">
        <v>9147</v>
      </c>
      <c r="C2845" s="1" t="s">
        <v>9148</v>
      </c>
      <c r="D2845" s="1" t="s">
        <v>9149</v>
      </c>
      <c r="E2845" s="1" t="s">
        <v>178</v>
      </c>
      <c r="F2845" s="1" t="s">
        <v>5017</v>
      </c>
      <c r="G2845" s="1" t="s">
        <v>5018</v>
      </c>
      <c r="H2845" s="1">
        <v>0.1</v>
      </c>
      <c r="I2845" s="1">
        <v>0.1</v>
      </c>
      <c r="J2845" s="1">
        <v>0.70537879847381524</v>
      </c>
      <c r="K2845" s="1" t="s">
        <v>181</v>
      </c>
    </row>
    <row r="2846" spans="1:11" x14ac:dyDescent="0.25">
      <c r="A2846" s="1" t="s">
        <v>9150</v>
      </c>
      <c r="B2846" s="1" t="s">
        <v>9147</v>
      </c>
      <c r="C2846" s="1" t="s">
        <v>9151</v>
      </c>
      <c r="D2846" s="1" t="s">
        <v>9152</v>
      </c>
      <c r="E2846" s="1" t="s">
        <v>178</v>
      </c>
      <c r="F2846" s="1" t="s">
        <v>5017</v>
      </c>
      <c r="G2846" s="1" t="s">
        <v>5018</v>
      </c>
      <c r="H2846" s="1">
        <v>0.1</v>
      </c>
      <c r="I2846" s="1">
        <v>0.1</v>
      </c>
      <c r="J2846" s="1">
        <v>0.70537879847381524</v>
      </c>
      <c r="K2846" s="1" t="s">
        <v>181</v>
      </c>
    </row>
    <row r="2847" spans="1:11" x14ac:dyDescent="0.25">
      <c r="A2847" s="1" t="s">
        <v>9153</v>
      </c>
      <c r="B2847" s="1" t="s">
        <v>9147</v>
      </c>
      <c r="C2847" s="1" t="s">
        <v>9154</v>
      </c>
      <c r="D2847" s="1" t="s">
        <v>9155</v>
      </c>
      <c r="E2847" s="1" t="s">
        <v>178</v>
      </c>
      <c r="F2847" s="1" t="s">
        <v>5017</v>
      </c>
      <c r="G2847" s="1" t="s">
        <v>5018</v>
      </c>
      <c r="H2847" s="1">
        <v>0.1</v>
      </c>
      <c r="I2847" s="1">
        <v>0.1</v>
      </c>
      <c r="J2847" s="1">
        <v>0.70537879847381524</v>
      </c>
      <c r="K2847" s="1" t="s">
        <v>181</v>
      </c>
    </row>
    <row r="2848" spans="1:11" x14ac:dyDescent="0.25">
      <c r="A2848" s="1" t="s">
        <v>9156</v>
      </c>
      <c r="B2848" s="1" t="s">
        <v>9147</v>
      </c>
      <c r="C2848" s="1" t="s">
        <v>9157</v>
      </c>
      <c r="D2848" s="1" t="s">
        <v>9158</v>
      </c>
      <c r="E2848" s="1" t="s">
        <v>178</v>
      </c>
      <c r="F2848" s="1" t="s">
        <v>5017</v>
      </c>
      <c r="G2848" s="1" t="s">
        <v>5018</v>
      </c>
      <c r="H2848" s="1">
        <v>0.1</v>
      </c>
      <c r="I2848" s="1">
        <v>0.1</v>
      </c>
      <c r="J2848" s="1">
        <v>0.74590443737310386</v>
      </c>
      <c r="K2848" s="1" t="s">
        <v>181</v>
      </c>
    </row>
    <row r="2849" spans="1:11" x14ac:dyDescent="0.25">
      <c r="A2849" s="1" t="s">
        <v>129</v>
      </c>
      <c r="B2849" s="1" t="s">
        <v>7781</v>
      </c>
      <c r="C2849" s="1" t="s">
        <v>9159</v>
      </c>
      <c r="D2849" s="1" t="s">
        <v>9160</v>
      </c>
      <c r="E2849" s="1" t="s">
        <v>178</v>
      </c>
      <c r="F2849" s="1" t="s">
        <v>5017</v>
      </c>
      <c r="G2849" s="1" t="s">
        <v>5018</v>
      </c>
      <c r="H2849" s="1">
        <v>0.1</v>
      </c>
      <c r="I2849" s="1">
        <v>0.1</v>
      </c>
      <c r="J2849" s="1">
        <v>0.93053891468753891</v>
      </c>
      <c r="K2849" s="1" t="s">
        <v>181</v>
      </c>
    </row>
    <row r="2850" spans="1:11" x14ac:dyDescent="0.25">
      <c r="A2850" s="1" t="s">
        <v>9161</v>
      </c>
      <c r="B2850" s="1" t="s">
        <v>7781</v>
      </c>
      <c r="C2850" s="1" t="s">
        <v>9162</v>
      </c>
      <c r="D2850" s="1" t="s">
        <v>9163</v>
      </c>
      <c r="E2850" s="1" t="s">
        <v>178</v>
      </c>
      <c r="F2850" s="1" t="s">
        <v>5017</v>
      </c>
      <c r="G2850" s="1" t="s">
        <v>5018</v>
      </c>
      <c r="H2850" s="1">
        <v>0.1</v>
      </c>
      <c r="I2850" s="1">
        <v>0.1</v>
      </c>
      <c r="J2850" s="1">
        <v>0.93251232718776911</v>
      </c>
      <c r="K2850" s="1" t="s">
        <v>181</v>
      </c>
    </row>
    <row r="2851" spans="1:11" x14ac:dyDescent="0.25">
      <c r="A2851" s="1" t="s">
        <v>9164</v>
      </c>
      <c r="B2851" s="1" t="s">
        <v>7781</v>
      </c>
      <c r="C2851" s="1" t="s">
        <v>9165</v>
      </c>
      <c r="D2851" s="1" t="s">
        <v>9166</v>
      </c>
      <c r="E2851" s="1" t="s">
        <v>178</v>
      </c>
      <c r="F2851" s="1" t="s">
        <v>5017</v>
      </c>
      <c r="G2851" s="1" t="s">
        <v>5018</v>
      </c>
      <c r="H2851" s="1">
        <v>0.1</v>
      </c>
      <c r="I2851" s="1">
        <v>0.1</v>
      </c>
      <c r="J2851" s="1">
        <v>0.93251232718776911</v>
      </c>
      <c r="K2851" s="1" t="s">
        <v>181</v>
      </c>
    </row>
    <row r="2852" spans="1:11" x14ac:dyDescent="0.25">
      <c r="A2852" s="1" t="s">
        <v>128</v>
      </c>
      <c r="B2852" s="1" t="s">
        <v>7607</v>
      </c>
      <c r="C2852" s="1" t="s">
        <v>9167</v>
      </c>
      <c r="D2852" s="1" t="s">
        <v>9168</v>
      </c>
      <c r="E2852" s="1" t="s">
        <v>178</v>
      </c>
      <c r="F2852" s="1" t="s">
        <v>5017</v>
      </c>
      <c r="G2852" s="1" t="s">
        <v>5018</v>
      </c>
      <c r="H2852" s="1">
        <v>0.1</v>
      </c>
      <c r="I2852" s="1">
        <v>0.1</v>
      </c>
      <c r="J2852" s="1">
        <v>0.93004015610527424</v>
      </c>
      <c r="K2852" s="1" t="s">
        <v>181</v>
      </c>
    </row>
    <row r="2853" spans="1:11" x14ac:dyDescent="0.25">
      <c r="A2853" s="1" t="s">
        <v>9169</v>
      </c>
      <c r="B2853" s="1" t="s">
        <v>7607</v>
      </c>
      <c r="C2853" s="1" t="s">
        <v>9170</v>
      </c>
      <c r="D2853" s="1" t="s">
        <v>9171</v>
      </c>
      <c r="E2853" s="1" t="s">
        <v>178</v>
      </c>
      <c r="F2853" s="1" t="s">
        <v>5017</v>
      </c>
      <c r="G2853" s="1" t="s">
        <v>5018</v>
      </c>
      <c r="H2853" s="1">
        <v>0.1</v>
      </c>
      <c r="I2853" s="1">
        <v>0.1</v>
      </c>
      <c r="J2853" s="1">
        <v>0.93306817954083809</v>
      </c>
      <c r="K2853" s="1" t="s">
        <v>181</v>
      </c>
    </row>
    <row r="2854" spans="1:11" x14ac:dyDescent="0.25">
      <c r="A2854" s="1" t="s">
        <v>9172</v>
      </c>
      <c r="B2854" s="1" t="s">
        <v>7607</v>
      </c>
      <c r="C2854" s="1" t="s">
        <v>9173</v>
      </c>
      <c r="D2854" s="1" t="s">
        <v>9174</v>
      </c>
      <c r="E2854" s="1" t="s">
        <v>178</v>
      </c>
      <c r="F2854" s="1" t="s">
        <v>5017</v>
      </c>
      <c r="G2854" s="1" t="s">
        <v>5018</v>
      </c>
      <c r="H2854" s="1">
        <v>0.1</v>
      </c>
      <c r="I2854" s="1">
        <v>0.1</v>
      </c>
      <c r="J2854" s="1">
        <v>0.93306817954083809</v>
      </c>
      <c r="K2854" s="1" t="s">
        <v>181</v>
      </c>
    </row>
    <row r="2855" spans="1:11" x14ac:dyDescent="0.25">
      <c r="A2855" s="1" t="s">
        <v>125</v>
      </c>
      <c r="B2855" s="1" t="s">
        <v>7607</v>
      </c>
      <c r="C2855" s="1" t="s">
        <v>9175</v>
      </c>
      <c r="D2855" s="1" t="s">
        <v>9176</v>
      </c>
      <c r="E2855" s="1" t="s">
        <v>178</v>
      </c>
      <c r="F2855" s="1" t="s">
        <v>5017</v>
      </c>
      <c r="G2855" s="1" t="s">
        <v>5018</v>
      </c>
      <c r="H2855" s="1">
        <v>0.1</v>
      </c>
      <c r="I2855" s="1">
        <v>0.1</v>
      </c>
      <c r="J2855" s="1">
        <v>0.93004015610527424</v>
      </c>
      <c r="K2855" s="1" t="s">
        <v>181</v>
      </c>
    </row>
    <row r="2856" spans="1:11" x14ac:dyDescent="0.25">
      <c r="A2856" s="1" t="s">
        <v>9177</v>
      </c>
      <c r="B2856" s="1" t="s">
        <v>7607</v>
      </c>
      <c r="C2856" s="1" t="s">
        <v>9178</v>
      </c>
      <c r="D2856" s="1" t="s">
        <v>9179</v>
      </c>
      <c r="E2856" s="1" t="s">
        <v>178</v>
      </c>
      <c r="F2856" s="1" t="s">
        <v>5017</v>
      </c>
      <c r="G2856" s="1" t="s">
        <v>5018</v>
      </c>
      <c r="H2856" s="1">
        <v>0.1</v>
      </c>
      <c r="I2856" s="1">
        <v>0.1</v>
      </c>
      <c r="J2856" s="1">
        <v>0.85665727402080538</v>
      </c>
      <c r="K2856" s="1" t="s">
        <v>181</v>
      </c>
    </row>
    <row r="2857" spans="1:11" x14ac:dyDescent="0.25">
      <c r="A2857" s="1" t="s">
        <v>9180</v>
      </c>
      <c r="B2857" s="1" t="s">
        <v>7607</v>
      </c>
      <c r="C2857" s="1" t="s">
        <v>9181</v>
      </c>
      <c r="D2857" s="1" t="s">
        <v>9182</v>
      </c>
      <c r="E2857" s="1" t="s">
        <v>178</v>
      </c>
      <c r="F2857" s="1" t="s">
        <v>5017</v>
      </c>
      <c r="G2857" s="1" t="s">
        <v>5018</v>
      </c>
      <c r="H2857" s="1">
        <v>0.1</v>
      </c>
      <c r="I2857" s="1">
        <v>0.1</v>
      </c>
      <c r="J2857" s="1">
        <v>0.85665727402080538</v>
      </c>
      <c r="K2857" s="1" t="s">
        <v>181</v>
      </c>
    </row>
    <row r="2858" spans="1:11" x14ac:dyDescent="0.25">
      <c r="A2858" s="1" t="s">
        <v>126</v>
      </c>
      <c r="B2858" s="1" t="s">
        <v>7607</v>
      </c>
      <c r="C2858" s="1" t="s">
        <v>9183</v>
      </c>
      <c r="D2858" s="1" t="s">
        <v>9184</v>
      </c>
      <c r="E2858" s="1" t="s">
        <v>178</v>
      </c>
      <c r="F2858" s="1" t="s">
        <v>5017</v>
      </c>
      <c r="G2858" s="1" t="s">
        <v>5018</v>
      </c>
      <c r="H2858" s="1">
        <v>0.1</v>
      </c>
      <c r="I2858" s="1">
        <v>0.1</v>
      </c>
      <c r="J2858" s="1">
        <v>0.93004015610527424</v>
      </c>
      <c r="K2858" s="1" t="s">
        <v>181</v>
      </c>
    </row>
    <row r="2859" spans="1:11" x14ac:dyDescent="0.25">
      <c r="A2859" s="1" t="s">
        <v>9185</v>
      </c>
      <c r="B2859" s="1" t="s">
        <v>7607</v>
      </c>
      <c r="C2859" s="1" t="s">
        <v>9186</v>
      </c>
      <c r="D2859" s="1" t="s">
        <v>9187</v>
      </c>
      <c r="E2859" s="1" t="s">
        <v>178</v>
      </c>
      <c r="F2859" s="1" t="s">
        <v>5017</v>
      </c>
      <c r="G2859" s="1" t="s">
        <v>5018</v>
      </c>
      <c r="H2859" s="1">
        <v>0.1</v>
      </c>
      <c r="I2859" s="1">
        <v>0.1</v>
      </c>
      <c r="J2859" s="1">
        <v>0.93306817954083809</v>
      </c>
      <c r="K2859" s="1" t="s">
        <v>181</v>
      </c>
    </row>
    <row r="2860" spans="1:11" x14ac:dyDescent="0.25">
      <c r="A2860" s="1" t="s">
        <v>9188</v>
      </c>
      <c r="B2860" s="1" t="s">
        <v>7607</v>
      </c>
      <c r="C2860" s="1" t="s">
        <v>9189</v>
      </c>
      <c r="D2860" s="1" t="s">
        <v>9190</v>
      </c>
      <c r="E2860" s="1" t="s">
        <v>178</v>
      </c>
      <c r="F2860" s="1" t="s">
        <v>5017</v>
      </c>
      <c r="G2860" s="1" t="s">
        <v>5018</v>
      </c>
      <c r="H2860" s="1">
        <v>0.1</v>
      </c>
      <c r="I2860" s="1">
        <v>0.1</v>
      </c>
      <c r="J2860" s="1">
        <v>0.93306817954083809</v>
      </c>
      <c r="K2860" s="1" t="s">
        <v>181</v>
      </c>
    </row>
    <row r="2861" spans="1:11" x14ac:dyDescent="0.25">
      <c r="A2861" s="1" t="s">
        <v>127</v>
      </c>
      <c r="B2861" s="1" t="s">
        <v>7607</v>
      </c>
      <c r="C2861" s="1" t="s">
        <v>9191</v>
      </c>
      <c r="D2861" s="1" t="s">
        <v>9192</v>
      </c>
      <c r="E2861" s="1" t="s">
        <v>178</v>
      </c>
      <c r="F2861" s="1" t="s">
        <v>5017</v>
      </c>
      <c r="G2861" s="1" t="s">
        <v>5018</v>
      </c>
      <c r="H2861" s="1">
        <v>0.1</v>
      </c>
      <c r="I2861" s="1">
        <v>0.1</v>
      </c>
      <c r="J2861" s="1">
        <v>0.93004015610527424</v>
      </c>
      <c r="K2861" s="1" t="s">
        <v>181</v>
      </c>
    </row>
    <row r="2862" spans="1:11" x14ac:dyDescent="0.25">
      <c r="A2862" s="1" t="s">
        <v>9193</v>
      </c>
      <c r="B2862" s="1" t="s">
        <v>7607</v>
      </c>
      <c r="C2862" s="1" t="s">
        <v>9194</v>
      </c>
      <c r="D2862" s="1" t="s">
        <v>9195</v>
      </c>
      <c r="E2862" s="1" t="s">
        <v>178</v>
      </c>
      <c r="F2862" s="1" t="s">
        <v>5017</v>
      </c>
      <c r="G2862" s="1" t="s">
        <v>5018</v>
      </c>
      <c r="H2862" s="1">
        <v>0.1</v>
      </c>
      <c r="I2862" s="1">
        <v>0.1</v>
      </c>
      <c r="J2862" s="1">
        <v>0.93306817954083809</v>
      </c>
      <c r="K2862" s="1" t="s">
        <v>181</v>
      </c>
    </row>
    <row r="2863" spans="1:11" x14ac:dyDescent="0.25">
      <c r="A2863" s="1" t="s">
        <v>9196</v>
      </c>
      <c r="B2863" s="1" t="s">
        <v>7607</v>
      </c>
      <c r="C2863" s="1" t="s">
        <v>9197</v>
      </c>
      <c r="D2863" s="1" t="s">
        <v>9198</v>
      </c>
      <c r="E2863" s="1" t="s">
        <v>178</v>
      </c>
      <c r="F2863" s="1" t="s">
        <v>5017</v>
      </c>
      <c r="G2863" s="1" t="s">
        <v>5018</v>
      </c>
      <c r="H2863" s="1">
        <v>0.1</v>
      </c>
      <c r="I2863" s="1">
        <v>0.1</v>
      </c>
      <c r="J2863" s="1">
        <v>0.93306817954083809</v>
      </c>
      <c r="K2863" s="1" t="s">
        <v>181</v>
      </c>
    </row>
    <row r="2864" spans="1:11" x14ac:dyDescent="0.25">
      <c r="A2864" s="1" t="s">
        <v>9199</v>
      </c>
      <c r="B2864" s="1" t="s">
        <v>7781</v>
      </c>
      <c r="C2864" s="1" t="s">
        <v>9200</v>
      </c>
      <c r="D2864" s="1" t="s">
        <v>9201</v>
      </c>
      <c r="E2864" s="1" t="s">
        <v>178</v>
      </c>
      <c r="F2864" s="1" t="s">
        <v>5017</v>
      </c>
      <c r="G2864" s="1" t="s">
        <v>5018</v>
      </c>
      <c r="H2864" s="1">
        <v>0.1</v>
      </c>
      <c r="I2864" s="1">
        <v>0.1</v>
      </c>
      <c r="J2864" s="1">
        <v>0.83196248500269943</v>
      </c>
      <c r="K2864" s="1" t="s">
        <v>181</v>
      </c>
    </row>
    <row r="2865" spans="1:11" x14ac:dyDescent="0.25">
      <c r="A2865" s="1" t="s">
        <v>9202</v>
      </c>
      <c r="B2865" s="1" t="s">
        <v>7781</v>
      </c>
      <c r="C2865" s="1" t="s">
        <v>9203</v>
      </c>
      <c r="D2865" s="1" t="s">
        <v>9204</v>
      </c>
      <c r="E2865" s="1" t="s">
        <v>178</v>
      </c>
      <c r="F2865" s="1" t="s">
        <v>5017</v>
      </c>
      <c r="G2865" s="1" t="s">
        <v>5018</v>
      </c>
      <c r="H2865" s="1">
        <v>0.1</v>
      </c>
      <c r="I2865" s="1">
        <v>0.1</v>
      </c>
      <c r="J2865" s="1">
        <v>0.83165923500634498</v>
      </c>
      <c r="K2865" s="1" t="s">
        <v>181</v>
      </c>
    </row>
    <row r="2866" spans="1:11" x14ac:dyDescent="0.25">
      <c r="A2866" s="1" t="s">
        <v>9205</v>
      </c>
      <c r="B2866" s="1" t="s">
        <v>7781</v>
      </c>
      <c r="C2866" s="1" t="s">
        <v>9206</v>
      </c>
      <c r="D2866" s="1" t="s">
        <v>9207</v>
      </c>
      <c r="E2866" s="1" t="s">
        <v>178</v>
      </c>
      <c r="F2866" s="1" t="s">
        <v>5017</v>
      </c>
      <c r="G2866" s="1" t="s">
        <v>5018</v>
      </c>
      <c r="H2866" s="1">
        <v>0.1</v>
      </c>
      <c r="I2866" s="1">
        <v>0.1</v>
      </c>
      <c r="J2866" s="1">
        <v>0.83165923500634498</v>
      </c>
      <c r="K2866" s="1" t="s">
        <v>181</v>
      </c>
    </row>
    <row r="2867" spans="1:11" x14ac:dyDescent="0.25">
      <c r="A2867" s="1" t="s">
        <v>9208</v>
      </c>
      <c r="B2867" s="1" t="s">
        <v>7607</v>
      </c>
      <c r="C2867" s="1" t="s">
        <v>9209</v>
      </c>
      <c r="D2867" s="1" t="s">
        <v>9210</v>
      </c>
      <c r="E2867" s="1" t="s">
        <v>178</v>
      </c>
      <c r="F2867" s="1" t="s">
        <v>5017</v>
      </c>
      <c r="G2867" s="1" t="s">
        <v>5018</v>
      </c>
      <c r="H2867" s="1">
        <v>0.1</v>
      </c>
      <c r="I2867" s="1">
        <v>0.1</v>
      </c>
      <c r="J2867" s="1">
        <v>0.83147173359684046</v>
      </c>
      <c r="K2867" s="1" t="s">
        <v>181</v>
      </c>
    </row>
    <row r="2868" spans="1:11" x14ac:dyDescent="0.25">
      <c r="A2868" s="1" t="s">
        <v>9211</v>
      </c>
      <c r="B2868" s="1" t="s">
        <v>7607</v>
      </c>
      <c r="C2868" s="1" t="s">
        <v>9212</v>
      </c>
      <c r="D2868" s="1" t="s">
        <v>9213</v>
      </c>
      <c r="E2868" s="1" t="s">
        <v>178</v>
      </c>
      <c r="F2868" s="1" t="s">
        <v>5017</v>
      </c>
      <c r="G2868" s="1" t="s">
        <v>5018</v>
      </c>
      <c r="H2868" s="1">
        <v>0.1</v>
      </c>
      <c r="I2868" s="1">
        <v>0.1</v>
      </c>
      <c r="J2868" s="1">
        <v>0.83240489686422892</v>
      </c>
      <c r="K2868" s="1" t="s">
        <v>181</v>
      </c>
    </row>
    <row r="2869" spans="1:11" x14ac:dyDescent="0.25">
      <c r="A2869" s="1" t="s">
        <v>9214</v>
      </c>
      <c r="B2869" s="1" t="s">
        <v>7607</v>
      </c>
      <c r="C2869" s="1" t="s">
        <v>9215</v>
      </c>
      <c r="D2869" s="1" t="s">
        <v>9216</v>
      </c>
      <c r="E2869" s="1" t="s">
        <v>178</v>
      </c>
      <c r="F2869" s="1" t="s">
        <v>5017</v>
      </c>
      <c r="G2869" s="1" t="s">
        <v>5018</v>
      </c>
      <c r="H2869" s="1">
        <v>0.1</v>
      </c>
      <c r="I2869" s="1">
        <v>0.1</v>
      </c>
      <c r="J2869" s="1">
        <v>0.83240489686422892</v>
      </c>
      <c r="K2869" s="1" t="s">
        <v>181</v>
      </c>
    </row>
    <row r="2870" spans="1:11" x14ac:dyDescent="0.25">
      <c r="A2870" s="1" t="s">
        <v>9217</v>
      </c>
      <c r="B2870" s="1" t="s">
        <v>7607</v>
      </c>
      <c r="C2870" s="1" t="s">
        <v>9218</v>
      </c>
      <c r="D2870" s="1" t="s">
        <v>9219</v>
      </c>
      <c r="E2870" s="1" t="s">
        <v>178</v>
      </c>
      <c r="F2870" s="1" t="s">
        <v>5017</v>
      </c>
      <c r="G2870" s="1" t="s">
        <v>5018</v>
      </c>
      <c r="H2870" s="1">
        <v>0.1</v>
      </c>
      <c r="I2870" s="1">
        <v>0.1</v>
      </c>
      <c r="J2870" s="1">
        <v>0.83147173359684046</v>
      </c>
      <c r="K2870" s="1" t="s">
        <v>181</v>
      </c>
    </row>
    <row r="2871" spans="1:11" x14ac:dyDescent="0.25">
      <c r="A2871" s="1" t="s">
        <v>9220</v>
      </c>
      <c r="B2871" s="1" t="s">
        <v>7607</v>
      </c>
      <c r="C2871" s="1" t="s">
        <v>9221</v>
      </c>
      <c r="D2871" s="1" t="s">
        <v>9222</v>
      </c>
      <c r="E2871" s="1" t="s">
        <v>178</v>
      </c>
      <c r="F2871" s="1" t="s">
        <v>5017</v>
      </c>
      <c r="G2871" s="1" t="s">
        <v>5018</v>
      </c>
      <c r="H2871" s="1">
        <v>0.1</v>
      </c>
      <c r="I2871" s="1">
        <v>0.1</v>
      </c>
      <c r="J2871" s="1">
        <v>0.83799368703618371</v>
      </c>
      <c r="K2871" s="1" t="s">
        <v>181</v>
      </c>
    </row>
    <row r="2872" spans="1:11" x14ac:dyDescent="0.25">
      <c r="A2872" s="1" t="s">
        <v>9223</v>
      </c>
      <c r="B2872" s="1" t="s">
        <v>7607</v>
      </c>
      <c r="C2872" s="1" t="s">
        <v>9224</v>
      </c>
      <c r="D2872" s="1" t="s">
        <v>9225</v>
      </c>
      <c r="E2872" s="1" t="s">
        <v>178</v>
      </c>
      <c r="F2872" s="1" t="s">
        <v>5017</v>
      </c>
      <c r="G2872" s="1" t="s">
        <v>5018</v>
      </c>
      <c r="H2872" s="1">
        <v>0.1</v>
      </c>
      <c r="I2872" s="1">
        <v>0.1</v>
      </c>
      <c r="J2872" s="1">
        <v>0.83799368703618371</v>
      </c>
      <c r="K2872" s="1" t="s">
        <v>181</v>
      </c>
    </row>
    <row r="2873" spans="1:11" x14ac:dyDescent="0.25">
      <c r="A2873" s="1" t="s">
        <v>9226</v>
      </c>
      <c r="B2873" s="1" t="s">
        <v>7607</v>
      </c>
      <c r="C2873" s="1" t="s">
        <v>9227</v>
      </c>
      <c r="D2873" s="1" t="s">
        <v>9228</v>
      </c>
      <c r="E2873" s="1" t="s">
        <v>178</v>
      </c>
      <c r="F2873" s="1" t="s">
        <v>5017</v>
      </c>
      <c r="G2873" s="1" t="s">
        <v>5018</v>
      </c>
      <c r="H2873" s="1">
        <v>0.1</v>
      </c>
      <c r="I2873" s="1">
        <v>0.1</v>
      </c>
      <c r="J2873" s="1">
        <v>0.83147173359684046</v>
      </c>
      <c r="K2873" s="1" t="s">
        <v>181</v>
      </c>
    </row>
    <row r="2874" spans="1:11" x14ac:dyDescent="0.25">
      <c r="A2874" s="1" t="s">
        <v>9229</v>
      </c>
      <c r="B2874" s="1" t="s">
        <v>7607</v>
      </c>
      <c r="C2874" s="1" t="s">
        <v>9230</v>
      </c>
      <c r="D2874" s="1" t="s">
        <v>9231</v>
      </c>
      <c r="E2874" s="1" t="s">
        <v>178</v>
      </c>
      <c r="F2874" s="1" t="s">
        <v>5017</v>
      </c>
      <c r="G2874" s="1" t="s">
        <v>5018</v>
      </c>
      <c r="H2874" s="1">
        <v>0.1</v>
      </c>
      <c r="I2874" s="1">
        <v>0.1</v>
      </c>
      <c r="J2874" s="1">
        <v>0.83240489686422892</v>
      </c>
      <c r="K2874" s="1" t="s">
        <v>181</v>
      </c>
    </row>
    <row r="2875" spans="1:11" x14ac:dyDescent="0.25">
      <c r="A2875" s="1" t="s">
        <v>9232</v>
      </c>
      <c r="B2875" s="1" t="s">
        <v>7607</v>
      </c>
      <c r="C2875" s="1" t="s">
        <v>9233</v>
      </c>
      <c r="D2875" s="1" t="s">
        <v>9234</v>
      </c>
      <c r="E2875" s="1" t="s">
        <v>178</v>
      </c>
      <c r="F2875" s="1" t="s">
        <v>5017</v>
      </c>
      <c r="G2875" s="1" t="s">
        <v>5018</v>
      </c>
      <c r="H2875" s="1">
        <v>0.1</v>
      </c>
      <c r="I2875" s="1">
        <v>0.1</v>
      </c>
      <c r="J2875" s="1">
        <v>0.83240489686422892</v>
      </c>
      <c r="K2875" s="1" t="s">
        <v>181</v>
      </c>
    </row>
    <row r="2876" spans="1:11" x14ac:dyDescent="0.25">
      <c r="A2876" s="1" t="s">
        <v>9235</v>
      </c>
      <c r="B2876" s="1" t="s">
        <v>7607</v>
      </c>
      <c r="C2876" s="1" t="s">
        <v>9236</v>
      </c>
      <c r="D2876" s="1" t="s">
        <v>9237</v>
      </c>
      <c r="E2876" s="1" t="s">
        <v>178</v>
      </c>
      <c r="F2876" s="1" t="s">
        <v>5017</v>
      </c>
      <c r="G2876" s="1" t="s">
        <v>5018</v>
      </c>
      <c r="H2876" s="1">
        <v>0.1</v>
      </c>
      <c r="I2876" s="1">
        <v>0.1</v>
      </c>
      <c r="J2876" s="1">
        <v>0.87924170244707645</v>
      </c>
      <c r="K2876" s="1" t="s">
        <v>181</v>
      </c>
    </row>
    <row r="2877" spans="1:11" x14ac:dyDescent="0.25">
      <c r="A2877" s="1" t="s">
        <v>9238</v>
      </c>
      <c r="B2877" s="1" t="s">
        <v>7607</v>
      </c>
      <c r="C2877" s="1" t="s">
        <v>9239</v>
      </c>
      <c r="D2877" s="1" t="s">
        <v>9240</v>
      </c>
      <c r="E2877" s="1" t="s">
        <v>178</v>
      </c>
      <c r="F2877" s="1" t="s">
        <v>5017</v>
      </c>
      <c r="G2877" s="1" t="s">
        <v>5018</v>
      </c>
      <c r="H2877" s="1">
        <v>0.1</v>
      </c>
      <c r="I2877" s="1">
        <v>0.1</v>
      </c>
      <c r="J2877" s="1">
        <v>0.83240489686422892</v>
      </c>
      <c r="K2877" s="1" t="s">
        <v>181</v>
      </c>
    </row>
    <row r="2878" spans="1:11" x14ac:dyDescent="0.25">
      <c r="A2878" s="1" t="s">
        <v>9241</v>
      </c>
      <c r="B2878" s="1" t="s">
        <v>7607</v>
      </c>
      <c r="C2878" s="1" t="s">
        <v>9242</v>
      </c>
      <c r="D2878" s="1" t="s">
        <v>9243</v>
      </c>
      <c r="E2878" s="1" t="s">
        <v>178</v>
      </c>
      <c r="F2878" s="1" t="s">
        <v>5017</v>
      </c>
      <c r="G2878" s="1" t="s">
        <v>5018</v>
      </c>
      <c r="H2878" s="1">
        <v>0.1</v>
      </c>
      <c r="I2878" s="1">
        <v>0.1</v>
      </c>
      <c r="J2878" s="1">
        <v>0.83240489686422892</v>
      </c>
      <c r="K2878" s="1" t="s">
        <v>181</v>
      </c>
    </row>
    <row r="2879" spans="1:11" x14ac:dyDescent="0.25">
      <c r="A2879" s="1" t="s">
        <v>9244</v>
      </c>
      <c r="B2879" s="1" t="s">
        <v>7603</v>
      </c>
      <c r="C2879" s="1" t="s">
        <v>9245</v>
      </c>
      <c r="D2879" s="1" t="s">
        <v>9246</v>
      </c>
      <c r="E2879" s="1" t="s">
        <v>178</v>
      </c>
      <c r="F2879" s="1" t="s">
        <v>5017</v>
      </c>
      <c r="G2879" s="1" t="s">
        <v>5018</v>
      </c>
      <c r="H2879" s="1">
        <v>0.1</v>
      </c>
      <c r="I2879" s="1">
        <v>0.1</v>
      </c>
      <c r="J2879" s="1">
        <v>0.69103676852234563</v>
      </c>
      <c r="K2879" s="1" t="s">
        <v>181</v>
      </c>
    </row>
    <row r="2880" spans="1:11" x14ac:dyDescent="0.25">
      <c r="A2880" s="1" t="s">
        <v>9247</v>
      </c>
      <c r="B2880" s="1" t="s">
        <v>7617</v>
      </c>
      <c r="C2880" s="1" t="s">
        <v>9248</v>
      </c>
      <c r="D2880" s="1" t="s">
        <v>9249</v>
      </c>
      <c r="E2880" s="1" t="s">
        <v>178</v>
      </c>
      <c r="F2880" s="1" t="s">
        <v>5017</v>
      </c>
      <c r="G2880" s="1" t="s">
        <v>5018</v>
      </c>
      <c r="H2880" s="1">
        <v>0.1</v>
      </c>
      <c r="I2880" s="1">
        <v>0.1</v>
      </c>
      <c r="J2880" s="1">
        <v>0.59535593124035324</v>
      </c>
      <c r="K2880" s="1" t="s">
        <v>181</v>
      </c>
    </row>
    <row r="2881" spans="1:11" x14ac:dyDescent="0.25">
      <c r="A2881" s="1" t="s">
        <v>9250</v>
      </c>
      <c r="B2881" s="1" t="s">
        <v>7617</v>
      </c>
      <c r="C2881" s="1" t="s">
        <v>9251</v>
      </c>
      <c r="D2881" s="1" t="s">
        <v>9252</v>
      </c>
      <c r="E2881" s="1" t="s">
        <v>178</v>
      </c>
      <c r="F2881" s="1" t="s">
        <v>5017</v>
      </c>
      <c r="G2881" s="1" t="s">
        <v>5018</v>
      </c>
      <c r="H2881" s="1">
        <v>0.1</v>
      </c>
      <c r="I2881" s="1">
        <v>0.1</v>
      </c>
      <c r="J2881" s="1">
        <v>0.69467759568774912</v>
      </c>
      <c r="K2881" s="1" t="s">
        <v>181</v>
      </c>
    </row>
    <row r="2882" spans="1:11" x14ac:dyDescent="0.25">
      <c r="A2882" s="1" t="s">
        <v>9253</v>
      </c>
      <c r="B2882" s="1" t="s">
        <v>7617</v>
      </c>
      <c r="C2882" s="1" t="s">
        <v>9254</v>
      </c>
      <c r="D2882" s="1" t="s">
        <v>9255</v>
      </c>
      <c r="E2882" s="1" t="s">
        <v>178</v>
      </c>
      <c r="F2882" s="1" t="s">
        <v>5017</v>
      </c>
      <c r="G2882" s="1" t="s">
        <v>5018</v>
      </c>
      <c r="H2882" s="1">
        <v>0.1</v>
      </c>
      <c r="I2882" s="1">
        <v>0.1</v>
      </c>
      <c r="J2882" s="1">
        <v>0.59682462236582756</v>
      </c>
      <c r="K2882" s="1" t="s">
        <v>181</v>
      </c>
    </row>
    <row r="2883" spans="1:11" x14ac:dyDescent="0.25">
      <c r="A2883" s="1" t="s">
        <v>9256</v>
      </c>
      <c r="B2883" s="1" t="s">
        <v>7617</v>
      </c>
      <c r="C2883" s="1" t="s">
        <v>9257</v>
      </c>
      <c r="D2883" s="1" t="s">
        <v>9258</v>
      </c>
      <c r="E2883" s="1" t="s">
        <v>178</v>
      </c>
      <c r="F2883" s="1" t="s">
        <v>5017</v>
      </c>
      <c r="G2883" s="1" t="s">
        <v>5018</v>
      </c>
      <c r="H2883" s="1">
        <v>0.1</v>
      </c>
      <c r="I2883" s="1">
        <v>0.1</v>
      </c>
      <c r="J2883" s="1">
        <v>0.59535593124035324</v>
      </c>
      <c r="K2883" s="1" t="s">
        <v>181</v>
      </c>
    </row>
    <row r="2884" spans="1:11" x14ac:dyDescent="0.25">
      <c r="A2884" s="1" t="s">
        <v>9259</v>
      </c>
      <c r="B2884" s="1" t="s">
        <v>7617</v>
      </c>
      <c r="C2884" s="1" t="s">
        <v>9260</v>
      </c>
      <c r="D2884" s="1" t="s">
        <v>9261</v>
      </c>
      <c r="E2884" s="1" t="s">
        <v>178</v>
      </c>
      <c r="F2884" s="1" t="s">
        <v>5017</v>
      </c>
      <c r="G2884" s="1" t="s">
        <v>5018</v>
      </c>
      <c r="H2884" s="1">
        <v>0.1</v>
      </c>
      <c r="I2884" s="1">
        <v>0.1</v>
      </c>
      <c r="J2884" s="1">
        <v>0.65083674183166829</v>
      </c>
      <c r="K2884" s="1" t="s">
        <v>181</v>
      </c>
    </row>
    <row r="2885" spans="1:11" x14ac:dyDescent="0.25">
      <c r="A2885" s="1" t="s">
        <v>9262</v>
      </c>
      <c r="B2885" s="1" t="s">
        <v>7617</v>
      </c>
      <c r="C2885" s="1" t="s">
        <v>9263</v>
      </c>
      <c r="D2885" s="1" t="s">
        <v>9264</v>
      </c>
      <c r="E2885" s="1" t="s">
        <v>178</v>
      </c>
      <c r="F2885" s="1" t="s">
        <v>5017</v>
      </c>
      <c r="G2885" s="1" t="s">
        <v>5018</v>
      </c>
      <c r="H2885" s="1">
        <v>0.1</v>
      </c>
      <c r="I2885" s="1">
        <v>0.1</v>
      </c>
      <c r="J2885" s="1">
        <v>0.64470540689361122</v>
      </c>
      <c r="K2885" s="1" t="s">
        <v>181</v>
      </c>
    </row>
    <row r="2886" spans="1:11" x14ac:dyDescent="0.25">
      <c r="A2886" s="1" t="s">
        <v>9265</v>
      </c>
      <c r="B2886" s="1" t="s">
        <v>7617</v>
      </c>
      <c r="C2886" s="1" t="s">
        <v>9266</v>
      </c>
      <c r="D2886" s="1" t="s">
        <v>9267</v>
      </c>
      <c r="E2886" s="1" t="s">
        <v>178</v>
      </c>
      <c r="F2886" s="1" t="s">
        <v>5017</v>
      </c>
      <c r="G2886" s="1" t="s">
        <v>5018</v>
      </c>
      <c r="H2886" s="1">
        <v>0.1</v>
      </c>
      <c r="I2886" s="1">
        <v>0.1</v>
      </c>
      <c r="J2886" s="1">
        <v>0.86016298108725009</v>
      </c>
      <c r="K2886" s="1" t="s">
        <v>181</v>
      </c>
    </row>
    <row r="2887" spans="1:11" x14ac:dyDescent="0.25">
      <c r="A2887" s="1" t="s">
        <v>9268</v>
      </c>
      <c r="B2887" s="1" t="s">
        <v>7617</v>
      </c>
      <c r="C2887" s="1" t="s">
        <v>9269</v>
      </c>
      <c r="D2887" s="1" t="s">
        <v>9270</v>
      </c>
      <c r="E2887" s="1" t="s">
        <v>178</v>
      </c>
      <c r="F2887" s="1" t="s">
        <v>5017</v>
      </c>
      <c r="G2887" s="1" t="s">
        <v>5018</v>
      </c>
      <c r="H2887" s="1">
        <v>0.1</v>
      </c>
      <c r="I2887" s="1">
        <v>0.1</v>
      </c>
      <c r="J2887" s="1">
        <v>0.96052946807161987</v>
      </c>
      <c r="K2887" s="1" t="s">
        <v>181</v>
      </c>
    </row>
    <row r="2888" spans="1:11" x14ac:dyDescent="0.25">
      <c r="A2888" s="1" t="s">
        <v>9271</v>
      </c>
      <c r="B2888" s="1" t="s">
        <v>7617</v>
      </c>
      <c r="C2888" s="1" t="s">
        <v>9272</v>
      </c>
      <c r="D2888" s="1" t="s">
        <v>9273</v>
      </c>
      <c r="E2888" s="1" t="s">
        <v>178</v>
      </c>
      <c r="F2888" s="1" t="s">
        <v>5017</v>
      </c>
      <c r="G2888" s="1" t="s">
        <v>5018</v>
      </c>
      <c r="H2888" s="1">
        <v>0.1</v>
      </c>
      <c r="I2888" s="1">
        <v>0.1</v>
      </c>
      <c r="J2888" s="1">
        <v>0.88636053635882261</v>
      </c>
      <c r="K2888" s="1" t="s">
        <v>181</v>
      </c>
    </row>
    <row r="2889" spans="1:11" x14ac:dyDescent="0.25">
      <c r="A2889" s="1" t="s">
        <v>9274</v>
      </c>
      <c r="B2889" s="1" t="s">
        <v>7617</v>
      </c>
      <c r="C2889" s="1" t="s">
        <v>9275</v>
      </c>
      <c r="D2889" s="1" t="s">
        <v>9276</v>
      </c>
      <c r="E2889" s="1" t="s">
        <v>178</v>
      </c>
      <c r="F2889" s="1" t="s">
        <v>5017</v>
      </c>
      <c r="G2889" s="1" t="s">
        <v>5018</v>
      </c>
      <c r="H2889" s="1">
        <v>0.1</v>
      </c>
      <c r="I2889" s="1">
        <v>0.1</v>
      </c>
      <c r="J2889" s="1">
        <v>1.0316846578304066</v>
      </c>
      <c r="K2889" s="1" t="s">
        <v>181</v>
      </c>
    </row>
    <row r="2890" spans="1:11" x14ac:dyDescent="0.25">
      <c r="A2890" s="1" t="s">
        <v>9277</v>
      </c>
      <c r="B2890" s="1" t="s">
        <v>7617</v>
      </c>
      <c r="C2890" s="1" t="s">
        <v>9278</v>
      </c>
      <c r="D2890" s="1" t="s">
        <v>9279</v>
      </c>
      <c r="E2890" s="1" t="s">
        <v>178</v>
      </c>
      <c r="F2890" s="1" t="s">
        <v>5017</v>
      </c>
      <c r="G2890" s="1" t="s">
        <v>5018</v>
      </c>
      <c r="H2890" s="1">
        <v>0.1</v>
      </c>
      <c r="I2890" s="1">
        <v>0.1</v>
      </c>
      <c r="J2890" s="1">
        <v>1.0316846578304066</v>
      </c>
      <c r="K2890" s="1" t="s">
        <v>181</v>
      </c>
    </row>
    <row r="2891" spans="1:11" x14ac:dyDescent="0.25">
      <c r="A2891" s="1" t="s">
        <v>9280</v>
      </c>
      <c r="B2891" s="1" t="s">
        <v>7617</v>
      </c>
      <c r="C2891" s="1" t="s">
        <v>9281</v>
      </c>
      <c r="D2891" s="1" t="s">
        <v>9282</v>
      </c>
      <c r="E2891" s="1" t="s">
        <v>178</v>
      </c>
      <c r="F2891" s="1" t="s">
        <v>5017</v>
      </c>
      <c r="G2891" s="1" t="s">
        <v>5018</v>
      </c>
      <c r="H2891" s="1">
        <v>0.1</v>
      </c>
      <c r="I2891" s="1">
        <v>0.1</v>
      </c>
      <c r="J2891" s="1">
        <v>0.88636053635882261</v>
      </c>
      <c r="K2891" s="1" t="s">
        <v>181</v>
      </c>
    </row>
    <row r="2892" spans="1:11" x14ac:dyDescent="0.25">
      <c r="A2892" s="1" t="s">
        <v>10</v>
      </c>
      <c r="B2892" s="1" t="s">
        <v>6700</v>
      </c>
      <c r="C2892" s="1" t="s">
        <v>9283</v>
      </c>
      <c r="D2892" s="1" t="s">
        <v>9284</v>
      </c>
      <c r="E2892" s="1" t="s">
        <v>178</v>
      </c>
      <c r="F2892" s="1" t="s">
        <v>5017</v>
      </c>
      <c r="G2892" s="1" t="s">
        <v>5018</v>
      </c>
      <c r="H2892" s="1">
        <v>0.1</v>
      </c>
      <c r="I2892" s="1">
        <v>0.1</v>
      </c>
      <c r="J2892" s="1">
        <v>1.1329941480372439</v>
      </c>
      <c r="K2892" s="1" t="s">
        <v>181</v>
      </c>
    </row>
    <row r="2893" spans="1:11" x14ac:dyDescent="0.25">
      <c r="A2893" s="1" t="s">
        <v>9285</v>
      </c>
      <c r="B2893" s="1" t="s">
        <v>8356</v>
      </c>
      <c r="C2893" s="1" t="s">
        <v>9286</v>
      </c>
      <c r="D2893" s="1" t="s">
        <v>9287</v>
      </c>
      <c r="E2893" s="1" t="s">
        <v>178</v>
      </c>
      <c r="F2893" s="1" t="s">
        <v>5017</v>
      </c>
      <c r="G2893" s="1" t="s">
        <v>5018</v>
      </c>
      <c r="H2893" s="1">
        <v>0.1</v>
      </c>
      <c r="I2893" s="1">
        <v>0.1</v>
      </c>
      <c r="J2893" s="1">
        <v>0.73999797396447242</v>
      </c>
      <c r="K2893" s="1" t="s">
        <v>181</v>
      </c>
    </row>
    <row r="2894" spans="1:11" x14ac:dyDescent="0.25">
      <c r="A2894" s="1" t="s">
        <v>9288</v>
      </c>
      <c r="B2894" s="1" t="s">
        <v>8356</v>
      </c>
      <c r="C2894" s="1" t="s">
        <v>9289</v>
      </c>
      <c r="D2894" s="1" t="s">
        <v>9290</v>
      </c>
      <c r="E2894" s="1" t="s">
        <v>178</v>
      </c>
      <c r="F2894" s="1" t="s">
        <v>5017</v>
      </c>
      <c r="G2894" s="1" t="s">
        <v>5018</v>
      </c>
      <c r="H2894" s="1">
        <v>0.1</v>
      </c>
      <c r="I2894" s="1">
        <v>0.1</v>
      </c>
      <c r="J2894" s="1">
        <v>0.75704864964709839</v>
      </c>
      <c r="K2894" s="1" t="s">
        <v>181</v>
      </c>
    </row>
    <row r="2895" spans="1:11" x14ac:dyDescent="0.25">
      <c r="A2895" s="1" t="s">
        <v>9291</v>
      </c>
      <c r="B2895" s="1" t="s">
        <v>9292</v>
      </c>
      <c r="C2895" s="1" t="s">
        <v>9293</v>
      </c>
      <c r="D2895" s="1" t="s">
        <v>9294</v>
      </c>
      <c r="E2895" s="1" t="s">
        <v>178</v>
      </c>
      <c r="F2895" s="1" t="s">
        <v>5017</v>
      </c>
      <c r="G2895" s="1" t="s">
        <v>5018</v>
      </c>
      <c r="H2895" s="1">
        <v>0.1</v>
      </c>
      <c r="I2895" s="1">
        <v>0.1</v>
      </c>
      <c r="J2895" s="1">
        <v>0.7652087310040111</v>
      </c>
      <c r="K2895" s="1" t="s">
        <v>181</v>
      </c>
    </row>
    <row r="2896" spans="1:11" x14ac:dyDescent="0.25">
      <c r="A2896" s="1" t="s">
        <v>9295</v>
      </c>
      <c r="B2896" s="1" t="s">
        <v>9292</v>
      </c>
      <c r="C2896" s="1" t="s">
        <v>9296</v>
      </c>
      <c r="D2896" s="1" t="s">
        <v>9297</v>
      </c>
      <c r="E2896" s="1" t="s">
        <v>178</v>
      </c>
      <c r="F2896" s="1" t="s">
        <v>5017</v>
      </c>
      <c r="G2896" s="1" t="s">
        <v>5018</v>
      </c>
      <c r="H2896" s="1">
        <v>0.1</v>
      </c>
      <c r="I2896" s="1">
        <v>0.1</v>
      </c>
      <c r="J2896" s="1">
        <v>0.75305976423270293</v>
      </c>
      <c r="K2896" s="1" t="s">
        <v>181</v>
      </c>
    </row>
    <row r="2897" spans="1:11" x14ac:dyDescent="0.25">
      <c r="A2897" s="1" t="s">
        <v>9298</v>
      </c>
      <c r="B2897" s="1" t="s">
        <v>9299</v>
      </c>
      <c r="C2897" s="1" t="s">
        <v>9300</v>
      </c>
      <c r="D2897" s="1" t="s">
        <v>9301</v>
      </c>
      <c r="E2897" s="1" t="s">
        <v>178</v>
      </c>
      <c r="F2897" s="1" t="s">
        <v>5017</v>
      </c>
      <c r="G2897" s="1" t="s">
        <v>5018</v>
      </c>
      <c r="H2897" s="1">
        <v>0.1</v>
      </c>
      <c r="I2897" s="1">
        <v>0.1</v>
      </c>
      <c r="J2897" s="1">
        <v>0.6373725512616385</v>
      </c>
      <c r="K2897" s="1" t="s">
        <v>181</v>
      </c>
    </row>
    <row r="2898" spans="1:11" x14ac:dyDescent="0.25">
      <c r="A2898" s="1" t="s">
        <v>9302</v>
      </c>
      <c r="B2898" s="1" t="s">
        <v>9299</v>
      </c>
      <c r="C2898" s="1" t="s">
        <v>9303</v>
      </c>
      <c r="D2898" s="1" t="s">
        <v>9304</v>
      </c>
      <c r="E2898" s="1" t="s">
        <v>178</v>
      </c>
      <c r="F2898" s="1" t="s">
        <v>5017</v>
      </c>
      <c r="G2898" s="1" t="s">
        <v>5018</v>
      </c>
      <c r="H2898" s="1">
        <v>0.1</v>
      </c>
      <c r="I2898" s="1">
        <v>0.1</v>
      </c>
      <c r="J2898" s="1">
        <v>0.62725319737493945</v>
      </c>
      <c r="K2898" s="1" t="s">
        <v>181</v>
      </c>
    </row>
    <row r="2899" spans="1:11" x14ac:dyDescent="0.25">
      <c r="A2899" s="1" t="s">
        <v>9305</v>
      </c>
      <c r="B2899" s="1" t="s">
        <v>9306</v>
      </c>
      <c r="C2899" s="1" t="s">
        <v>9307</v>
      </c>
      <c r="D2899" s="1" t="s">
        <v>9308</v>
      </c>
      <c r="E2899" s="1" t="s">
        <v>178</v>
      </c>
      <c r="F2899" s="1" t="s">
        <v>5017</v>
      </c>
      <c r="G2899" s="1" t="s">
        <v>5018</v>
      </c>
      <c r="H2899" s="1">
        <v>0.1</v>
      </c>
      <c r="I2899" s="1">
        <v>0.1</v>
      </c>
      <c r="J2899" s="1">
        <v>0.74141929829372588</v>
      </c>
      <c r="K2899" s="1" t="s">
        <v>181</v>
      </c>
    </row>
    <row r="2900" spans="1:11" x14ac:dyDescent="0.25">
      <c r="A2900" s="1" t="s">
        <v>9309</v>
      </c>
      <c r="B2900" s="1" t="s">
        <v>9310</v>
      </c>
      <c r="C2900" s="1" t="s">
        <v>9311</v>
      </c>
      <c r="D2900" s="1" t="s">
        <v>9312</v>
      </c>
      <c r="E2900" s="1" t="s">
        <v>178</v>
      </c>
      <c r="F2900" s="1" t="s">
        <v>5017</v>
      </c>
      <c r="G2900" s="1" t="s">
        <v>5018</v>
      </c>
      <c r="H2900" s="1">
        <v>0.1</v>
      </c>
      <c r="I2900" s="1">
        <v>0.1</v>
      </c>
      <c r="J2900" s="1">
        <v>0.8804008088216112</v>
      </c>
      <c r="K2900" s="1" t="s">
        <v>181</v>
      </c>
    </row>
    <row r="2901" spans="1:11" x14ac:dyDescent="0.25">
      <c r="A2901" s="1" t="s">
        <v>9313</v>
      </c>
      <c r="B2901" s="1" t="s">
        <v>9314</v>
      </c>
      <c r="C2901" s="1" t="s">
        <v>9315</v>
      </c>
      <c r="D2901" s="1" t="s">
        <v>9316</v>
      </c>
      <c r="E2901" s="1" t="s">
        <v>178</v>
      </c>
      <c r="F2901" s="1" t="s">
        <v>5017</v>
      </c>
      <c r="G2901" s="1" t="s">
        <v>5018</v>
      </c>
      <c r="H2901" s="1">
        <v>0.1</v>
      </c>
      <c r="I2901" s="1">
        <v>0.1</v>
      </c>
      <c r="J2901" s="1">
        <v>0.72231658698834722</v>
      </c>
      <c r="K2901" s="1" t="s">
        <v>181</v>
      </c>
    </row>
    <row r="2902" spans="1:11" x14ac:dyDescent="0.25">
      <c r="A2902" s="1" t="s">
        <v>9317</v>
      </c>
      <c r="B2902" s="1" t="s">
        <v>6752</v>
      </c>
      <c r="C2902" s="1" t="s">
        <v>9318</v>
      </c>
      <c r="D2902" s="1" t="s">
        <v>9319</v>
      </c>
      <c r="E2902" s="1" t="s">
        <v>178</v>
      </c>
      <c r="F2902" s="1" t="s">
        <v>5017</v>
      </c>
      <c r="G2902" s="1" t="s">
        <v>5018</v>
      </c>
      <c r="H2902" s="1">
        <v>0.1</v>
      </c>
      <c r="I2902" s="1">
        <v>0.1</v>
      </c>
      <c r="J2902" s="1">
        <v>0.97378674302190693</v>
      </c>
      <c r="K2902" s="1" t="s">
        <v>181</v>
      </c>
    </row>
    <row r="2903" spans="1:11" x14ac:dyDescent="0.25">
      <c r="A2903" s="1" t="s">
        <v>9320</v>
      </c>
      <c r="B2903" s="1" t="s">
        <v>9321</v>
      </c>
      <c r="C2903" s="1" t="s">
        <v>9322</v>
      </c>
      <c r="D2903" s="1" t="s">
        <v>9323</v>
      </c>
      <c r="E2903" s="1" t="s">
        <v>178</v>
      </c>
      <c r="F2903" s="1" t="s">
        <v>5017</v>
      </c>
      <c r="G2903" s="1" t="s">
        <v>5018</v>
      </c>
      <c r="H2903" s="1">
        <v>0.1</v>
      </c>
      <c r="I2903" s="1">
        <v>0.1</v>
      </c>
      <c r="J2903" s="1">
        <v>1.0281256169606738</v>
      </c>
      <c r="K2903" s="1" t="s">
        <v>181</v>
      </c>
    </row>
    <row r="2904" spans="1:11" x14ac:dyDescent="0.25">
      <c r="A2904" s="1" t="s">
        <v>9324</v>
      </c>
      <c r="B2904" s="1" t="s">
        <v>7059</v>
      </c>
      <c r="C2904" s="1" t="s">
        <v>9325</v>
      </c>
      <c r="D2904" s="1" t="s">
        <v>9326</v>
      </c>
      <c r="E2904" s="1" t="s">
        <v>178</v>
      </c>
      <c r="F2904" s="1" t="s">
        <v>5017</v>
      </c>
      <c r="G2904" s="1" t="s">
        <v>5018</v>
      </c>
      <c r="H2904" s="1">
        <v>0.1</v>
      </c>
      <c r="I2904" s="1">
        <v>0.1</v>
      </c>
      <c r="J2904" s="1">
        <v>0.86583210390929699</v>
      </c>
      <c r="K2904" s="1" t="s">
        <v>181</v>
      </c>
    </row>
    <row r="2905" spans="1:11" x14ac:dyDescent="0.25">
      <c r="A2905" s="1" t="s">
        <v>9327</v>
      </c>
      <c r="B2905" s="1" t="s">
        <v>7059</v>
      </c>
      <c r="C2905" s="1" t="s">
        <v>9328</v>
      </c>
      <c r="D2905" s="1" t="s">
        <v>9329</v>
      </c>
      <c r="E2905" s="1" t="s">
        <v>178</v>
      </c>
      <c r="F2905" s="1" t="s">
        <v>5017</v>
      </c>
      <c r="G2905" s="1" t="s">
        <v>5018</v>
      </c>
      <c r="H2905" s="1">
        <v>0.1</v>
      </c>
      <c r="I2905" s="1">
        <v>0.1</v>
      </c>
      <c r="J2905" s="1">
        <v>0.79686859230203277</v>
      </c>
      <c r="K2905" s="1" t="s">
        <v>181</v>
      </c>
    </row>
    <row r="2906" spans="1:11" x14ac:dyDescent="0.25">
      <c r="A2906" s="1" t="s">
        <v>9330</v>
      </c>
      <c r="B2906" s="1" t="s">
        <v>9321</v>
      </c>
      <c r="C2906" s="1" t="s">
        <v>9331</v>
      </c>
      <c r="D2906" s="1" t="s">
        <v>9332</v>
      </c>
      <c r="E2906" s="1" t="s">
        <v>178</v>
      </c>
      <c r="F2906" s="1" t="s">
        <v>5017</v>
      </c>
      <c r="G2906" s="1" t="s">
        <v>5018</v>
      </c>
      <c r="H2906" s="1">
        <v>0.1</v>
      </c>
      <c r="I2906" s="1">
        <v>0.1</v>
      </c>
      <c r="J2906" s="1">
        <v>0.81702766806451266</v>
      </c>
      <c r="K2906" s="1" t="s">
        <v>181</v>
      </c>
    </row>
    <row r="2907" spans="1:11" x14ac:dyDescent="0.25">
      <c r="A2907" s="1" t="s">
        <v>9333</v>
      </c>
      <c r="B2907" s="1" t="s">
        <v>9334</v>
      </c>
      <c r="C2907" s="1" t="s">
        <v>9335</v>
      </c>
      <c r="D2907" s="1" t="s">
        <v>9336</v>
      </c>
      <c r="E2907" s="1" t="s">
        <v>178</v>
      </c>
      <c r="F2907" s="1" t="s">
        <v>5017</v>
      </c>
      <c r="G2907" s="1" t="s">
        <v>5018</v>
      </c>
      <c r="H2907" s="1">
        <v>0.1</v>
      </c>
      <c r="I2907" s="1">
        <v>0.1</v>
      </c>
      <c r="J2907" s="1">
        <v>0.81052153667135451</v>
      </c>
      <c r="K2907" s="1" t="s">
        <v>181</v>
      </c>
    </row>
    <row r="2908" spans="1:11" x14ac:dyDescent="0.25">
      <c r="A2908" s="1" t="s">
        <v>9337</v>
      </c>
      <c r="B2908" s="1" t="s">
        <v>9338</v>
      </c>
      <c r="C2908" s="1" t="s">
        <v>9339</v>
      </c>
      <c r="D2908" s="1" t="s">
        <v>9340</v>
      </c>
      <c r="E2908" s="1" t="s">
        <v>178</v>
      </c>
      <c r="F2908" s="1" t="s">
        <v>5017</v>
      </c>
      <c r="G2908" s="1" t="s">
        <v>5018</v>
      </c>
      <c r="H2908" s="1">
        <v>0.1</v>
      </c>
      <c r="I2908" s="1">
        <v>0.1</v>
      </c>
      <c r="J2908" s="1">
        <v>0.85986791795539086</v>
      </c>
      <c r="K2908" s="1" t="s">
        <v>181</v>
      </c>
    </row>
    <row r="2909" spans="1:11" x14ac:dyDescent="0.25">
      <c r="A2909" s="1" t="s">
        <v>9341</v>
      </c>
      <c r="B2909" s="1" t="s">
        <v>9338</v>
      </c>
      <c r="C2909" s="1" t="s">
        <v>9342</v>
      </c>
      <c r="D2909" s="1" t="s">
        <v>9343</v>
      </c>
      <c r="E2909" s="1" t="s">
        <v>178</v>
      </c>
      <c r="F2909" s="1" t="s">
        <v>5017</v>
      </c>
      <c r="G2909" s="1" t="s">
        <v>5018</v>
      </c>
      <c r="H2909" s="1">
        <v>0.1</v>
      </c>
      <c r="I2909" s="1">
        <v>0.1</v>
      </c>
      <c r="J2909" s="1">
        <v>0.95421937892982467</v>
      </c>
      <c r="K2909" s="1" t="s">
        <v>181</v>
      </c>
    </row>
    <row r="2910" spans="1:11" x14ac:dyDescent="0.25">
      <c r="A2910" s="1" t="s">
        <v>9344</v>
      </c>
      <c r="B2910" s="1" t="s">
        <v>9345</v>
      </c>
      <c r="C2910" s="1" t="s">
        <v>9346</v>
      </c>
      <c r="D2910" s="1" t="s">
        <v>9347</v>
      </c>
      <c r="E2910" s="1" t="s">
        <v>178</v>
      </c>
      <c r="F2910" s="1" t="s">
        <v>5017</v>
      </c>
      <c r="G2910" s="1" t="s">
        <v>5018</v>
      </c>
      <c r="H2910" s="1">
        <v>0.1</v>
      </c>
      <c r="I2910" s="1">
        <v>0.1</v>
      </c>
      <c r="J2910" s="1">
        <v>0.69847933832677678</v>
      </c>
      <c r="K2910" s="1" t="s">
        <v>181</v>
      </c>
    </row>
    <row r="2911" spans="1:11" x14ac:dyDescent="0.25">
      <c r="A2911" s="1" t="s">
        <v>9348</v>
      </c>
      <c r="B2911" s="1" t="s">
        <v>9349</v>
      </c>
      <c r="C2911" s="1" t="s">
        <v>9350</v>
      </c>
      <c r="D2911" s="1" t="s">
        <v>9351</v>
      </c>
      <c r="E2911" s="1" t="s">
        <v>178</v>
      </c>
      <c r="F2911" s="1" t="s">
        <v>5017</v>
      </c>
      <c r="G2911" s="1" t="s">
        <v>5018</v>
      </c>
      <c r="H2911" s="1">
        <v>0.1</v>
      </c>
      <c r="I2911" s="1">
        <v>0.1</v>
      </c>
      <c r="J2911" s="1">
        <v>0.48499010729633252</v>
      </c>
      <c r="K2911" s="1" t="s">
        <v>181</v>
      </c>
    </row>
    <row r="2912" spans="1:11" x14ac:dyDescent="0.25">
      <c r="A2912" s="1" t="s">
        <v>9352</v>
      </c>
      <c r="B2912" s="1" t="s">
        <v>9353</v>
      </c>
      <c r="C2912" s="1" t="s">
        <v>9354</v>
      </c>
      <c r="D2912" s="1" t="s">
        <v>9355</v>
      </c>
      <c r="E2912" s="1" t="s">
        <v>178</v>
      </c>
      <c r="F2912" s="1" t="s">
        <v>5017</v>
      </c>
      <c r="G2912" s="1" t="s">
        <v>5018</v>
      </c>
      <c r="H2912" s="1">
        <v>0.1</v>
      </c>
      <c r="I2912" s="1">
        <v>0.1</v>
      </c>
      <c r="J2912" s="1">
        <v>0.81346918395730361</v>
      </c>
      <c r="K2912" s="1" t="s">
        <v>181</v>
      </c>
    </row>
    <row r="2913" spans="1:11" x14ac:dyDescent="0.25">
      <c r="A2913" s="1" t="s">
        <v>9356</v>
      </c>
      <c r="B2913" s="1" t="s">
        <v>7051</v>
      </c>
      <c r="C2913" s="1" t="s">
        <v>9357</v>
      </c>
      <c r="D2913" s="1" t="s">
        <v>9358</v>
      </c>
      <c r="E2913" s="1" t="s">
        <v>178</v>
      </c>
      <c r="F2913" s="1" t="s">
        <v>5017</v>
      </c>
      <c r="G2913" s="1" t="s">
        <v>5018</v>
      </c>
      <c r="H2913" s="1">
        <v>0.1</v>
      </c>
      <c r="I2913" s="1">
        <v>0.1</v>
      </c>
      <c r="J2913" s="1">
        <v>0.97002726765880143</v>
      </c>
      <c r="K2913" s="1" t="s">
        <v>181</v>
      </c>
    </row>
    <row r="2914" spans="1:11" x14ac:dyDescent="0.25">
      <c r="A2914" s="1" t="s">
        <v>9359</v>
      </c>
      <c r="B2914" s="1" t="s">
        <v>7051</v>
      </c>
      <c r="C2914" s="1" t="s">
        <v>9360</v>
      </c>
      <c r="D2914" s="1" t="s">
        <v>9361</v>
      </c>
      <c r="E2914" s="1" t="s">
        <v>178</v>
      </c>
      <c r="F2914" s="1" t="s">
        <v>5017</v>
      </c>
      <c r="G2914" s="1" t="s">
        <v>5018</v>
      </c>
      <c r="H2914" s="1">
        <v>0.1</v>
      </c>
      <c r="I2914" s="1">
        <v>0.1</v>
      </c>
      <c r="J2914" s="1">
        <v>0.97002726765880143</v>
      </c>
      <c r="K2914" s="1" t="s">
        <v>181</v>
      </c>
    </row>
    <row r="2915" spans="1:11" x14ac:dyDescent="0.25">
      <c r="A2915" s="1" t="s">
        <v>9362</v>
      </c>
      <c r="B2915" s="1" t="s">
        <v>7051</v>
      </c>
      <c r="C2915" s="1" t="s">
        <v>9363</v>
      </c>
      <c r="D2915" s="1" t="s">
        <v>9364</v>
      </c>
      <c r="E2915" s="1" t="s">
        <v>178</v>
      </c>
      <c r="F2915" s="1" t="s">
        <v>5017</v>
      </c>
      <c r="G2915" s="1" t="s">
        <v>5018</v>
      </c>
      <c r="H2915" s="1">
        <v>0.1</v>
      </c>
      <c r="I2915" s="1">
        <v>0.1</v>
      </c>
      <c r="J2915" s="1">
        <v>0.97002726765880143</v>
      </c>
      <c r="K2915" s="1" t="s">
        <v>181</v>
      </c>
    </row>
    <row r="2916" spans="1:11" x14ac:dyDescent="0.25">
      <c r="A2916" s="1" t="s">
        <v>9365</v>
      </c>
      <c r="B2916" s="1" t="s">
        <v>9366</v>
      </c>
      <c r="C2916" s="1" t="s">
        <v>9367</v>
      </c>
      <c r="D2916" s="1" t="s">
        <v>9368</v>
      </c>
      <c r="E2916" s="1" t="s">
        <v>178</v>
      </c>
      <c r="F2916" s="1" t="s">
        <v>5017</v>
      </c>
      <c r="G2916" s="1" t="s">
        <v>5018</v>
      </c>
      <c r="H2916" s="1">
        <v>0.1</v>
      </c>
      <c r="I2916" s="1">
        <v>0.1</v>
      </c>
      <c r="J2916" s="1">
        <v>0.94909773042334833</v>
      </c>
      <c r="K2916" s="1" t="s">
        <v>181</v>
      </c>
    </row>
    <row r="2917" spans="1:11" x14ac:dyDescent="0.25">
      <c r="A2917" s="1" t="s">
        <v>9369</v>
      </c>
      <c r="B2917" s="1" t="s">
        <v>9334</v>
      </c>
      <c r="C2917" s="1" t="s">
        <v>9370</v>
      </c>
      <c r="D2917" s="1" t="s">
        <v>9371</v>
      </c>
      <c r="E2917" s="1" t="s">
        <v>178</v>
      </c>
      <c r="F2917" s="1" t="s">
        <v>5017</v>
      </c>
      <c r="G2917" s="1" t="s">
        <v>5018</v>
      </c>
      <c r="H2917" s="1">
        <v>0.1</v>
      </c>
      <c r="I2917" s="1">
        <v>0.1</v>
      </c>
      <c r="J2917" s="1">
        <v>0.81052153667135451</v>
      </c>
      <c r="K2917" s="1" t="s">
        <v>181</v>
      </c>
    </row>
    <row r="2918" spans="1:11" x14ac:dyDescent="0.25">
      <c r="A2918" s="1" t="s">
        <v>9372</v>
      </c>
      <c r="B2918" s="1" t="s">
        <v>9334</v>
      </c>
      <c r="C2918" s="1" t="s">
        <v>9373</v>
      </c>
      <c r="D2918" s="1" t="s">
        <v>9374</v>
      </c>
      <c r="E2918" s="1" t="s">
        <v>178</v>
      </c>
      <c r="F2918" s="1" t="s">
        <v>5017</v>
      </c>
      <c r="G2918" s="1" t="s">
        <v>5018</v>
      </c>
      <c r="H2918" s="1">
        <v>0.1</v>
      </c>
      <c r="I2918" s="1">
        <v>0.1</v>
      </c>
      <c r="J2918" s="1">
        <v>0.81052153667135451</v>
      </c>
      <c r="K2918" s="1" t="s">
        <v>181</v>
      </c>
    </row>
    <row r="2919" spans="1:11" x14ac:dyDescent="0.25">
      <c r="A2919" s="1" t="s">
        <v>9375</v>
      </c>
      <c r="B2919" s="1" t="s">
        <v>7071</v>
      </c>
      <c r="C2919" s="1" t="s">
        <v>9376</v>
      </c>
      <c r="D2919" s="1" t="s">
        <v>9377</v>
      </c>
      <c r="E2919" s="1" t="s">
        <v>178</v>
      </c>
      <c r="F2919" s="1" t="s">
        <v>5017</v>
      </c>
      <c r="G2919" s="1" t="s">
        <v>5018</v>
      </c>
      <c r="H2919" s="1">
        <v>0.1</v>
      </c>
      <c r="I2919" s="1">
        <v>0.1</v>
      </c>
      <c r="J2919" s="1">
        <v>1.1372570220561</v>
      </c>
      <c r="K2919" s="1" t="s">
        <v>181</v>
      </c>
    </row>
    <row r="2920" spans="1:11" x14ac:dyDescent="0.25">
      <c r="A2920" s="1" t="s">
        <v>9378</v>
      </c>
      <c r="B2920" s="1" t="s">
        <v>9379</v>
      </c>
      <c r="C2920" s="1" t="s">
        <v>9380</v>
      </c>
      <c r="D2920" s="1" t="s">
        <v>9381</v>
      </c>
      <c r="E2920" s="1" t="s">
        <v>178</v>
      </c>
      <c r="F2920" s="1" t="s">
        <v>5017</v>
      </c>
      <c r="G2920" s="1" t="s">
        <v>5018</v>
      </c>
      <c r="H2920" s="1">
        <v>0.1</v>
      </c>
      <c r="I2920" s="1">
        <v>0.1</v>
      </c>
      <c r="J2920" s="1">
        <v>0.70416400543771918</v>
      </c>
      <c r="K2920" s="1" t="s">
        <v>181</v>
      </c>
    </row>
    <row r="2921" spans="1:11" x14ac:dyDescent="0.25">
      <c r="A2921" s="1" t="s">
        <v>9382</v>
      </c>
      <c r="B2921" s="1" t="s">
        <v>9383</v>
      </c>
      <c r="C2921" s="1" t="s">
        <v>9384</v>
      </c>
      <c r="D2921" s="1" t="s">
        <v>9385</v>
      </c>
      <c r="E2921" s="1" t="s">
        <v>178</v>
      </c>
      <c r="F2921" s="1" t="s">
        <v>5017</v>
      </c>
      <c r="G2921" s="1" t="s">
        <v>5018</v>
      </c>
      <c r="H2921" s="1">
        <v>0.1</v>
      </c>
      <c r="I2921" s="1">
        <v>0.1</v>
      </c>
      <c r="J2921" s="1">
        <v>0.48877105032020574</v>
      </c>
      <c r="K2921" s="1" t="s">
        <v>181</v>
      </c>
    </row>
    <row r="2922" spans="1:11" x14ac:dyDescent="0.25">
      <c r="A2922" s="1" t="s">
        <v>9386</v>
      </c>
      <c r="B2922" s="1" t="s">
        <v>9383</v>
      </c>
      <c r="C2922" s="1" t="s">
        <v>9387</v>
      </c>
      <c r="D2922" s="1" t="s">
        <v>9388</v>
      </c>
      <c r="E2922" s="1" t="s">
        <v>178</v>
      </c>
      <c r="F2922" s="1" t="s">
        <v>5017</v>
      </c>
      <c r="G2922" s="1" t="s">
        <v>5018</v>
      </c>
      <c r="H2922" s="1">
        <v>0.1</v>
      </c>
      <c r="I2922" s="1">
        <v>0.1</v>
      </c>
      <c r="J2922" s="1">
        <v>0.48877105032020574</v>
      </c>
      <c r="K2922" s="1" t="s">
        <v>181</v>
      </c>
    </row>
    <row r="2923" spans="1:11" x14ac:dyDescent="0.25">
      <c r="A2923" s="1" t="s">
        <v>9389</v>
      </c>
      <c r="B2923" s="1" t="s">
        <v>9383</v>
      </c>
      <c r="C2923" s="1" t="s">
        <v>9390</v>
      </c>
      <c r="D2923" s="1" t="s">
        <v>9391</v>
      </c>
      <c r="E2923" s="1" t="s">
        <v>178</v>
      </c>
      <c r="F2923" s="1" t="s">
        <v>5017</v>
      </c>
      <c r="G2923" s="1" t="s">
        <v>5018</v>
      </c>
      <c r="H2923" s="1">
        <v>0.1</v>
      </c>
      <c r="I2923" s="1">
        <v>0.1</v>
      </c>
      <c r="J2923" s="1">
        <v>0.48877105032020574</v>
      </c>
      <c r="K2923" s="1" t="s">
        <v>181</v>
      </c>
    </row>
    <row r="2924" spans="1:11" x14ac:dyDescent="0.25">
      <c r="A2924" s="1" t="s">
        <v>9392</v>
      </c>
      <c r="B2924" s="1" t="s">
        <v>9393</v>
      </c>
      <c r="C2924" s="1" t="s">
        <v>9394</v>
      </c>
      <c r="D2924" s="1" t="s">
        <v>9395</v>
      </c>
      <c r="E2924" s="1" t="s">
        <v>178</v>
      </c>
      <c r="F2924" s="1" t="s">
        <v>5017</v>
      </c>
      <c r="G2924" s="1" t="s">
        <v>5018</v>
      </c>
      <c r="H2924" s="1">
        <v>0.1</v>
      </c>
      <c r="I2924" s="1">
        <v>0.1</v>
      </c>
      <c r="J2924" s="1">
        <v>0.59465813630756015</v>
      </c>
      <c r="K2924" s="1" t="s">
        <v>181</v>
      </c>
    </row>
    <row r="2925" spans="1:11" x14ac:dyDescent="0.25">
      <c r="A2925" s="1" t="s">
        <v>9396</v>
      </c>
      <c r="B2925" s="1" t="s">
        <v>9397</v>
      </c>
      <c r="C2925" s="1" t="s">
        <v>9398</v>
      </c>
      <c r="D2925" s="1" t="s">
        <v>9399</v>
      </c>
      <c r="E2925" s="1" t="s">
        <v>178</v>
      </c>
      <c r="F2925" s="1" t="s">
        <v>5017</v>
      </c>
      <c r="G2925" s="1" t="s">
        <v>5018</v>
      </c>
      <c r="H2925" s="1">
        <v>0.1</v>
      </c>
      <c r="I2925" s="1">
        <v>0.1</v>
      </c>
      <c r="J2925" s="1">
        <v>0.88999044035970576</v>
      </c>
      <c r="K2925" s="1" t="s">
        <v>181</v>
      </c>
    </row>
    <row r="2926" spans="1:11" x14ac:dyDescent="0.25">
      <c r="A2926" s="1" t="s">
        <v>9400</v>
      </c>
      <c r="B2926" s="1" t="s">
        <v>9401</v>
      </c>
      <c r="C2926" s="1" t="s">
        <v>9402</v>
      </c>
      <c r="D2926" s="1" t="s">
        <v>9403</v>
      </c>
      <c r="E2926" s="1" t="s">
        <v>178</v>
      </c>
      <c r="F2926" s="1" t="s">
        <v>5017</v>
      </c>
      <c r="G2926" s="1" t="s">
        <v>5018</v>
      </c>
      <c r="H2926" s="1">
        <v>0.1</v>
      </c>
      <c r="I2926" s="1">
        <v>0.1</v>
      </c>
      <c r="J2926" s="1">
        <v>0.63666566707615824</v>
      </c>
      <c r="K2926" s="1" t="s">
        <v>181</v>
      </c>
    </row>
    <row r="2927" spans="1:11" x14ac:dyDescent="0.25">
      <c r="A2927" s="1" t="s">
        <v>9404</v>
      </c>
      <c r="B2927" s="1" t="s">
        <v>9405</v>
      </c>
      <c r="C2927" s="1" t="s">
        <v>9406</v>
      </c>
      <c r="D2927" s="1" t="s">
        <v>9407</v>
      </c>
      <c r="E2927" s="1" t="s">
        <v>178</v>
      </c>
      <c r="F2927" s="1" t="s">
        <v>5017</v>
      </c>
      <c r="G2927" s="1" t="s">
        <v>5018</v>
      </c>
      <c r="H2927" s="1">
        <v>0.1</v>
      </c>
      <c r="I2927" s="1">
        <v>0.1</v>
      </c>
      <c r="J2927" s="1">
        <v>0.58777810836046751</v>
      </c>
      <c r="K2927" s="1" t="s">
        <v>181</v>
      </c>
    </row>
    <row r="2928" spans="1:11" x14ac:dyDescent="0.25">
      <c r="A2928" s="1" t="s">
        <v>9408</v>
      </c>
      <c r="B2928" s="1" t="s">
        <v>6735</v>
      </c>
      <c r="C2928" s="1" t="s">
        <v>9409</v>
      </c>
      <c r="D2928" s="1" t="s">
        <v>9410</v>
      </c>
      <c r="E2928" s="1" t="s">
        <v>178</v>
      </c>
      <c r="F2928" s="1" t="s">
        <v>5017</v>
      </c>
      <c r="G2928" s="1" t="s">
        <v>5018</v>
      </c>
      <c r="H2928" s="1">
        <v>0.1</v>
      </c>
      <c r="I2928" s="1">
        <v>0.1</v>
      </c>
      <c r="J2928" s="1">
        <v>1.2322552451999345</v>
      </c>
      <c r="K2928" s="1" t="s">
        <v>181</v>
      </c>
    </row>
    <row r="2929" spans="1:11" x14ac:dyDescent="0.25">
      <c r="A2929" s="1" t="s">
        <v>9411</v>
      </c>
      <c r="B2929" s="1" t="s">
        <v>6735</v>
      </c>
      <c r="C2929" s="1" t="s">
        <v>9412</v>
      </c>
      <c r="D2929" s="1" t="s">
        <v>9413</v>
      </c>
      <c r="E2929" s="1" t="s">
        <v>178</v>
      </c>
      <c r="F2929" s="1" t="s">
        <v>5017</v>
      </c>
      <c r="G2929" s="1" t="s">
        <v>5018</v>
      </c>
      <c r="H2929" s="1">
        <v>0.1</v>
      </c>
      <c r="I2929" s="1">
        <v>0.1</v>
      </c>
      <c r="J2929" s="1">
        <v>0.92512015395664926</v>
      </c>
      <c r="K2929" s="1" t="s">
        <v>181</v>
      </c>
    </row>
    <row r="2930" spans="1:11" x14ac:dyDescent="0.25">
      <c r="A2930" s="1" t="s">
        <v>9414</v>
      </c>
      <c r="B2930" s="1" t="s">
        <v>6735</v>
      </c>
      <c r="C2930" s="1" t="s">
        <v>9415</v>
      </c>
      <c r="D2930" s="1" t="s">
        <v>9416</v>
      </c>
      <c r="E2930" s="1" t="s">
        <v>178</v>
      </c>
      <c r="F2930" s="1" t="s">
        <v>5017</v>
      </c>
      <c r="G2930" s="1" t="s">
        <v>5018</v>
      </c>
      <c r="H2930" s="1">
        <v>0.1</v>
      </c>
      <c r="I2930" s="1">
        <v>0.1</v>
      </c>
      <c r="J2930" s="1">
        <v>1.1082057752781331</v>
      </c>
      <c r="K2930" s="1" t="s">
        <v>181</v>
      </c>
    </row>
    <row r="2931" spans="1:11" x14ac:dyDescent="0.25">
      <c r="A2931" s="1" t="s">
        <v>9417</v>
      </c>
      <c r="B2931" s="1" t="s">
        <v>6735</v>
      </c>
      <c r="C2931" s="1" t="s">
        <v>9418</v>
      </c>
      <c r="D2931" s="1" t="s">
        <v>9419</v>
      </c>
      <c r="E2931" s="1" t="s">
        <v>178</v>
      </c>
      <c r="F2931" s="1" t="s">
        <v>5017</v>
      </c>
      <c r="G2931" s="1" t="s">
        <v>5018</v>
      </c>
      <c r="H2931" s="1">
        <v>0.1</v>
      </c>
      <c r="I2931" s="1">
        <v>0.1</v>
      </c>
      <c r="J2931" s="1">
        <v>0.92512015395664926</v>
      </c>
      <c r="K2931" s="1" t="s">
        <v>181</v>
      </c>
    </row>
    <row r="2932" spans="1:11" x14ac:dyDescent="0.25">
      <c r="A2932" s="1" t="s">
        <v>9420</v>
      </c>
      <c r="B2932" s="1" t="s">
        <v>6735</v>
      </c>
      <c r="C2932" s="1" t="s">
        <v>9421</v>
      </c>
      <c r="D2932" s="1" t="s">
        <v>9422</v>
      </c>
      <c r="E2932" s="1" t="s">
        <v>178</v>
      </c>
      <c r="F2932" s="1" t="s">
        <v>5017</v>
      </c>
      <c r="G2932" s="1" t="s">
        <v>5018</v>
      </c>
      <c r="H2932" s="1">
        <v>0.1</v>
      </c>
      <c r="I2932" s="1">
        <v>0.1</v>
      </c>
      <c r="J2932" s="1">
        <v>1.1082057752781331</v>
      </c>
      <c r="K2932" s="1" t="s">
        <v>181</v>
      </c>
    </row>
    <row r="2933" spans="1:11" x14ac:dyDescent="0.25">
      <c r="A2933" s="1" t="s">
        <v>9423</v>
      </c>
      <c r="B2933" s="1" t="s">
        <v>6735</v>
      </c>
      <c r="C2933" s="1" t="s">
        <v>9424</v>
      </c>
      <c r="D2933" s="1" t="s">
        <v>9425</v>
      </c>
      <c r="E2933" s="1" t="s">
        <v>178</v>
      </c>
      <c r="F2933" s="1" t="s">
        <v>5017</v>
      </c>
      <c r="G2933" s="1" t="s">
        <v>5018</v>
      </c>
      <c r="H2933" s="1">
        <v>0.1</v>
      </c>
      <c r="I2933" s="1">
        <v>0.1</v>
      </c>
      <c r="J2933" s="1">
        <v>1.3580723681540547</v>
      </c>
      <c r="K2933" s="1" t="s">
        <v>181</v>
      </c>
    </row>
    <row r="2934" spans="1:11" x14ac:dyDescent="0.25">
      <c r="A2934" s="1" t="s">
        <v>9426</v>
      </c>
      <c r="B2934" s="1" t="s">
        <v>6735</v>
      </c>
      <c r="C2934" s="1" t="s">
        <v>9427</v>
      </c>
      <c r="D2934" s="1" t="s">
        <v>9428</v>
      </c>
      <c r="E2934" s="1" t="s">
        <v>178</v>
      </c>
      <c r="F2934" s="1" t="s">
        <v>5017</v>
      </c>
      <c r="G2934" s="1" t="s">
        <v>5018</v>
      </c>
      <c r="H2934" s="1">
        <v>0.1</v>
      </c>
      <c r="I2934" s="1">
        <v>0.1</v>
      </c>
      <c r="J2934" s="1">
        <v>1.4083850521867589</v>
      </c>
      <c r="K2934" s="1" t="s">
        <v>181</v>
      </c>
    </row>
    <row r="2935" spans="1:11" x14ac:dyDescent="0.25">
      <c r="A2935" s="1" t="s">
        <v>9429</v>
      </c>
      <c r="B2935" s="1" t="s">
        <v>9430</v>
      </c>
      <c r="C2935" s="1" t="s">
        <v>9431</v>
      </c>
      <c r="D2935" s="1" t="s">
        <v>9432</v>
      </c>
      <c r="E2935" s="1" t="s">
        <v>178</v>
      </c>
      <c r="F2935" s="1" t="s">
        <v>5017</v>
      </c>
      <c r="G2935" s="1" t="s">
        <v>5018</v>
      </c>
      <c r="H2935" s="1">
        <v>0.1</v>
      </c>
      <c r="I2935" s="1">
        <v>0.1</v>
      </c>
      <c r="J2935" s="1">
        <v>1.1335885790712015</v>
      </c>
      <c r="K2935" s="1" t="s">
        <v>181</v>
      </c>
    </row>
    <row r="2936" spans="1:11" x14ac:dyDescent="0.25">
      <c r="A2936" s="1" t="s">
        <v>9433</v>
      </c>
      <c r="B2936" s="1" t="s">
        <v>9434</v>
      </c>
      <c r="C2936" s="1" t="s">
        <v>9435</v>
      </c>
      <c r="D2936" s="1" t="s">
        <v>9436</v>
      </c>
      <c r="E2936" s="1" t="s">
        <v>178</v>
      </c>
      <c r="F2936" s="1" t="s">
        <v>5017</v>
      </c>
      <c r="G2936" s="1" t="s">
        <v>5018</v>
      </c>
      <c r="H2936" s="1">
        <v>0.1</v>
      </c>
      <c r="I2936" s="1">
        <v>0.1</v>
      </c>
      <c r="J2936" s="1">
        <v>0.92901487123793669</v>
      </c>
      <c r="K2936" s="1" t="s">
        <v>181</v>
      </c>
    </row>
    <row r="2937" spans="1:11" x14ac:dyDescent="0.25">
      <c r="A2937" s="1" t="s">
        <v>9437</v>
      </c>
      <c r="B2937" s="1" t="s">
        <v>6735</v>
      </c>
      <c r="C2937" s="1" t="s">
        <v>9438</v>
      </c>
      <c r="D2937" s="1" t="s">
        <v>9439</v>
      </c>
      <c r="E2937" s="1" t="s">
        <v>178</v>
      </c>
      <c r="F2937" s="1" t="s">
        <v>5017</v>
      </c>
      <c r="G2937" s="1" t="s">
        <v>5018</v>
      </c>
      <c r="H2937" s="1">
        <v>0.1</v>
      </c>
      <c r="I2937" s="1">
        <v>0.1</v>
      </c>
      <c r="J2937" s="1">
        <v>1.2470960582612143</v>
      </c>
      <c r="K2937" s="1" t="s">
        <v>181</v>
      </c>
    </row>
    <row r="2938" spans="1:11" x14ac:dyDescent="0.25">
      <c r="A2938" s="1" t="s">
        <v>9440</v>
      </c>
      <c r="B2938" s="1" t="s">
        <v>6735</v>
      </c>
      <c r="C2938" s="1" t="s">
        <v>9441</v>
      </c>
      <c r="D2938" s="1" t="s">
        <v>9442</v>
      </c>
      <c r="E2938" s="1" t="s">
        <v>178</v>
      </c>
      <c r="F2938" s="1" t="s">
        <v>5017</v>
      </c>
      <c r="G2938" s="1" t="s">
        <v>5018</v>
      </c>
      <c r="H2938" s="1">
        <v>0.1</v>
      </c>
      <c r="I2938" s="1">
        <v>0.1</v>
      </c>
      <c r="J2938" s="1">
        <v>1.3011735024609277</v>
      </c>
      <c r="K2938" s="1" t="s">
        <v>181</v>
      </c>
    </row>
    <row r="2939" spans="1:11" x14ac:dyDescent="0.25">
      <c r="A2939" s="1" t="s">
        <v>9443</v>
      </c>
      <c r="B2939" s="1" t="s">
        <v>6735</v>
      </c>
      <c r="C2939" s="1" t="s">
        <v>9444</v>
      </c>
      <c r="D2939" s="1" t="s">
        <v>9445</v>
      </c>
      <c r="E2939" s="1" t="s">
        <v>178</v>
      </c>
      <c r="F2939" s="1" t="s">
        <v>5017</v>
      </c>
      <c r="G2939" s="1" t="s">
        <v>5018</v>
      </c>
      <c r="H2939" s="1">
        <v>0.1</v>
      </c>
      <c r="I2939" s="1">
        <v>0.1</v>
      </c>
      <c r="J2939" s="1">
        <v>1.1519457031828664</v>
      </c>
      <c r="K2939" s="1" t="s">
        <v>181</v>
      </c>
    </row>
    <row r="2940" spans="1:11" x14ac:dyDescent="0.25">
      <c r="A2940" s="1" t="s">
        <v>9446</v>
      </c>
      <c r="B2940" s="1" t="s">
        <v>9447</v>
      </c>
      <c r="C2940" s="1" t="s">
        <v>9448</v>
      </c>
      <c r="D2940" s="1" t="s">
        <v>9449</v>
      </c>
      <c r="E2940" s="1" t="s">
        <v>178</v>
      </c>
      <c r="F2940" s="1" t="s">
        <v>5017</v>
      </c>
      <c r="G2940" s="1" t="s">
        <v>5018</v>
      </c>
      <c r="H2940" s="1">
        <v>0.1</v>
      </c>
      <c r="I2940" s="1">
        <v>0.1</v>
      </c>
      <c r="J2940" s="1">
        <v>0.64340060533409782</v>
      </c>
      <c r="K2940" s="1" t="s">
        <v>181</v>
      </c>
    </row>
    <row r="2941" spans="1:11" x14ac:dyDescent="0.25">
      <c r="A2941" s="1" t="s">
        <v>9450</v>
      </c>
      <c r="B2941" s="1" t="s">
        <v>9447</v>
      </c>
      <c r="C2941" s="1" t="s">
        <v>9451</v>
      </c>
      <c r="D2941" s="1" t="s">
        <v>9452</v>
      </c>
      <c r="E2941" s="1" t="s">
        <v>178</v>
      </c>
      <c r="F2941" s="1" t="s">
        <v>5017</v>
      </c>
      <c r="G2941" s="1" t="s">
        <v>5018</v>
      </c>
      <c r="H2941" s="1">
        <v>0.1</v>
      </c>
      <c r="I2941" s="1">
        <v>0.1</v>
      </c>
      <c r="J2941" s="1">
        <v>0.62319870765504837</v>
      </c>
      <c r="K2941" s="1" t="s">
        <v>181</v>
      </c>
    </row>
    <row r="2942" spans="1:11" x14ac:dyDescent="0.25">
      <c r="A2942" s="1" t="s">
        <v>9453</v>
      </c>
      <c r="B2942" s="1" t="s">
        <v>9454</v>
      </c>
      <c r="C2942" s="1" t="s">
        <v>9455</v>
      </c>
      <c r="D2942" s="1" t="s">
        <v>9456</v>
      </c>
      <c r="E2942" s="1" t="s">
        <v>178</v>
      </c>
      <c r="F2942" s="1" t="s">
        <v>5017</v>
      </c>
      <c r="G2942" s="1" t="s">
        <v>5018</v>
      </c>
      <c r="H2942" s="1">
        <v>0.1</v>
      </c>
      <c r="I2942" s="1">
        <v>0.1</v>
      </c>
      <c r="J2942" s="1">
        <v>0.56407446118971594</v>
      </c>
      <c r="K2942" s="1" t="s">
        <v>181</v>
      </c>
    </row>
    <row r="2943" spans="1:11" x14ac:dyDescent="0.25">
      <c r="A2943" s="1" t="s">
        <v>9457</v>
      </c>
      <c r="B2943" s="1" t="s">
        <v>9458</v>
      </c>
      <c r="C2943" s="1" t="s">
        <v>9459</v>
      </c>
      <c r="D2943" s="1" t="s">
        <v>9460</v>
      </c>
      <c r="E2943" s="1" t="s">
        <v>178</v>
      </c>
      <c r="F2943" s="1" t="s">
        <v>5017</v>
      </c>
      <c r="G2943" s="1" t="s">
        <v>5018</v>
      </c>
      <c r="H2943" s="1">
        <v>0.1</v>
      </c>
      <c r="I2943" s="1">
        <v>0.1</v>
      </c>
      <c r="J2943" s="1">
        <v>0.54020068330646787</v>
      </c>
      <c r="K2943" s="1" t="s">
        <v>181</v>
      </c>
    </row>
    <row r="2944" spans="1:11" x14ac:dyDescent="0.25">
      <c r="A2944" s="1" t="s">
        <v>9461</v>
      </c>
      <c r="B2944" s="1" t="s">
        <v>6886</v>
      </c>
      <c r="C2944" s="1" t="s">
        <v>9462</v>
      </c>
      <c r="D2944" s="1" t="s">
        <v>9463</v>
      </c>
      <c r="E2944" s="1" t="s">
        <v>178</v>
      </c>
      <c r="F2944" s="1" t="s">
        <v>5017</v>
      </c>
      <c r="G2944" s="1" t="s">
        <v>5018</v>
      </c>
      <c r="H2944" s="1">
        <v>0.1</v>
      </c>
      <c r="I2944" s="1">
        <v>0.1</v>
      </c>
      <c r="J2944" s="1">
        <v>0.83920402183928955</v>
      </c>
      <c r="K2944" s="1" t="s">
        <v>181</v>
      </c>
    </row>
    <row r="2945" spans="1:11" x14ac:dyDescent="0.25">
      <c r="A2945" s="1" t="s">
        <v>9464</v>
      </c>
      <c r="B2945" s="1" t="s">
        <v>9465</v>
      </c>
      <c r="C2945" s="1" t="s">
        <v>9466</v>
      </c>
      <c r="D2945" s="1" t="s">
        <v>9467</v>
      </c>
      <c r="E2945" s="1" t="s">
        <v>178</v>
      </c>
      <c r="F2945" s="1" t="s">
        <v>5017</v>
      </c>
      <c r="G2945" s="1" t="s">
        <v>5018</v>
      </c>
      <c r="H2945" s="1">
        <v>0.1</v>
      </c>
      <c r="I2945" s="1">
        <v>0.1</v>
      </c>
      <c r="J2945" s="1">
        <v>0.81768099994698173</v>
      </c>
      <c r="K2945" s="1" t="s">
        <v>181</v>
      </c>
    </row>
    <row r="2946" spans="1:11" x14ac:dyDescent="0.25">
      <c r="A2946" s="1" t="s">
        <v>9468</v>
      </c>
      <c r="B2946" s="1" t="s">
        <v>9469</v>
      </c>
      <c r="C2946" s="1" t="s">
        <v>9470</v>
      </c>
      <c r="D2946" s="1" t="s">
        <v>9471</v>
      </c>
      <c r="E2946" s="1" t="s">
        <v>178</v>
      </c>
      <c r="F2946" s="1" t="s">
        <v>5017</v>
      </c>
      <c r="G2946" s="1" t="s">
        <v>5018</v>
      </c>
      <c r="H2946" s="1">
        <v>0.1</v>
      </c>
      <c r="I2946" s="1">
        <v>0.1</v>
      </c>
      <c r="J2946" s="1">
        <v>0.76444641935278757</v>
      </c>
      <c r="K2946" s="1" t="s">
        <v>181</v>
      </c>
    </row>
    <row r="2947" spans="1:11" x14ac:dyDescent="0.25">
      <c r="A2947" s="1" t="s">
        <v>9472</v>
      </c>
      <c r="B2947" s="1" t="s">
        <v>9473</v>
      </c>
      <c r="C2947" s="1" t="s">
        <v>9474</v>
      </c>
      <c r="D2947" s="1" t="s">
        <v>9475</v>
      </c>
      <c r="E2947" s="1" t="s">
        <v>178</v>
      </c>
      <c r="F2947" s="1" t="s">
        <v>5017</v>
      </c>
      <c r="G2947" s="1" t="s">
        <v>5018</v>
      </c>
      <c r="H2947" s="1">
        <v>0.1</v>
      </c>
      <c r="I2947" s="1">
        <v>0.1</v>
      </c>
      <c r="J2947" s="1">
        <v>0.69532817501834987</v>
      </c>
      <c r="K2947" s="1" t="s">
        <v>181</v>
      </c>
    </row>
    <row r="2948" spans="1:11" x14ac:dyDescent="0.25">
      <c r="A2948" s="1" t="s">
        <v>9476</v>
      </c>
      <c r="B2948" s="1" t="s">
        <v>8441</v>
      </c>
      <c r="C2948" s="1" t="s">
        <v>9477</v>
      </c>
      <c r="D2948" s="1" t="s">
        <v>9478</v>
      </c>
      <c r="E2948" s="1" t="s">
        <v>178</v>
      </c>
      <c r="F2948" s="1" t="s">
        <v>5017</v>
      </c>
      <c r="G2948" s="1" t="s">
        <v>5018</v>
      </c>
      <c r="H2948" s="1">
        <v>0.1</v>
      </c>
      <c r="I2948" s="1">
        <v>0.1</v>
      </c>
      <c r="J2948" s="1">
        <v>0.81077792339822718</v>
      </c>
      <c r="K2948" s="1" t="s">
        <v>181</v>
      </c>
    </row>
    <row r="2949" spans="1:11" x14ac:dyDescent="0.25">
      <c r="A2949" s="1" t="s">
        <v>9479</v>
      </c>
      <c r="B2949" s="1" t="s">
        <v>8441</v>
      </c>
      <c r="C2949" s="1" t="s">
        <v>9480</v>
      </c>
      <c r="D2949" s="1" t="s">
        <v>9481</v>
      </c>
      <c r="E2949" s="1" t="s">
        <v>178</v>
      </c>
      <c r="F2949" s="1" t="s">
        <v>5017</v>
      </c>
      <c r="G2949" s="1" t="s">
        <v>5018</v>
      </c>
      <c r="H2949" s="1">
        <v>0.1</v>
      </c>
      <c r="I2949" s="1">
        <v>0.1</v>
      </c>
      <c r="J2949" s="1">
        <v>0.53088243325484097</v>
      </c>
      <c r="K2949" s="1" t="s">
        <v>181</v>
      </c>
    </row>
    <row r="2950" spans="1:11" x14ac:dyDescent="0.25">
      <c r="A2950" s="1" t="s">
        <v>9482</v>
      </c>
      <c r="B2950" s="1" t="s">
        <v>9483</v>
      </c>
      <c r="C2950" s="1" t="s">
        <v>9484</v>
      </c>
      <c r="D2950" s="1" t="s">
        <v>9485</v>
      </c>
      <c r="E2950" s="1" t="s">
        <v>178</v>
      </c>
      <c r="F2950" s="1" t="s">
        <v>5017</v>
      </c>
      <c r="G2950" s="1" t="s">
        <v>5018</v>
      </c>
      <c r="H2950" s="1">
        <v>0.1</v>
      </c>
      <c r="I2950" s="1">
        <v>0.1</v>
      </c>
      <c r="J2950" s="1">
        <v>0.51765680825477023</v>
      </c>
      <c r="K2950" s="1" t="s">
        <v>181</v>
      </c>
    </row>
    <row r="2951" spans="1:11" x14ac:dyDescent="0.25">
      <c r="A2951" s="1" t="s">
        <v>9486</v>
      </c>
      <c r="B2951" s="1" t="s">
        <v>9487</v>
      </c>
      <c r="C2951" s="1" t="s">
        <v>9488</v>
      </c>
      <c r="D2951" s="1" t="s">
        <v>9489</v>
      </c>
      <c r="E2951" s="1" t="s">
        <v>178</v>
      </c>
      <c r="F2951" s="1" t="s">
        <v>5017</v>
      </c>
      <c r="G2951" s="1" t="s">
        <v>5018</v>
      </c>
      <c r="H2951" s="1">
        <v>0.1</v>
      </c>
      <c r="I2951" s="1">
        <v>0.1</v>
      </c>
      <c r="J2951" s="1">
        <v>0.78859079341646121</v>
      </c>
      <c r="K2951" s="1" t="s">
        <v>181</v>
      </c>
    </row>
    <row r="2952" spans="1:11" x14ac:dyDescent="0.25">
      <c r="A2952" s="1" t="s">
        <v>9490</v>
      </c>
      <c r="B2952" s="1" t="s">
        <v>9487</v>
      </c>
      <c r="C2952" s="1" t="s">
        <v>9491</v>
      </c>
      <c r="D2952" s="1" t="s">
        <v>9492</v>
      </c>
      <c r="E2952" s="1" t="s">
        <v>178</v>
      </c>
      <c r="F2952" s="1" t="s">
        <v>5017</v>
      </c>
      <c r="G2952" s="1" t="s">
        <v>5018</v>
      </c>
      <c r="H2952" s="1">
        <v>0.1</v>
      </c>
      <c r="I2952" s="1">
        <v>0.1</v>
      </c>
      <c r="J2952" s="1">
        <v>0.89065896294417057</v>
      </c>
      <c r="K2952" s="1" t="s">
        <v>181</v>
      </c>
    </row>
    <row r="2953" spans="1:11" x14ac:dyDescent="0.25">
      <c r="A2953" s="1" t="s">
        <v>9493</v>
      </c>
      <c r="B2953" s="1" t="s">
        <v>9494</v>
      </c>
      <c r="C2953" s="1" t="s">
        <v>9495</v>
      </c>
      <c r="D2953" s="1" t="s">
        <v>9496</v>
      </c>
      <c r="E2953" s="1" t="s">
        <v>178</v>
      </c>
      <c r="F2953" s="1" t="s">
        <v>5017</v>
      </c>
      <c r="G2953" s="1" t="s">
        <v>5018</v>
      </c>
      <c r="H2953" s="1">
        <v>0.1</v>
      </c>
      <c r="I2953" s="1">
        <v>0.1</v>
      </c>
      <c r="J2953" s="1">
        <v>0.49961097055356585</v>
      </c>
      <c r="K2953" s="1" t="s">
        <v>181</v>
      </c>
    </row>
    <row r="2954" spans="1:11" x14ac:dyDescent="0.25">
      <c r="A2954" s="1" t="s">
        <v>9497</v>
      </c>
      <c r="B2954" s="1" t="s">
        <v>9487</v>
      </c>
      <c r="C2954" s="1" t="s">
        <v>9498</v>
      </c>
      <c r="D2954" s="1" t="s">
        <v>9499</v>
      </c>
      <c r="E2954" s="1" t="s">
        <v>178</v>
      </c>
      <c r="F2954" s="1" t="s">
        <v>5017</v>
      </c>
      <c r="G2954" s="1" t="s">
        <v>5018</v>
      </c>
      <c r="H2954" s="1">
        <v>0.1</v>
      </c>
      <c r="I2954" s="1">
        <v>0.1</v>
      </c>
      <c r="J2954" s="1">
        <v>0.89178348591121748</v>
      </c>
      <c r="K2954" s="1" t="s">
        <v>181</v>
      </c>
    </row>
    <row r="2955" spans="1:11" x14ac:dyDescent="0.25">
      <c r="A2955" s="1" t="s">
        <v>9500</v>
      </c>
      <c r="B2955" s="1" t="s">
        <v>9501</v>
      </c>
      <c r="C2955" s="1" t="s">
        <v>9502</v>
      </c>
      <c r="D2955" s="1" t="s">
        <v>9503</v>
      </c>
      <c r="E2955" s="1" t="s">
        <v>178</v>
      </c>
      <c r="F2955" s="1" t="s">
        <v>5017</v>
      </c>
      <c r="G2955" s="1" t="s">
        <v>5018</v>
      </c>
      <c r="H2955" s="1">
        <v>0.1</v>
      </c>
      <c r="I2955" s="1">
        <v>0.1</v>
      </c>
      <c r="J2955" s="1">
        <v>0.75668063507356464</v>
      </c>
      <c r="K2955" s="1" t="s">
        <v>181</v>
      </c>
    </row>
    <row r="2956" spans="1:11" x14ac:dyDescent="0.25">
      <c r="A2956" s="1" t="s">
        <v>9504</v>
      </c>
      <c r="B2956" s="1" t="s">
        <v>9501</v>
      </c>
      <c r="C2956" s="1" t="s">
        <v>9505</v>
      </c>
      <c r="D2956" s="1" t="s">
        <v>9506</v>
      </c>
      <c r="E2956" s="1" t="s">
        <v>178</v>
      </c>
      <c r="F2956" s="1" t="s">
        <v>5017</v>
      </c>
      <c r="G2956" s="1" t="s">
        <v>5018</v>
      </c>
      <c r="H2956" s="1">
        <v>0.1</v>
      </c>
      <c r="I2956" s="1">
        <v>0.1</v>
      </c>
      <c r="J2956" s="1">
        <v>0.78214547495114417</v>
      </c>
      <c r="K2956" s="1" t="s">
        <v>181</v>
      </c>
    </row>
    <row r="2957" spans="1:11" x14ac:dyDescent="0.25">
      <c r="A2957" s="1" t="s">
        <v>9507</v>
      </c>
      <c r="B2957" s="1" t="s">
        <v>9508</v>
      </c>
      <c r="C2957" s="1" t="s">
        <v>9509</v>
      </c>
      <c r="D2957" s="1" t="s">
        <v>9510</v>
      </c>
      <c r="E2957" s="1" t="s">
        <v>178</v>
      </c>
      <c r="F2957" s="1" t="s">
        <v>5017</v>
      </c>
      <c r="G2957" s="1" t="s">
        <v>5018</v>
      </c>
      <c r="H2957" s="1">
        <v>0.1</v>
      </c>
      <c r="I2957" s="1">
        <v>0.1</v>
      </c>
      <c r="J2957" s="1">
        <v>0.80599124727742255</v>
      </c>
      <c r="K2957" s="1" t="s">
        <v>181</v>
      </c>
    </row>
    <row r="2958" spans="1:11" x14ac:dyDescent="0.25">
      <c r="A2958" s="1" t="s">
        <v>9511</v>
      </c>
      <c r="B2958" s="1" t="s">
        <v>9512</v>
      </c>
      <c r="C2958" s="1" t="s">
        <v>9513</v>
      </c>
      <c r="D2958" s="1" t="s">
        <v>9514</v>
      </c>
      <c r="E2958" s="1" t="s">
        <v>178</v>
      </c>
      <c r="F2958" s="1" t="s">
        <v>5017</v>
      </c>
      <c r="G2958" s="1" t="s">
        <v>5018</v>
      </c>
      <c r="H2958" s="1">
        <v>0.1</v>
      </c>
      <c r="I2958" s="1">
        <v>0.1</v>
      </c>
      <c r="J2958" s="1">
        <v>0.47472454124892238</v>
      </c>
      <c r="K2958" s="1" t="s">
        <v>181</v>
      </c>
    </row>
    <row r="2959" spans="1:11" x14ac:dyDescent="0.25">
      <c r="A2959" s="1" t="s">
        <v>9515</v>
      </c>
      <c r="B2959" s="1" t="s">
        <v>9512</v>
      </c>
      <c r="C2959" s="1" t="s">
        <v>9516</v>
      </c>
      <c r="D2959" s="1" t="s">
        <v>9517</v>
      </c>
      <c r="E2959" s="1" t="s">
        <v>178</v>
      </c>
      <c r="F2959" s="1" t="s">
        <v>5017</v>
      </c>
      <c r="G2959" s="1" t="s">
        <v>5018</v>
      </c>
      <c r="H2959" s="1">
        <v>0.1</v>
      </c>
      <c r="I2959" s="1">
        <v>0.1</v>
      </c>
      <c r="J2959" s="1">
        <v>0.42669340397373062</v>
      </c>
      <c r="K2959" s="1" t="s">
        <v>181</v>
      </c>
    </row>
    <row r="2960" spans="1:11" x14ac:dyDescent="0.25">
      <c r="A2960" s="1" t="s">
        <v>9518</v>
      </c>
      <c r="B2960" s="1" t="s">
        <v>9519</v>
      </c>
      <c r="C2960" s="1" t="s">
        <v>9520</v>
      </c>
      <c r="D2960" s="1" t="s">
        <v>9521</v>
      </c>
      <c r="E2960" s="1" t="s">
        <v>178</v>
      </c>
      <c r="F2960" s="1" t="s">
        <v>5017</v>
      </c>
      <c r="G2960" s="1" t="s">
        <v>5018</v>
      </c>
      <c r="H2960" s="1">
        <v>0.1</v>
      </c>
      <c r="I2960" s="1">
        <v>0.1</v>
      </c>
      <c r="J2960" s="1">
        <v>0.60467479688118619</v>
      </c>
      <c r="K2960" s="1" t="s">
        <v>181</v>
      </c>
    </row>
    <row r="2961" spans="1:11" x14ac:dyDescent="0.25">
      <c r="A2961" s="1" t="s">
        <v>9522</v>
      </c>
      <c r="B2961" s="1" t="s">
        <v>9519</v>
      </c>
      <c r="C2961" s="1" t="s">
        <v>9523</v>
      </c>
      <c r="D2961" s="1" t="s">
        <v>9524</v>
      </c>
      <c r="E2961" s="1" t="s">
        <v>178</v>
      </c>
      <c r="F2961" s="1" t="s">
        <v>5017</v>
      </c>
      <c r="G2961" s="1" t="s">
        <v>5018</v>
      </c>
      <c r="H2961" s="1">
        <v>0.1</v>
      </c>
      <c r="I2961" s="1">
        <v>0.1</v>
      </c>
      <c r="J2961" s="1">
        <v>0.60467479688118619</v>
      </c>
      <c r="K2961" s="1" t="s">
        <v>181</v>
      </c>
    </row>
    <row r="2962" spans="1:11" x14ac:dyDescent="0.25">
      <c r="A2962" s="1" t="s">
        <v>9525</v>
      </c>
      <c r="B2962" s="1" t="s">
        <v>9512</v>
      </c>
      <c r="C2962" s="1" t="s">
        <v>9526</v>
      </c>
      <c r="D2962" s="1" t="s">
        <v>9527</v>
      </c>
      <c r="E2962" s="1" t="s">
        <v>178</v>
      </c>
      <c r="F2962" s="1" t="s">
        <v>5017</v>
      </c>
      <c r="G2962" s="1" t="s">
        <v>5018</v>
      </c>
      <c r="H2962" s="1">
        <v>0.1</v>
      </c>
      <c r="I2962" s="1">
        <v>0.1</v>
      </c>
      <c r="J2962" s="1">
        <v>0.43965342153355036</v>
      </c>
      <c r="K2962" s="1" t="s">
        <v>181</v>
      </c>
    </row>
    <row r="2963" spans="1:11" x14ac:dyDescent="0.25">
      <c r="A2963" s="1" t="s">
        <v>9528</v>
      </c>
      <c r="B2963" s="1" t="s">
        <v>9529</v>
      </c>
      <c r="C2963" s="1" t="s">
        <v>9530</v>
      </c>
      <c r="D2963" s="1" t="s">
        <v>9531</v>
      </c>
      <c r="E2963" s="1" t="s">
        <v>178</v>
      </c>
      <c r="F2963" s="1" t="s">
        <v>5017</v>
      </c>
      <c r="G2963" s="1" t="s">
        <v>5018</v>
      </c>
      <c r="H2963" s="1">
        <v>0.1</v>
      </c>
      <c r="I2963" s="1">
        <v>0.1</v>
      </c>
      <c r="J2963" s="1">
        <v>1.0712736405454504</v>
      </c>
      <c r="K2963" s="1" t="s">
        <v>181</v>
      </c>
    </row>
    <row r="2964" spans="1:11" x14ac:dyDescent="0.25">
      <c r="A2964" s="1" t="s">
        <v>9532</v>
      </c>
      <c r="B2964" s="1" t="s">
        <v>9512</v>
      </c>
      <c r="C2964" s="1" t="s">
        <v>9533</v>
      </c>
      <c r="D2964" s="1" t="s">
        <v>9534</v>
      </c>
      <c r="E2964" s="1" t="s">
        <v>178</v>
      </c>
      <c r="F2964" s="1" t="s">
        <v>5017</v>
      </c>
      <c r="G2964" s="1" t="s">
        <v>5018</v>
      </c>
      <c r="H2964" s="1">
        <v>0.1</v>
      </c>
      <c r="I2964" s="1">
        <v>0.1</v>
      </c>
      <c r="J2964" s="1">
        <v>0.47472454124892238</v>
      </c>
      <c r="K2964" s="1" t="s">
        <v>181</v>
      </c>
    </row>
    <row r="2965" spans="1:11" x14ac:dyDescent="0.25">
      <c r="A2965" s="1" t="s">
        <v>9535</v>
      </c>
      <c r="B2965" s="1" t="s">
        <v>9536</v>
      </c>
      <c r="C2965" s="1" t="s">
        <v>9537</v>
      </c>
      <c r="D2965" s="1" t="s">
        <v>9538</v>
      </c>
      <c r="E2965" s="1" t="s">
        <v>178</v>
      </c>
      <c r="F2965" s="1" t="s">
        <v>5017</v>
      </c>
      <c r="G2965" s="1" t="s">
        <v>5018</v>
      </c>
      <c r="H2965" s="1">
        <v>0.1</v>
      </c>
      <c r="I2965" s="1">
        <v>0.1</v>
      </c>
      <c r="J2965" s="1">
        <v>0.39990082323362169</v>
      </c>
      <c r="K2965" s="1" t="s">
        <v>181</v>
      </c>
    </row>
    <row r="2966" spans="1:11" x14ac:dyDescent="0.25">
      <c r="A2966" s="1" t="s">
        <v>9539</v>
      </c>
      <c r="B2966" s="1" t="s">
        <v>9536</v>
      </c>
      <c r="C2966" s="1" t="s">
        <v>9540</v>
      </c>
      <c r="D2966" s="1" t="s">
        <v>9541</v>
      </c>
      <c r="E2966" s="1" t="s">
        <v>178</v>
      </c>
      <c r="F2966" s="1" t="s">
        <v>5017</v>
      </c>
      <c r="G2966" s="1" t="s">
        <v>5018</v>
      </c>
      <c r="H2966" s="1">
        <v>0.1</v>
      </c>
      <c r="I2966" s="1">
        <v>0.1</v>
      </c>
      <c r="J2966" s="1">
        <v>0.52684382591246415</v>
      </c>
      <c r="K2966" s="1" t="s">
        <v>181</v>
      </c>
    </row>
    <row r="2967" spans="1:11" x14ac:dyDescent="0.25">
      <c r="A2967" s="1" t="s">
        <v>9542</v>
      </c>
      <c r="B2967" s="1" t="s">
        <v>9536</v>
      </c>
      <c r="C2967" s="1" t="s">
        <v>9543</v>
      </c>
      <c r="D2967" s="1" t="s">
        <v>9544</v>
      </c>
      <c r="E2967" s="1" t="s">
        <v>178</v>
      </c>
      <c r="F2967" s="1" t="s">
        <v>5017</v>
      </c>
      <c r="G2967" s="1" t="s">
        <v>5018</v>
      </c>
      <c r="H2967" s="1">
        <v>0.1</v>
      </c>
      <c r="I2967" s="1">
        <v>0.1</v>
      </c>
      <c r="J2967" s="1">
        <v>0.40742926300370697</v>
      </c>
      <c r="K2967" s="1" t="s">
        <v>181</v>
      </c>
    </row>
    <row r="2968" spans="1:11" x14ac:dyDescent="0.25">
      <c r="A2968" s="1" t="s">
        <v>9545</v>
      </c>
      <c r="B2968" s="1" t="s">
        <v>9536</v>
      </c>
      <c r="C2968" s="1" t="s">
        <v>9546</v>
      </c>
      <c r="D2968" s="1" t="s">
        <v>9547</v>
      </c>
      <c r="E2968" s="1" t="s">
        <v>178</v>
      </c>
      <c r="F2968" s="1" t="s">
        <v>5017</v>
      </c>
      <c r="G2968" s="1" t="s">
        <v>5018</v>
      </c>
      <c r="H2968" s="1">
        <v>0.1</v>
      </c>
      <c r="I2968" s="1">
        <v>0.1</v>
      </c>
      <c r="J2968" s="1">
        <v>0.41669155291904558</v>
      </c>
      <c r="K2968" s="1" t="s">
        <v>181</v>
      </c>
    </row>
    <row r="2969" spans="1:11" x14ac:dyDescent="0.25">
      <c r="A2969" s="1" t="s">
        <v>9548</v>
      </c>
      <c r="B2969" s="1" t="s">
        <v>9519</v>
      </c>
      <c r="C2969" s="1" t="s">
        <v>9549</v>
      </c>
      <c r="D2969" s="1" t="s">
        <v>9550</v>
      </c>
      <c r="E2969" s="1" t="s">
        <v>178</v>
      </c>
      <c r="F2969" s="1" t="s">
        <v>5017</v>
      </c>
      <c r="G2969" s="1" t="s">
        <v>5018</v>
      </c>
      <c r="H2969" s="1">
        <v>0.1</v>
      </c>
      <c r="I2969" s="1">
        <v>0.1</v>
      </c>
      <c r="J2969" s="1">
        <v>0.60467479688118619</v>
      </c>
      <c r="K2969" s="1" t="s">
        <v>181</v>
      </c>
    </row>
    <row r="2970" spans="1:11" x14ac:dyDescent="0.25">
      <c r="A2970" s="1" t="s">
        <v>9551</v>
      </c>
      <c r="B2970" s="1" t="s">
        <v>9552</v>
      </c>
      <c r="C2970" s="1" t="s">
        <v>9553</v>
      </c>
      <c r="D2970" s="1" t="s">
        <v>9554</v>
      </c>
      <c r="E2970" s="1" t="s">
        <v>178</v>
      </c>
      <c r="F2970" s="1" t="s">
        <v>5017</v>
      </c>
      <c r="G2970" s="1" t="s">
        <v>5018</v>
      </c>
      <c r="H2970" s="1">
        <v>0.1</v>
      </c>
      <c r="I2970" s="1">
        <v>0.1</v>
      </c>
      <c r="J2970" s="1">
        <v>0.83074675028908018</v>
      </c>
      <c r="K2970" s="1" t="s">
        <v>181</v>
      </c>
    </row>
    <row r="2971" spans="1:11" x14ac:dyDescent="0.25">
      <c r="A2971" s="1" t="s">
        <v>9555</v>
      </c>
      <c r="B2971" s="1" t="s">
        <v>9552</v>
      </c>
      <c r="C2971" s="1" t="s">
        <v>9556</v>
      </c>
      <c r="D2971" s="1" t="s">
        <v>9557</v>
      </c>
      <c r="E2971" s="1" t="s">
        <v>178</v>
      </c>
      <c r="F2971" s="1" t="s">
        <v>5017</v>
      </c>
      <c r="G2971" s="1" t="s">
        <v>5018</v>
      </c>
      <c r="H2971" s="1">
        <v>0.1</v>
      </c>
      <c r="I2971" s="1">
        <v>0.1</v>
      </c>
      <c r="J2971" s="1">
        <v>0.88641241085983291</v>
      </c>
      <c r="K2971" s="1" t="s">
        <v>181</v>
      </c>
    </row>
    <row r="2972" spans="1:11" x14ac:dyDescent="0.25">
      <c r="A2972" s="1" t="s">
        <v>9558</v>
      </c>
      <c r="B2972" s="1" t="s">
        <v>9552</v>
      </c>
      <c r="C2972" s="1" t="s">
        <v>9559</v>
      </c>
      <c r="D2972" s="1" t="s">
        <v>9560</v>
      </c>
      <c r="E2972" s="1" t="s">
        <v>178</v>
      </c>
      <c r="F2972" s="1" t="s">
        <v>5017</v>
      </c>
      <c r="G2972" s="1" t="s">
        <v>5018</v>
      </c>
      <c r="H2972" s="1">
        <v>0.1</v>
      </c>
      <c r="I2972" s="1">
        <v>0.1</v>
      </c>
      <c r="J2972" s="1">
        <v>0.88641241085983291</v>
      </c>
      <c r="K2972" s="1" t="s">
        <v>181</v>
      </c>
    </row>
    <row r="2973" spans="1:11" x14ac:dyDescent="0.25">
      <c r="A2973" s="1" t="s">
        <v>9561</v>
      </c>
      <c r="B2973" s="1" t="s">
        <v>9552</v>
      </c>
      <c r="C2973" s="1" t="s">
        <v>9562</v>
      </c>
      <c r="D2973" s="1" t="s">
        <v>9563</v>
      </c>
      <c r="E2973" s="1" t="s">
        <v>178</v>
      </c>
      <c r="F2973" s="1" t="s">
        <v>5017</v>
      </c>
      <c r="G2973" s="1" t="s">
        <v>5018</v>
      </c>
      <c r="H2973" s="1">
        <v>0.1</v>
      </c>
      <c r="I2973" s="1">
        <v>0.1</v>
      </c>
      <c r="J2973" s="1">
        <v>0.83074675028908018</v>
      </c>
      <c r="K2973" s="1" t="s">
        <v>181</v>
      </c>
    </row>
    <row r="2974" spans="1:11" x14ac:dyDescent="0.25">
      <c r="A2974" s="1" t="s">
        <v>9564</v>
      </c>
      <c r="B2974" s="1" t="s">
        <v>9552</v>
      </c>
      <c r="C2974" s="1" t="s">
        <v>9565</v>
      </c>
      <c r="D2974" s="1" t="s">
        <v>9566</v>
      </c>
      <c r="E2974" s="1" t="s">
        <v>178</v>
      </c>
      <c r="F2974" s="1" t="s">
        <v>5017</v>
      </c>
      <c r="G2974" s="1" t="s">
        <v>5018</v>
      </c>
      <c r="H2974" s="1">
        <v>0.1</v>
      </c>
      <c r="I2974" s="1">
        <v>0.1</v>
      </c>
      <c r="J2974" s="1">
        <v>0.86105951592822427</v>
      </c>
      <c r="K2974" s="1" t="s">
        <v>181</v>
      </c>
    </row>
    <row r="2975" spans="1:11" x14ac:dyDescent="0.25">
      <c r="A2975" s="1" t="s">
        <v>9567</v>
      </c>
      <c r="B2975" s="1" t="s">
        <v>9552</v>
      </c>
      <c r="C2975" s="1" t="s">
        <v>9568</v>
      </c>
      <c r="D2975" s="1" t="s">
        <v>9569</v>
      </c>
      <c r="E2975" s="1" t="s">
        <v>178</v>
      </c>
      <c r="F2975" s="1" t="s">
        <v>5017</v>
      </c>
      <c r="G2975" s="1" t="s">
        <v>5018</v>
      </c>
      <c r="H2975" s="1">
        <v>0.1</v>
      </c>
      <c r="I2975" s="1">
        <v>0.1</v>
      </c>
      <c r="J2975" s="1">
        <v>0.88641241085983291</v>
      </c>
      <c r="K2975" s="1" t="s">
        <v>181</v>
      </c>
    </row>
    <row r="2976" spans="1:11" x14ac:dyDescent="0.25">
      <c r="A2976" s="1" t="s">
        <v>9570</v>
      </c>
      <c r="B2976" s="1" t="s">
        <v>6735</v>
      </c>
      <c r="C2976" s="1" t="s">
        <v>9571</v>
      </c>
      <c r="D2976" s="1" t="s">
        <v>9572</v>
      </c>
      <c r="E2976" s="1" t="s">
        <v>178</v>
      </c>
      <c r="F2976" s="1" t="s">
        <v>5017</v>
      </c>
      <c r="G2976" s="1" t="s">
        <v>5018</v>
      </c>
      <c r="H2976" s="1">
        <v>0.1</v>
      </c>
      <c r="I2976" s="1">
        <v>0.1</v>
      </c>
      <c r="J2976" s="1">
        <v>1.1478819540034473</v>
      </c>
      <c r="K2976" s="1" t="s">
        <v>181</v>
      </c>
    </row>
    <row r="2977" spans="1:11" x14ac:dyDescent="0.25">
      <c r="A2977" s="1" t="s">
        <v>9573</v>
      </c>
      <c r="B2977" s="1" t="s">
        <v>7415</v>
      </c>
      <c r="C2977" s="1" t="s">
        <v>9574</v>
      </c>
      <c r="D2977" s="1" t="s">
        <v>9575</v>
      </c>
      <c r="E2977" s="1" t="s">
        <v>178</v>
      </c>
      <c r="F2977" s="1" t="s">
        <v>5017</v>
      </c>
      <c r="G2977" s="1" t="s">
        <v>5018</v>
      </c>
      <c r="H2977" s="1">
        <v>0.1</v>
      </c>
      <c r="I2977" s="1">
        <v>0.1</v>
      </c>
      <c r="J2977" s="1">
        <v>0.93920648038843169</v>
      </c>
      <c r="K2977" s="1" t="s">
        <v>181</v>
      </c>
    </row>
    <row r="2978" spans="1:11" x14ac:dyDescent="0.25">
      <c r="A2978" s="1" t="s">
        <v>9576</v>
      </c>
      <c r="B2978" s="1" t="s">
        <v>7591</v>
      </c>
      <c r="C2978" s="1" t="s">
        <v>9577</v>
      </c>
      <c r="D2978" s="1" t="s">
        <v>9578</v>
      </c>
      <c r="E2978" s="1" t="s">
        <v>178</v>
      </c>
      <c r="F2978" s="1" t="s">
        <v>5017</v>
      </c>
      <c r="G2978" s="1" t="s">
        <v>5018</v>
      </c>
      <c r="H2978" s="1">
        <v>0.1</v>
      </c>
      <c r="I2978" s="1">
        <v>0.1</v>
      </c>
      <c r="J2978" s="1">
        <v>0.99844351559577849</v>
      </c>
      <c r="K2978" s="1" t="s">
        <v>181</v>
      </c>
    </row>
    <row r="2979" spans="1:11" x14ac:dyDescent="0.25">
      <c r="A2979" s="1" t="s">
        <v>9579</v>
      </c>
      <c r="B2979" s="1" t="s">
        <v>7591</v>
      </c>
      <c r="C2979" s="1" t="s">
        <v>9580</v>
      </c>
      <c r="D2979" s="1" t="s">
        <v>9581</v>
      </c>
      <c r="E2979" s="1" t="s">
        <v>178</v>
      </c>
      <c r="F2979" s="1" t="s">
        <v>5017</v>
      </c>
      <c r="G2979" s="1" t="s">
        <v>5018</v>
      </c>
      <c r="H2979" s="1">
        <v>0.1</v>
      </c>
      <c r="I2979" s="1">
        <v>0.1</v>
      </c>
      <c r="J2979" s="1">
        <v>0.99844351559577849</v>
      </c>
      <c r="K2979" s="1" t="s">
        <v>181</v>
      </c>
    </row>
    <row r="2980" spans="1:11" x14ac:dyDescent="0.25">
      <c r="A2980" s="1" t="s">
        <v>9582</v>
      </c>
      <c r="B2980" s="1" t="s">
        <v>7591</v>
      </c>
      <c r="C2980" s="1" t="s">
        <v>9583</v>
      </c>
      <c r="D2980" s="1" t="s">
        <v>9584</v>
      </c>
      <c r="E2980" s="1" t="s">
        <v>178</v>
      </c>
      <c r="F2980" s="1" t="s">
        <v>5017</v>
      </c>
      <c r="G2980" s="1" t="s">
        <v>5018</v>
      </c>
      <c r="H2980" s="1">
        <v>0.1</v>
      </c>
      <c r="I2980" s="1">
        <v>0.1</v>
      </c>
      <c r="J2980" s="1">
        <v>0.99844351559577849</v>
      </c>
      <c r="K2980" s="1" t="s">
        <v>181</v>
      </c>
    </row>
    <row r="2981" spans="1:11" x14ac:dyDescent="0.25">
      <c r="A2981" s="1" t="s">
        <v>9585</v>
      </c>
      <c r="B2981" s="1" t="s">
        <v>7591</v>
      </c>
      <c r="C2981" s="1" t="s">
        <v>9586</v>
      </c>
      <c r="D2981" s="1" t="s">
        <v>9587</v>
      </c>
      <c r="E2981" s="1" t="s">
        <v>178</v>
      </c>
      <c r="F2981" s="1" t="s">
        <v>5017</v>
      </c>
      <c r="G2981" s="1" t="s">
        <v>5018</v>
      </c>
      <c r="H2981" s="1">
        <v>0.1</v>
      </c>
      <c r="I2981" s="1">
        <v>0.1</v>
      </c>
      <c r="J2981" s="1">
        <v>0.99844351559577849</v>
      </c>
      <c r="K2981" s="1" t="s">
        <v>181</v>
      </c>
    </row>
    <row r="2982" spans="1:11" x14ac:dyDescent="0.25">
      <c r="A2982" s="1" t="s">
        <v>9588</v>
      </c>
      <c r="B2982" s="1" t="s">
        <v>7591</v>
      </c>
      <c r="C2982" s="1" t="s">
        <v>9589</v>
      </c>
      <c r="D2982" s="1" t="s">
        <v>9590</v>
      </c>
      <c r="E2982" s="1" t="s">
        <v>178</v>
      </c>
      <c r="F2982" s="1" t="s">
        <v>5017</v>
      </c>
      <c r="G2982" s="1" t="s">
        <v>5018</v>
      </c>
      <c r="H2982" s="1">
        <v>0.1</v>
      </c>
      <c r="I2982" s="1">
        <v>0.1</v>
      </c>
      <c r="J2982" s="1">
        <v>0.99844351559577849</v>
      </c>
      <c r="K2982" s="1" t="s">
        <v>181</v>
      </c>
    </row>
    <row r="2983" spans="1:11" x14ac:dyDescent="0.25">
      <c r="A2983" s="1" t="s">
        <v>9591</v>
      </c>
      <c r="B2983" s="1" t="s">
        <v>9592</v>
      </c>
      <c r="C2983" s="1" t="s">
        <v>9593</v>
      </c>
      <c r="D2983" s="1" t="s">
        <v>9594</v>
      </c>
      <c r="E2983" s="1" t="s">
        <v>178</v>
      </c>
      <c r="F2983" s="1" t="s">
        <v>5017</v>
      </c>
      <c r="G2983" s="1" t="s">
        <v>5018</v>
      </c>
      <c r="H2983" s="1">
        <v>0.1</v>
      </c>
      <c r="I2983" s="1">
        <v>0.1</v>
      </c>
      <c r="J2983" s="1">
        <v>1.0106233479817297</v>
      </c>
      <c r="K2983" s="1" t="s">
        <v>181</v>
      </c>
    </row>
    <row r="2984" spans="1:11" x14ac:dyDescent="0.25">
      <c r="A2984" s="1" t="s">
        <v>9595</v>
      </c>
      <c r="B2984" s="1" t="s">
        <v>9592</v>
      </c>
      <c r="C2984" s="1" t="s">
        <v>9596</v>
      </c>
      <c r="D2984" s="1" t="s">
        <v>9597</v>
      </c>
      <c r="E2984" s="1" t="s">
        <v>178</v>
      </c>
      <c r="F2984" s="1" t="s">
        <v>5017</v>
      </c>
      <c r="G2984" s="1" t="s">
        <v>5018</v>
      </c>
      <c r="H2984" s="1">
        <v>0.1</v>
      </c>
      <c r="I2984" s="1">
        <v>0.1</v>
      </c>
      <c r="J2984" s="1">
        <v>1.0679106994499965</v>
      </c>
      <c r="K2984" s="1" t="s">
        <v>181</v>
      </c>
    </row>
    <row r="2985" spans="1:11" x14ac:dyDescent="0.25">
      <c r="A2985" s="1" t="s">
        <v>9598</v>
      </c>
      <c r="B2985" s="1" t="s">
        <v>9592</v>
      </c>
      <c r="C2985" s="1" t="s">
        <v>9599</v>
      </c>
      <c r="D2985" s="1" t="s">
        <v>9600</v>
      </c>
      <c r="E2985" s="1" t="s">
        <v>178</v>
      </c>
      <c r="F2985" s="1" t="s">
        <v>5017</v>
      </c>
      <c r="G2985" s="1" t="s">
        <v>5018</v>
      </c>
      <c r="H2985" s="1">
        <v>0.1</v>
      </c>
      <c r="I2985" s="1">
        <v>0.1</v>
      </c>
      <c r="J2985" s="1">
        <v>1.0136683171016361</v>
      </c>
      <c r="K2985" s="1" t="s">
        <v>181</v>
      </c>
    </row>
    <row r="2986" spans="1:11" x14ac:dyDescent="0.25">
      <c r="A2986" s="1" t="s">
        <v>9601</v>
      </c>
      <c r="B2986" s="1" t="s">
        <v>9552</v>
      </c>
      <c r="C2986" s="1" t="s">
        <v>9602</v>
      </c>
      <c r="D2986" s="1" t="s">
        <v>9603</v>
      </c>
      <c r="E2986" s="1" t="s">
        <v>178</v>
      </c>
      <c r="F2986" s="1" t="s">
        <v>5017</v>
      </c>
      <c r="G2986" s="1" t="s">
        <v>5018</v>
      </c>
      <c r="H2986" s="1">
        <v>0.1</v>
      </c>
      <c r="I2986" s="1">
        <v>0.1</v>
      </c>
      <c r="J2986" s="1">
        <v>0.83074675028908018</v>
      </c>
      <c r="K2986" s="1" t="s">
        <v>181</v>
      </c>
    </row>
    <row r="2987" spans="1:11" x14ac:dyDescent="0.25">
      <c r="A2987" s="1" t="s">
        <v>9604</v>
      </c>
      <c r="B2987" s="1" t="s">
        <v>9552</v>
      </c>
      <c r="C2987" s="1" t="s">
        <v>9605</v>
      </c>
      <c r="D2987" s="1" t="s">
        <v>9606</v>
      </c>
      <c r="E2987" s="1" t="s">
        <v>178</v>
      </c>
      <c r="F2987" s="1" t="s">
        <v>5017</v>
      </c>
      <c r="G2987" s="1" t="s">
        <v>5018</v>
      </c>
      <c r="H2987" s="1">
        <v>0.1</v>
      </c>
      <c r="I2987" s="1">
        <v>0.1</v>
      </c>
      <c r="J2987" s="1">
        <v>0.83074675028908018</v>
      </c>
      <c r="K2987" s="1" t="s">
        <v>181</v>
      </c>
    </row>
    <row r="2988" spans="1:11" x14ac:dyDescent="0.25">
      <c r="A2988" s="1" t="s">
        <v>9607</v>
      </c>
      <c r="B2988" s="1" t="s">
        <v>9552</v>
      </c>
      <c r="C2988" s="1" t="s">
        <v>9608</v>
      </c>
      <c r="D2988" s="1" t="s">
        <v>9609</v>
      </c>
      <c r="E2988" s="1" t="s">
        <v>178</v>
      </c>
      <c r="F2988" s="1" t="s">
        <v>5017</v>
      </c>
      <c r="G2988" s="1" t="s">
        <v>5018</v>
      </c>
      <c r="H2988" s="1">
        <v>0.1</v>
      </c>
      <c r="I2988" s="1">
        <v>0.1</v>
      </c>
      <c r="J2988" s="1">
        <v>0.83074675028908018</v>
      </c>
      <c r="K2988" s="1" t="s">
        <v>181</v>
      </c>
    </row>
    <row r="2989" spans="1:11" x14ac:dyDescent="0.25">
      <c r="A2989" s="1" t="s">
        <v>131</v>
      </c>
      <c r="B2989" s="1" t="s">
        <v>9610</v>
      </c>
      <c r="C2989" s="1" t="s">
        <v>9611</v>
      </c>
      <c r="D2989" s="1" t="s">
        <v>9612</v>
      </c>
      <c r="E2989" s="1" t="s">
        <v>178</v>
      </c>
      <c r="F2989" s="1" t="s">
        <v>5017</v>
      </c>
      <c r="G2989" s="1" t="s">
        <v>5018</v>
      </c>
      <c r="H2989" s="1">
        <v>0.1</v>
      </c>
      <c r="I2989" s="1">
        <v>0.1</v>
      </c>
      <c r="J2989" s="1">
        <v>0.88596424476093016</v>
      </c>
      <c r="K2989" s="1" t="s">
        <v>181</v>
      </c>
    </row>
    <row r="2990" spans="1:11" x14ac:dyDescent="0.25">
      <c r="A2990" s="1" t="s">
        <v>133</v>
      </c>
      <c r="B2990" s="1" t="s">
        <v>9610</v>
      </c>
      <c r="C2990" s="1" t="s">
        <v>9613</v>
      </c>
      <c r="D2990" s="1" t="s">
        <v>9614</v>
      </c>
      <c r="E2990" s="1" t="s">
        <v>178</v>
      </c>
      <c r="F2990" s="1" t="s">
        <v>5017</v>
      </c>
      <c r="G2990" s="1" t="s">
        <v>5018</v>
      </c>
      <c r="H2990" s="1">
        <v>0.1</v>
      </c>
      <c r="I2990" s="1">
        <v>0.1</v>
      </c>
      <c r="J2990" s="1">
        <v>0.91462029344044604</v>
      </c>
      <c r="K2990" s="1" t="s">
        <v>181</v>
      </c>
    </row>
    <row r="2991" spans="1:11" x14ac:dyDescent="0.25">
      <c r="A2991" s="1" t="s">
        <v>130</v>
      </c>
      <c r="B2991" s="1" t="s">
        <v>9610</v>
      </c>
      <c r="C2991" s="1" t="s">
        <v>9615</v>
      </c>
      <c r="D2991" s="1" t="s">
        <v>9616</v>
      </c>
      <c r="E2991" s="1" t="s">
        <v>178</v>
      </c>
      <c r="F2991" s="1" t="s">
        <v>5017</v>
      </c>
      <c r="G2991" s="1" t="s">
        <v>5018</v>
      </c>
      <c r="H2991" s="1">
        <v>0.1</v>
      </c>
      <c r="I2991" s="1">
        <v>0.1</v>
      </c>
      <c r="J2991" s="1">
        <v>0.89132601233779996</v>
      </c>
      <c r="K2991" s="1" t="s">
        <v>181</v>
      </c>
    </row>
    <row r="2992" spans="1:11" x14ac:dyDescent="0.25">
      <c r="A2992" s="1" t="s">
        <v>132</v>
      </c>
      <c r="B2992" s="1" t="s">
        <v>9610</v>
      </c>
      <c r="C2992" s="1" t="s">
        <v>9617</v>
      </c>
      <c r="D2992" s="1" t="s">
        <v>9618</v>
      </c>
      <c r="E2992" s="1" t="s">
        <v>178</v>
      </c>
      <c r="F2992" s="1" t="s">
        <v>5017</v>
      </c>
      <c r="G2992" s="1" t="s">
        <v>5018</v>
      </c>
      <c r="H2992" s="1">
        <v>0.1</v>
      </c>
      <c r="I2992" s="1">
        <v>0.1</v>
      </c>
      <c r="J2992" s="1">
        <v>0.92127233377402018</v>
      </c>
      <c r="K2992" s="1" t="s">
        <v>181</v>
      </c>
    </row>
    <row r="2993" spans="1:11" x14ac:dyDescent="0.25">
      <c r="A2993" s="1" t="s">
        <v>9619</v>
      </c>
      <c r="B2993" s="1" t="s">
        <v>9620</v>
      </c>
      <c r="C2993" s="1" t="s">
        <v>9621</v>
      </c>
      <c r="D2993" s="1" t="s">
        <v>9622</v>
      </c>
      <c r="E2993" s="1" t="s">
        <v>178</v>
      </c>
      <c r="F2993" s="1" t="s">
        <v>5017</v>
      </c>
      <c r="G2993" s="1" t="s">
        <v>5018</v>
      </c>
      <c r="H2993" s="1">
        <v>0.1</v>
      </c>
      <c r="I2993" s="1">
        <v>0.1</v>
      </c>
      <c r="J2993" s="1">
        <v>0.85561316985262315</v>
      </c>
      <c r="K2993" s="1" t="s">
        <v>181</v>
      </c>
    </row>
    <row r="2994" spans="1:11" x14ac:dyDescent="0.25">
      <c r="A2994" s="1" t="s">
        <v>9623</v>
      </c>
      <c r="B2994" s="1" t="s">
        <v>9620</v>
      </c>
      <c r="C2994" s="1" t="s">
        <v>9624</v>
      </c>
      <c r="D2994" s="1" t="s">
        <v>9625</v>
      </c>
      <c r="E2994" s="1" t="s">
        <v>178</v>
      </c>
      <c r="F2994" s="1" t="s">
        <v>5017</v>
      </c>
      <c r="G2994" s="1" t="s">
        <v>5018</v>
      </c>
      <c r="H2994" s="1">
        <v>0.1</v>
      </c>
      <c r="I2994" s="1">
        <v>0.1</v>
      </c>
      <c r="J2994" s="1">
        <v>0.85350235995434764</v>
      </c>
      <c r="K2994" s="1" t="s">
        <v>181</v>
      </c>
    </row>
    <row r="2995" spans="1:11" x14ac:dyDescent="0.25">
      <c r="A2995" s="1" t="s">
        <v>9626</v>
      </c>
      <c r="B2995" s="1" t="s">
        <v>9620</v>
      </c>
      <c r="C2995" s="1" t="s">
        <v>9627</v>
      </c>
      <c r="D2995" s="1" t="s">
        <v>9628</v>
      </c>
      <c r="E2995" s="1" t="s">
        <v>178</v>
      </c>
      <c r="F2995" s="1" t="s">
        <v>5017</v>
      </c>
      <c r="G2995" s="1" t="s">
        <v>5018</v>
      </c>
      <c r="H2995" s="1">
        <v>0.1</v>
      </c>
      <c r="I2995" s="1">
        <v>0.1</v>
      </c>
      <c r="J2995" s="1">
        <v>0.84724384200467173</v>
      </c>
      <c r="K2995" s="1" t="s">
        <v>181</v>
      </c>
    </row>
    <row r="2996" spans="1:11" x14ac:dyDescent="0.25">
      <c r="A2996" s="1" t="s">
        <v>9629</v>
      </c>
      <c r="B2996" s="1" t="s">
        <v>9620</v>
      </c>
      <c r="C2996" s="1" t="s">
        <v>9630</v>
      </c>
      <c r="D2996" s="1" t="s">
        <v>9631</v>
      </c>
      <c r="E2996" s="1" t="s">
        <v>178</v>
      </c>
      <c r="F2996" s="1" t="s">
        <v>5017</v>
      </c>
      <c r="G2996" s="1" t="s">
        <v>5018</v>
      </c>
      <c r="H2996" s="1">
        <v>0.1</v>
      </c>
      <c r="I2996" s="1">
        <v>0.1</v>
      </c>
      <c r="J2996" s="1">
        <v>0.9178580601881593</v>
      </c>
      <c r="K2996" s="1" t="s">
        <v>181</v>
      </c>
    </row>
    <row r="2997" spans="1:11" x14ac:dyDescent="0.25">
      <c r="A2997" s="1" t="s">
        <v>9632</v>
      </c>
      <c r="B2997" s="1" t="s">
        <v>9633</v>
      </c>
      <c r="C2997" s="1" t="s">
        <v>9634</v>
      </c>
      <c r="D2997" s="1" t="s">
        <v>9635</v>
      </c>
      <c r="E2997" s="1" t="s">
        <v>178</v>
      </c>
      <c r="F2997" s="1" t="s">
        <v>5017</v>
      </c>
      <c r="G2997" s="1" t="s">
        <v>5018</v>
      </c>
      <c r="H2997" s="1">
        <v>0.1</v>
      </c>
      <c r="I2997" s="1">
        <v>0.1</v>
      </c>
      <c r="J2997" s="1">
        <v>0.8797435692953619</v>
      </c>
      <c r="K2997" s="1" t="s">
        <v>181</v>
      </c>
    </row>
    <row r="2998" spans="1:11" x14ac:dyDescent="0.25">
      <c r="A2998" s="1" t="s">
        <v>9636</v>
      </c>
      <c r="B2998" s="1" t="s">
        <v>9633</v>
      </c>
      <c r="C2998" s="1" t="s">
        <v>9637</v>
      </c>
      <c r="D2998" s="1" t="s">
        <v>9638</v>
      </c>
      <c r="E2998" s="1" t="s">
        <v>178</v>
      </c>
      <c r="F2998" s="1" t="s">
        <v>5017</v>
      </c>
      <c r="G2998" s="1" t="s">
        <v>5018</v>
      </c>
      <c r="H2998" s="1">
        <v>0.1</v>
      </c>
      <c r="I2998" s="1">
        <v>0.1</v>
      </c>
      <c r="J2998" s="1">
        <v>0.89028512375775948</v>
      </c>
      <c r="K2998" s="1" t="s">
        <v>181</v>
      </c>
    </row>
    <row r="2999" spans="1:11" x14ac:dyDescent="0.25">
      <c r="A2999" s="1" t="s">
        <v>9639</v>
      </c>
      <c r="B2999" s="1" t="s">
        <v>9633</v>
      </c>
      <c r="C2999" s="1" t="s">
        <v>9640</v>
      </c>
      <c r="D2999" s="1" t="s">
        <v>9641</v>
      </c>
      <c r="E2999" s="1" t="s">
        <v>178</v>
      </c>
      <c r="F2999" s="1" t="s">
        <v>5017</v>
      </c>
      <c r="G2999" s="1" t="s">
        <v>5018</v>
      </c>
      <c r="H2999" s="1">
        <v>0.1</v>
      </c>
      <c r="I2999" s="1">
        <v>0.1</v>
      </c>
      <c r="J2999" s="1">
        <v>0.84222862931494524</v>
      </c>
      <c r="K2999" s="1" t="s">
        <v>181</v>
      </c>
    </row>
    <row r="3000" spans="1:11" x14ac:dyDescent="0.25">
      <c r="A3000" s="1" t="s">
        <v>9642</v>
      </c>
      <c r="B3000" s="1" t="s">
        <v>9633</v>
      </c>
      <c r="C3000" s="1" t="s">
        <v>9643</v>
      </c>
      <c r="D3000" s="1" t="s">
        <v>9644</v>
      </c>
      <c r="E3000" s="1" t="s">
        <v>178</v>
      </c>
      <c r="F3000" s="1" t="s">
        <v>5017</v>
      </c>
      <c r="G3000" s="1" t="s">
        <v>5018</v>
      </c>
      <c r="H3000" s="1">
        <v>0.1</v>
      </c>
      <c r="I3000" s="1">
        <v>0.1</v>
      </c>
      <c r="J3000" s="1">
        <v>0.82852708236432548</v>
      </c>
      <c r="K3000" s="1" t="s">
        <v>181</v>
      </c>
    </row>
    <row r="3001" spans="1:11" x14ac:dyDescent="0.25">
      <c r="A3001" s="1" t="s">
        <v>9645</v>
      </c>
      <c r="B3001" s="1" t="s">
        <v>9646</v>
      </c>
      <c r="C3001" s="1" t="s">
        <v>9647</v>
      </c>
      <c r="D3001" s="1" t="s">
        <v>9648</v>
      </c>
      <c r="E3001" s="1" t="s">
        <v>178</v>
      </c>
      <c r="F3001" s="1" t="s">
        <v>5017</v>
      </c>
      <c r="G3001" s="1" t="s">
        <v>5018</v>
      </c>
      <c r="H3001" s="1">
        <v>0.1</v>
      </c>
      <c r="I3001" s="1">
        <v>0.1</v>
      </c>
      <c r="J3001" s="1">
        <v>0.9176230609361119</v>
      </c>
      <c r="K3001" s="1" t="s">
        <v>181</v>
      </c>
    </row>
    <row r="3002" spans="1:11" x14ac:dyDescent="0.25">
      <c r="A3002" s="1" t="s">
        <v>134</v>
      </c>
      <c r="B3002" s="1" t="s">
        <v>9646</v>
      </c>
      <c r="C3002" s="1" t="s">
        <v>9649</v>
      </c>
      <c r="D3002" s="1" t="s">
        <v>9650</v>
      </c>
      <c r="E3002" s="1" t="s">
        <v>178</v>
      </c>
      <c r="F3002" s="1" t="s">
        <v>5017</v>
      </c>
      <c r="G3002" s="1" t="s">
        <v>5018</v>
      </c>
      <c r="H3002" s="1">
        <v>0.1</v>
      </c>
      <c r="I3002" s="1">
        <v>0.1</v>
      </c>
      <c r="J3002" s="1">
        <v>0.91803339271123907</v>
      </c>
      <c r="K3002" s="1" t="s">
        <v>181</v>
      </c>
    </row>
    <row r="3003" spans="1:11" x14ac:dyDescent="0.25">
      <c r="A3003" s="1" t="s">
        <v>9651</v>
      </c>
      <c r="B3003" s="1" t="s">
        <v>9646</v>
      </c>
      <c r="C3003" s="1" t="s">
        <v>9652</v>
      </c>
      <c r="D3003" s="1" t="s">
        <v>9653</v>
      </c>
      <c r="E3003" s="1" t="s">
        <v>178</v>
      </c>
      <c r="F3003" s="1" t="s">
        <v>5017</v>
      </c>
      <c r="G3003" s="1" t="s">
        <v>5018</v>
      </c>
      <c r="H3003" s="1">
        <v>0.1</v>
      </c>
      <c r="I3003" s="1">
        <v>0.1</v>
      </c>
      <c r="J3003" s="1">
        <v>0.94175054271149516</v>
      </c>
      <c r="K3003" s="1" t="s">
        <v>181</v>
      </c>
    </row>
    <row r="3004" spans="1:11" x14ac:dyDescent="0.25">
      <c r="A3004" s="1" t="s">
        <v>9654</v>
      </c>
      <c r="B3004" s="1" t="s">
        <v>9646</v>
      </c>
      <c r="C3004" s="1" t="s">
        <v>9655</v>
      </c>
      <c r="D3004" s="1" t="s">
        <v>9656</v>
      </c>
      <c r="E3004" s="1" t="s">
        <v>178</v>
      </c>
      <c r="F3004" s="1" t="s">
        <v>5017</v>
      </c>
      <c r="G3004" s="1" t="s">
        <v>5018</v>
      </c>
      <c r="H3004" s="1">
        <v>0.1</v>
      </c>
      <c r="I3004" s="1">
        <v>0.1</v>
      </c>
      <c r="J3004" s="1">
        <v>0.93309129829896309</v>
      </c>
      <c r="K3004" s="1" t="s">
        <v>181</v>
      </c>
    </row>
    <row r="3005" spans="1:11" x14ac:dyDescent="0.25">
      <c r="A3005" s="1" t="s">
        <v>9657</v>
      </c>
      <c r="B3005" s="1" t="s">
        <v>9658</v>
      </c>
      <c r="C3005" s="1" t="s">
        <v>9659</v>
      </c>
      <c r="D3005" s="1" t="s">
        <v>9660</v>
      </c>
      <c r="E3005" s="1" t="s">
        <v>178</v>
      </c>
      <c r="F3005" s="1" t="s">
        <v>5017</v>
      </c>
      <c r="G3005" s="1" t="s">
        <v>5018</v>
      </c>
      <c r="H3005" s="1">
        <v>0.1</v>
      </c>
      <c r="I3005" s="1">
        <v>0.1</v>
      </c>
      <c r="J3005" s="1">
        <v>0.87072932343506326</v>
      </c>
      <c r="K3005" s="1" t="s">
        <v>181</v>
      </c>
    </row>
    <row r="3006" spans="1:11" x14ac:dyDescent="0.25">
      <c r="A3006" s="1" t="s">
        <v>9661</v>
      </c>
      <c r="B3006" s="1" t="s">
        <v>9658</v>
      </c>
      <c r="C3006" s="1" t="s">
        <v>9662</v>
      </c>
      <c r="D3006" s="1" t="s">
        <v>9663</v>
      </c>
      <c r="E3006" s="1" t="s">
        <v>178</v>
      </c>
      <c r="F3006" s="1" t="s">
        <v>5017</v>
      </c>
      <c r="G3006" s="1" t="s">
        <v>5018</v>
      </c>
      <c r="H3006" s="1">
        <v>0.1</v>
      </c>
      <c r="I3006" s="1">
        <v>0.1</v>
      </c>
      <c r="J3006" s="1">
        <v>0.88057346369048417</v>
      </c>
      <c r="K3006" s="1" t="s">
        <v>181</v>
      </c>
    </row>
    <row r="3007" spans="1:11" x14ac:dyDescent="0.25">
      <c r="A3007" s="1" t="s">
        <v>9664</v>
      </c>
      <c r="B3007" s="1" t="s">
        <v>9658</v>
      </c>
      <c r="C3007" s="1" t="s">
        <v>9665</v>
      </c>
      <c r="D3007" s="1" t="s">
        <v>9666</v>
      </c>
      <c r="E3007" s="1" t="s">
        <v>178</v>
      </c>
      <c r="F3007" s="1" t="s">
        <v>5017</v>
      </c>
      <c r="G3007" s="1" t="s">
        <v>5018</v>
      </c>
      <c r="H3007" s="1">
        <v>0.1</v>
      </c>
      <c r="I3007" s="1">
        <v>0.1</v>
      </c>
      <c r="J3007" s="1">
        <v>0.86063413252963272</v>
      </c>
      <c r="K3007" s="1" t="s">
        <v>181</v>
      </c>
    </row>
    <row r="3008" spans="1:11" x14ac:dyDescent="0.25">
      <c r="A3008" s="1" t="s">
        <v>9667</v>
      </c>
      <c r="B3008" s="1" t="s">
        <v>9658</v>
      </c>
      <c r="C3008" s="1" t="s">
        <v>9668</v>
      </c>
      <c r="D3008" s="1" t="s">
        <v>9669</v>
      </c>
      <c r="E3008" s="1" t="s">
        <v>178</v>
      </c>
      <c r="F3008" s="1" t="s">
        <v>5017</v>
      </c>
      <c r="G3008" s="1" t="s">
        <v>5018</v>
      </c>
      <c r="H3008" s="1">
        <v>0.1</v>
      </c>
      <c r="I3008" s="1">
        <v>0.1</v>
      </c>
      <c r="J3008" s="1">
        <v>0.86961305885251283</v>
      </c>
      <c r="K3008" s="1" t="s">
        <v>181</v>
      </c>
    </row>
    <row r="3009" spans="1:11" x14ac:dyDescent="0.25">
      <c r="A3009" s="1" t="s">
        <v>9670</v>
      </c>
      <c r="B3009" s="1" t="s">
        <v>9671</v>
      </c>
      <c r="C3009" s="1" t="s">
        <v>9672</v>
      </c>
      <c r="D3009" s="1" t="s">
        <v>9673</v>
      </c>
      <c r="E3009" s="1" t="s">
        <v>178</v>
      </c>
      <c r="F3009" s="1" t="s">
        <v>5017</v>
      </c>
      <c r="G3009" s="1" t="s">
        <v>5018</v>
      </c>
      <c r="H3009" s="1">
        <v>0.1</v>
      </c>
      <c r="I3009" s="1">
        <v>0.1</v>
      </c>
      <c r="J3009" s="1">
        <v>0.90141022557405437</v>
      </c>
      <c r="K3009" s="1" t="s">
        <v>181</v>
      </c>
    </row>
    <row r="3010" spans="1:11" x14ac:dyDescent="0.25">
      <c r="A3010" s="1" t="s">
        <v>9674</v>
      </c>
      <c r="B3010" s="1" t="s">
        <v>9671</v>
      </c>
      <c r="C3010" s="1" t="s">
        <v>9675</v>
      </c>
      <c r="D3010" s="1" t="s">
        <v>9676</v>
      </c>
      <c r="E3010" s="1" t="s">
        <v>178</v>
      </c>
      <c r="F3010" s="1" t="s">
        <v>5017</v>
      </c>
      <c r="G3010" s="1" t="s">
        <v>5018</v>
      </c>
      <c r="H3010" s="1">
        <v>0.1</v>
      </c>
      <c r="I3010" s="1">
        <v>0.1</v>
      </c>
      <c r="J3010" s="1">
        <v>0.91735599219311148</v>
      </c>
      <c r="K3010" s="1" t="s">
        <v>181</v>
      </c>
    </row>
    <row r="3011" spans="1:11" x14ac:dyDescent="0.25">
      <c r="A3011" s="1" t="s">
        <v>9677</v>
      </c>
      <c r="B3011" s="1" t="s">
        <v>9671</v>
      </c>
      <c r="C3011" s="1" t="s">
        <v>9678</v>
      </c>
      <c r="D3011" s="1" t="s">
        <v>9679</v>
      </c>
      <c r="E3011" s="1" t="s">
        <v>178</v>
      </c>
      <c r="F3011" s="1" t="s">
        <v>5017</v>
      </c>
      <c r="G3011" s="1" t="s">
        <v>5018</v>
      </c>
      <c r="H3011" s="1">
        <v>0.1</v>
      </c>
      <c r="I3011" s="1">
        <v>0.1</v>
      </c>
      <c r="J3011" s="1">
        <v>0.89551576782137332</v>
      </c>
      <c r="K3011" s="1" t="s">
        <v>181</v>
      </c>
    </row>
    <row r="3012" spans="1:11" x14ac:dyDescent="0.25">
      <c r="A3012" s="1" t="s">
        <v>9680</v>
      </c>
      <c r="B3012" s="1" t="s">
        <v>9671</v>
      </c>
      <c r="C3012" s="1" t="s">
        <v>9681</v>
      </c>
      <c r="D3012" s="1" t="s">
        <v>9682</v>
      </c>
      <c r="E3012" s="1" t="s">
        <v>178</v>
      </c>
      <c r="F3012" s="1" t="s">
        <v>5017</v>
      </c>
      <c r="G3012" s="1" t="s">
        <v>5018</v>
      </c>
      <c r="H3012" s="1">
        <v>0.1</v>
      </c>
      <c r="I3012" s="1">
        <v>0.1</v>
      </c>
      <c r="J3012" s="1">
        <v>0.89940138994819208</v>
      </c>
      <c r="K3012" s="1" t="s">
        <v>181</v>
      </c>
    </row>
    <row r="3013" spans="1:11" x14ac:dyDescent="0.25">
      <c r="A3013" s="1" t="s">
        <v>9683</v>
      </c>
      <c r="B3013" s="1" t="s">
        <v>9684</v>
      </c>
      <c r="C3013" s="1" t="s">
        <v>9685</v>
      </c>
      <c r="D3013" s="1" t="s">
        <v>9686</v>
      </c>
      <c r="E3013" s="1" t="s">
        <v>178</v>
      </c>
      <c r="F3013" s="1" t="s">
        <v>5017</v>
      </c>
      <c r="G3013" s="1" t="s">
        <v>5018</v>
      </c>
      <c r="H3013" s="1">
        <v>0.1</v>
      </c>
      <c r="I3013" s="1">
        <v>0.1</v>
      </c>
      <c r="J3013" s="1">
        <v>0.88693296496968554</v>
      </c>
      <c r="K3013" s="1" t="s">
        <v>181</v>
      </c>
    </row>
    <row r="3014" spans="1:11" x14ac:dyDescent="0.25">
      <c r="A3014" s="1" t="s">
        <v>9687</v>
      </c>
      <c r="B3014" s="1" t="s">
        <v>9684</v>
      </c>
      <c r="C3014" s="1" t="s">
        <v>9688</v>
      </c>
      <c r="D3014" s="1" t="s">
        <v>9689</v>
      </c>
      <c r="E3014" s="1" t="s">
        <v>178</v>
      </c>
      <c r="F3014" s="1" t="s">
        <v>5017</v>
      </c>
      <c r="G3014" s="1" t="s">
        <v>5018</v>
      </c>
      <c r="H3014" s="1">
        <v>0.1</v>
      </c>
      <c r="I3014" s="1">
        <v>0.1</v>
      </c>
      <c r="J3014" s="1">
        <v>0.90181137232280595</v>
      </c>
      <c r="K3014" s="1" t="s">
        <v>181</v>
      </c>
    </row>
    <row r="3015" spans="1:11" x14ac:dyDescent="0.25">
      <c r="A3015" s="1" t="s">
        <v>9690</v>
      </c>
      <c r="B3015" s="1" t="s">
        <v>9684</v>
      </c>
      <c r="C3015" s="1" t="s">
        <v>9691</v>
      </c>
      <c r="D3015" s="1" t="s">
        <v>9692</v>
      </c>
      <c r="E3015" s="1" t="s">
        <v>178</v>
      </c>
      <c r="F3015" s="1" t="s">
        <v>5017</v>
      </c>
      <c r="G3015" s="1" t="s">
        <v>5018</v>
      </c>
      <c r="H3015" s="1">
        <v>0.1</v>
      </c>
      <c r="I3015" s="1">
        <v>0.1</v>
      </c>
      <c r="J3015" s="1">
        <v>0.87457918122215839</v>
      </c>
      <c r="K3015" s="1" t="s">
        <v>181</v>
      </c>
    </row>
    <row r="3016" spans="1:11" x14ac:dyDescent="0.25">
      <c r="A3016" s="1" t="s">
        <v>9693</v>
      </c>
      <c r="B3016" s="1" t="s">
        <v>9684</v>
      </c>
      <c r="C3016" s="1" t="s">
        <v>9694</v>
      </c>
      <c r="D3016" s="1" t="s">
        <v>9695</v>
      </c>
      <c r="E3016" s="1" t="s">
        <v>178</v>
      </c>
      <c r="F3016" s="1" t="s">
        <v>5017</v>
      </c>
      <c r="G3016" s="1" t="s">
        <v>5018</v>
      </c>
      <c r="H3016" s="1">
        <v>0.1</v>
      </c>
      <c r="I3016" s="1">
        <v>0.1</v>
      </c>
      <c r="J3016" s="1">
        <v>0.88097738348809518</v>
      </c>
      <c r="K3016" s="1" t="s">
        <v>181</v>
      </c>
    </row>
    <row r="3017" spans="1:11" x14ac:dyDescent="0.25">
      <c r="A3017" s="1" t="s">
        <v>9696</v>
      </c>
      <c r="B3017" s="1" t="s">
        <v>9697</v>
      </c>
      <c r="C3017" s="1" t="s">
        <v>9698</v>
      </c>
      <c r="D3017" s="1" t="s">
        <v>9699</v>
      </c>
      <c r="E3017" s="1" t="s">
        <v>178</v>
      </c>
      <c r="F3017" s="1" t="s">
        <v>5017</v>
      </c>
      <c r="G3017" s="1" t="s">
        <v>5018</v>
      </c>
      <c r="H3017" s="1">
        <v>0.1</v>
      </c>
      <c r="I3017" s="1">
        <v>0.1</v>
      </c>
      <c r="J3017" s="1">
        <v>0.81928552509658548</v>
      </c>
      <c r="K3017" s="1" t="s">
        <v>181</v>
      </c>
    </row>
    <row r="3018" spans="1:11" x14ac:dyDescent="0.25">
      <c r="A3018" s="1" t="s">
        <v>9700</v>
      </c>
      <c r="B3018" s="1" t="s">
        <v>9697</v>
      </c>
      <c r="C3018" s="1" t="s">
        <v>9701</v>
      </c>
      <c r="D3018" s="1" t="s">
        <v>9702</v>
      </c>
      <c r="E3018" s="1" t="s">
        <v>178</v>
      </c>
      <c r="F3018" s="1" t="s">
        <v>5017</v>
      </c>
      <c r="G3018" s="1" t="s">
        <v>5018</v>
      </c>
      <c r="H3018" s="1">
        <v>0.1</v>
      </c>
      <c r="I3018" s="1">
        <v>0.1</v>
      </c>
      <c r="J3018" s="1">
        <v>0.82448920012925508</v>
      </c>
      <c r="K3018" s="1" t="s">
        <v>181</v>
      </c>
    </row>
    <row r="3019" spans="1:11" x14ac:dyDescent="0.25">
      <c r="A3019" s="1" t="s">
        <v>9703</v>
      </c>
      <c r="B3019" s="1" t="s">
        <v>9704</v>
      </c>
      <c r="C3019" s="1" t="s">
        <v>9705</v>
      </c>
      <c r="D3019" s="1" t="s">
        <v>9706</v>
      </c>
      <c r="E3019" s="1" t="s">
        <v>178</v>
      </c>
      <c r="F3019" s="1" t="s">
        <v>5017</v>
      </c>
      <c r="G3019" s="1" t="s">
        <v>5018</v>
      </c>
      <c r="H3019" s="1">
        <v>0.1</v>
      </c>
      <c r="I3019" s="1">
        <v>0.1</v>
      </c>
      <c r="J3019" s="1">
        <v>0.86599554407145163</v>
      </c>
      <c r="K3019" s="1" t="s">
        <v>181</v>
      </c>
    </row>
    <row r="3020" spans="1:11" x14ac:dyDescent="0.25">
      <c r="A3020" s="1" t="s">
        <v>9707</v>
      </c>
      <c r="B3020" s="1" t="s">
        <v>9704</v>
      </c>
      <c r="C3020" s="1" t="s">
        <v>9708</v>
      </c>
      <c r="D3020" s="1" t="s">
        <v>9709</v>
      </c>
      <c r="E3020" s="1" t="s">
        <v>178</v>
      </c>
      <c r="F3020" s="1" t="s">
        <v>5017</v>
      </c>
      <c r="G3020" s="1" t="s">
        <v>5018</v>
      </c>
      <c r="H3020" s="1">
        <v>0.1</v>
      </c>
      <c r="I3020" s="1">
        <v>0.1</v>
      </c>
      <c r="J3020" s="1">
        <v>0.83814316181534287</v>
      </c>
      <c r="K3020" s="1" t="s">
        <v>181</v>
      </c>
    </row>
    <row r="3021" spans="1:11" x14ac:dyDescent="0.25">
      <c r="A3021" s="1" t="s">
        <v>9710</v>
      </c>
      <c r="B3021" s="1" t="s">
        <v>8127</v>
      </c>
      <c r="C3021" s="1" t="s">
        <v>9711</v>
      </c>
      <c r="D3021" s="1" t="s">
        <v>9712</v>
      </c>
      <c r="E3021" s="1" t="s">
        <v>178</v>
      </c>
      <c r="F3021" s="1" t="s">
        <v>5017</v>
      </c>
      <c r="G3021" s="1" t="s">
        <v>5018</v>
      </c>
      <c r="H3021" s="1">
        <v>0.1</v>
      </c>
      <c r="I3021" s="1">
        <v>0.1</v>
      </c>
      <c r="J3021" s="1">
        <v>0.76971786622457961</v>
      </c>
      <c r="K3021" s="1" t="s">
        <v>181</v>
      </c>
    </row>
    <row r="3022" spans="1:11" x14ac:dyDescent="0.25">
      <c r="A3022" s="1" t="s">
        <v>9713</v>
      </c>
      <c r="B3022" s="1" t="s">
        <v>8127</v>
      </c>
      <c r="C3022" s="1" t="s">
        <v>9714</v>
      </c>
      <c r="D3022" s="1" t="s">
        <v>9715</v>
      </c>
      <c r="E3022" s="1" t="s">
        <v>178</v>
      </c>
      <c r="F3022" s="1" t="s">
        <v>5017</v>
      </c>
      <c r="G3022" s="1" t="s">
        <v>5018</v>
      </c>
      <c r="H3022" s="1">
        <v>0.1</v>
      </c>
      <c r="I3022" s="1">
        <v>0.1</v>
      </c>
      <c r="J3022" s="1">
        <v>0.80192349657727402</v>
      </c>
      <c r="K3022" s="1" t="s">
        <v>181</v>
      </c>
    </row>
    <row r="3023" spans="1:11" x14ac:dyDescent="0.25">
      <c r="A3023" s="1" t="s">
        <v>9716</v>
      </c>
      <c r="B3023" s="1" t="s">
        <v>8127</v>
      </c>
      <c r="C3023" s="1" t="s">
        <v>9717</v>
      </c>
      <c r="D3023" s="1" t="s">
        <v>9718</v>
      </c>
      <c r="E3023" s="1" t="s">
        <v>178</v>
      </c>
      <c r="F3023" s="1" t="s">
        <v>5017</v>
      </c>
      <c r="G3023" s="1" t="s">
        <v>5018</v>
      </c>
      <c r="H3023" s="1">
        <v>0.1</v>
      </c>
      <c r="I3023" s="1">
        <v>0.1</v>
      </c>
      <c r="J3023" s="1">
        <v>0.89084702251638714</v>
      </c>
      <c r="K3023" s="1" t="s">
        <v>181</v>
      </c>
    </row>
    <row r="3024" spans="1:11" x14ac:dyDescent="0.25">
      <c r="A3024" s="1" t="s">
        <v>9719</v>
      </c>
      <c r="B3024" s="1" t="s">
        <v>8382</v>
      </c>
      <c r="C3024" s="1" t="s">
        <v>9720</v>
      </c>
      <c r="D3024" s="1" t="s">
        <v>9721</v>
      </c>
      <c r="E3024" s="1" t="s">
        <v>178</v>
      </c>
      <c r="F3024" s="1" t="s">
        <v>5017</v>
      </c>
      <c r="G3024" s="1" t="s">
        <v>5018</v>
      </c>
      <c r="H3024" s="1">
        <v>0.1</v>
      </c>
      <c r="I3024" s="1">
        <v>0.1</v>
      </c>
      <c r="J3024" s="1">
        <v>0.6291521283789262</v>
      </c>
      <c r="K3024" s="1" t="s">
        <v>181</v>
      </c>
    </row>
    <row r="3025" spans="1:11" x14ac:dyDescent="0.25">
      <c r="A3025" s="1" t="s">
        <v>9722</v>
      </c>
      <c r="B3025" s="1" t="s">
        <v>9723</v>
      </c>
      <c r="C3025" s="1" t="s">
        <v>9724</v>
      </c>
      <c r="D3025" s="1" t="s">
        <v>9725</v>
      </c>
      <c r="E3025" s="1" t="s">
        <v>178</v>
      </c>
      <c r="F3025" s="1" t="s">
        <v>5017</v>
      </c>
      <c r="G3025" s="1" t="s">
        <v>5018</v>
      </c>
      <c r="H3025" s="1">
        <v>0.1</v>
      </c>
      <c r="I3025" s="1">
        <v>0.1</v>
      </c>
      <c r="J3025" s="1">
        <v>0.7627126042039768</v>
      </c>
      <c r="K3025" s="1" t="s">
        <v>181</v>
      </c>
    </row>
    <row r="3026" spans="1:11" x14ac:dyDescent="0.25">
      <c r="A3026" s="1" t="s">
        <v>9726</v>
      </c>
      <c r="B3026" s="1" t="s">
        <v>9723</v>
      </c>
      <c r="C3026" s="1" t="s">
        <v>9727</v>
      </c>
      <c r="D3026" s="1" t="s">
        <v>9728</v>
      </c>
      <c r="E3026" s="1" t="s">
        <v>178</v>
      </c>
      <c r="F3026" s="1" t="s">
        <v>5017</v>
      </c>
      <c r="G3026" s="1" t="s">
        <v>5018</v>
      </c>
      <c r="H3026" s="1">
        <v>0.1</v>
      </c>
      <c r="I3026" s="1">
        <v>0.1</v>
      </c>
      <c r="J3026" s="1">
        <v>0.78180732196998382</v>
      </c>
      <c r="K3026" s="1" t="s">
        <v>181</v>
      </c>
    </row>
    <row r="3027" spans="1:11" x14ac:dyDescent="0.25">
      <c r="A3027" s="1" t="s">
        <v>9729</v>
      </c>
      <c r="B3027" s="1" t="s">
        <v>9723</v>
      </c>
      <c r="C3027" s="1" t="s">
        <v>9730</v>
      </c>
      <c r="D3027" s="1" t="s">
        <v>9731</v>
      </c>
      <c r="E3027" s="1" t="s">
        <v>178</v>
      </c>
      <c r="F3027" s="1" t="s">
        <v>5017</v>
      </c>
      <c r="G3027" s="1" t="s">
        <v>5018</v>
      </c>
      <c r="H3027" s="1">
        <v>0.1</v>
      </c>
      <c r="I3027" s="1">
        <v>0.1</v>
      </c>
      <c r="J3027" s="1">
        <v>0.7627126042039768</v>
      </c>
      <c r="K3027" s="1" t="s">
        <v>181</v>
      </c>
    </row>
    <row r="3028" spans="1:11" x14ac:dyDescent="0.25">
      <c r="A3028" s="1" t="s">
        <v>9732</v>
      </c>
      <c r="B3028" s="1" t="s">
        <v>9723</v>
      </c>
      <c r="C3028" s="1" t="s">
        <v>9733</v>
      </c>
      <c r="D3028" s="1" t="s">
        <v>9734</v>
      </c>
      <c r="E3028" s="1" t="s">
        <v>178</v>
      </c>
      <c r="F3028" s="1" t="s">
        <v>5017</v>
      </c>
      <c r="G3028" s="1" t="s">
        <v>5018</v>
      </c>
      <c r="H3028" s="1">
        <v>0.1</v>
      </c>
      <c r="I3028" s="1">
        <v>0.1</v>
      </c>
      <c r="J3028" s="1">
        <v>0.84847583134413473</v>
      </c>
      <c r="K3028" s="1" t="s">
        <v>181</v>
      </c>
    </row>
    <row r="3029" spans="1:11" x14ac:dyDescent="0.25">
      <c r="A3029" s="1" t="s">
        <v>9735</v>
      </c>
      <c r="B3029" s="1" t="s">
        <v>8127</v>
      </c>
      <c r="C3029" s="1" t="s">
        <v>9736</v>
      </c>
      <c r="D3029" s="1" t="s">
        <v>9737</v>
      </c>
      <c r="E3029" s="1" t="s">
        <v>178</v>
      </c>
      <c r="F3029" s="1" t="s">
        <v>5017</v>
      </c>
      <c r="G3029" s="1" t="s">
        <v>5018</v>
      </c>
      <c r="H3029" s="1">
        <v>0.1</v>
      </c>
      <c r="I3029" s="1">
        <v>0.1</v>
      </c>
      <c r="J3029" s="1">
        <v>0.75687457266460045</v>
      </c>
      <c r="K3029" s="1" t="s">
        <v>181</v>
      </c>
    </row>
    <row r="3030" spans="1:11" x14ac:dyDescent="0.25">
      <c r="A3030" s="1" t="s">
        <v>9738</v>
      </c>
      <c r="B3030" s="1" t="s">
        <v>8127</v>
      </c>
      <c r="C3030" s="1" t="s">
        <v>9739</v>
      </c>
      <c r="D3030" s="1" t="s">
        <v>9740</v>
      </c>
      <c r="E3030" s="1" t="s">
        <v>178</v>
      </c>
      <c r="F3030" s="1" t="s">
        <v>5017</v>
      </c>
      <c r="G3030" s="1" t="s">
        <v>5018</v>
      </c>
      <c r="H3030" s="1">
        <v>0.1</v>
      </c>
      <c r="I3030" s="1">
        <v>0.1</v>
      </c>
      <c r="J3030" s="1">
        <v>0.78158275496873153</v>
      </c>
      <c r="K3030" s="1" t="s">
        <v>181</v>
      </c>
    </row>
    <row r="3031" spans="1:11" x14ac:dyDescent="0.25">
      <c r="A3031" s="1" t="s">
        <v>9741</v>
      </c>
      <c r="B3031" s="1" t="s">
        <v>8127</v>
      </c>
      <c r="C3031" s="1" t="s">
        <v>9742</v>
      </c>
      <c r="D3031" s="1" t="s">
        <v>9743</v>
      </c>
      <c r="E3031" s="1" t="s">
        <v>178</v>
      </c>
      <c r="F3031" s="1" t="s">
        <v>5017</v>
      </c>
      <c r="G3031" s="1" t="s">
        <v>5018</v>
      </c>
      <c r="H3031" s="1">
        <v>0.1</v>
      </c>
      <c r="I3031" s="1">
        <v>0.1</v>
      </c>
      <c r="J3031" s="1">
        <v>0.75687457266460045</v>
      </c>
      <c r="K3031" s="1" t="s">
        <v>181</v>
      </c>
    </row>
    <row r="3032" spans="1:11" x14ac:dyDescent="0.25">
      <c r="A3032" s="1" t="s">
        <v>9744</v>
      </c>
      <c r="B3032" s="1" t="s">
        <v>8127</v>
      </c>
      <c r="C3032" s="1" t="s">
        <v>9745</v>
      </c>
      <c r="D3032" s="1" t="s">
        <v>9746</v>
      </c>
      <c r="E3032" s="1" t="s">
        <v>178</v>
      </c>
      <c r="F3032" s="1" t="s">
        <v>5017</v>
      </c>
      <c r="G3032" s="1" t="s">
        <v>5018</v>
      </c>
      <c r="H3032" s="1">
        <v>0.1</v>
      </c>
      <c r="I3032" s="1">
        <v>0.1</v>
      </c>
      <c r="J3032" s="1">
        <v>0.84842274298183906</v>
      </c>
      <c r="K3032" s="1" t="s">
        <v>181</v>
      </c>
    </row>
    <row r="3033" spans="1:11" x14ac:dyDescent="0.25">
      <c r="A3033" s="1" t="s">
        <v>9747</v>
      </c>
      <c r="B3033" s="1" t="s">
        <v>9748</v>
      </c>
      <c r="C3033" s="1" t="s">
        <v>9749</v>
      </c>
      <c r="D3033" s="1" t="s">
        <v>9750</v>
      </c>
      <c r="E3033" s="1" t="s">
        <v>178</v>
      </c>
      <c r="F3033" s="1" t="s">
        <v>5017</v>
      </c>
      <c r="G3033" s="1" t="s">
        <v>5018</v>
      </c>
      <c r="H3033" s="1">
        <v>0.1</v>
      </c>
      <c r="I3033" s="1">
        <v>0.1</v>
      </c>
      <c r="J3033" s="1">
        <v>0.76179588116381081</v>
      </c>
      <c r="K3033" s="1" t="s">
        <v>181</v>
      </c>
    </row>
    <row r="3034" spans="1:11" x14ac:dyDescent="0.25">
      <c r="A3034" s="1" t="s">
        <v>9751</v>
      </c>
      <c r="B3034" s="1" t="s">
        <v>9748</v>
      </c>
      <c r="C3034" s="1" t="s">
        <v>9752</v>
      </c>
      <c r="D3034" s="1" t="s">
        <v>9753</v>
      </c>
      <c r="E3034" s="1" t="s">
        <v>178</v>
      </c>
      <c r="F3034" s="1" t="s">
        <v>5017</v>
      </c>
      <c r="G3034" s="1" t="s">
        <v>5018</v>
      </c>
      <c r="H3034" s="1">
        <v>0.1</v>
      </c>
      <c r="I3034" s="1">
        <v>0.1</v>
      </c>
      <c r="J3034" s="1">
        <v>0.7834519134685437</v>
      </c>
      <c r="K3034" s="1" t="s">
        <v>181</v>
      </c>
    </row>
    <row r="3035" spans="1:11" x14ac:dyDescent="0.25">
      <c r="A3035" s="1" t="s">
        <v>9754</v>
      </c>
      <c r="B3035" s="1" t="s">
        <v>9748</v>
      </c>
      <c r="C3035" s="1" t="s">
        <v>9755</v>
      </c>
      <c r="D3035" s="1" t="s">
        <v>9756</v>
      </c>
      <c r="E3035" s="1" t="s">
        <v>178</v>
      </c>
      <c r="F3035" s="1" t="s">
        <v>5017</v>
      </c>
      <c r="G3035" s="1" t="s">
        <v>5018</v>
      </c>
      <c r="H3035" s="1">
        <v>0.1</v>
      </c>
      <c r="I3035" s="1">
        <v>0.1</v>
      </c>
      <c r="J3035" s="1">
        <v>0.76179588116381081</v>
      </c>
      <c r="K3035" s="1" t="s">
        <v>181</v>
      </c>
    </row>
    <row r="3036" spans="1:11" x14ac:dyDescent="0.25">
      <c r="A3036" s="1" t="s">
        <v>9757</v>
      </c>
      <c r="B3036" s="1" t="s">
        <v>9748</v>
      </c>
      <c r="C3036" s="1" t="s">
        <v>9758</v>
      </c>
      <c r="D3036" s="1" t="s">
        <v>9759</v>
      </c>
      <c r="E3036" s="1" t="s">
        <v>178</v>
      </c>
      <c r="F3036" s="1" t="s">
        <v>5017</v>
      </c>
      <c r="G3036" s="1" t="s">
        <v>5018</v>
      </c>
      <c r="H3036" s="1">
        <v>0.1</v>
      </c>
      <c r="I3036" s="1">
        <v>0.1</v>
      </c>
      <c r="J3036" s="1">
        <v>0.85081280043488883</v>
      </c>
      <c r="K3036" s="1" t="s">
        <v>181</v>
      </c>
    </row>
    <row r="3037" spans="1:11" x14ac:dyDescent="0.25">
      <c r="A3037" s="1" t="s">
        <v>9760</v>
      </c>
      <c r="B3037" s="1" t="s">
        <v>6735</v>
      </c>
      <c r="C3037" s="1" t="s">
        <v>9761</v>
      </c>
      <c r="D3037" s="1" t="s">
        <v>9762</v>
      </c>
      <c r="E3037" s="1" t="s">
        <v>178</v>
      </c>
      <c r="F3037" s="1" t="s">
        <v>5017</v>
      </c>
      <c r="G3037" s="1" t="s">
        <v>5018</v>
      </c>
      <c r="H3037" s="1">
        <v>0.1</v>
      </c>
      <c r="I3037" s="1">
        <v>0.1</v>
      </c>
      <c r="J3037" s="1">
        <v>1.1956307075024422</v>
      </c>
      <c r="K3037" s="1" t="s">
        <v>181</v>
      </c>
    </row>
    <row r="3038" spans="1:11" x14ac:dyDescent="0.25">
      <c r="A3038" s="1" t="s">
        <v>9763</v>
      </c>
      <c r="B3038" s="1" t="s">
        <v>6735</v>
      </c>
      <c r="C3038" s="1" t="s">
        <v>9764</v>
      </c>
      <c r="D3038" s="1" t="s">
        <v>9765</v>
      </c>
      <c r="E3038" s="1" t="s">
        <v>178</v>
      </c>
      <c r="F3038" s="1" t="s">
        <v>5017</v>
      </c>
      <c r="G3038" s="1" t="s">
        <v>5018</v>
      </c>
      <c r="H3038" s="1">
        <v>0.1</v>
      </c>
      <c r="I3038" s="1">
        <v>0.1</v>
      </c>
      <c r="J3038" s="1">
        <v>1.2739752731569369</v>
      </c>
      <c r="K3038" s="1" t="s">
        <v>181</v>
      </c>
    </row>
    <row r="3039" spans="1:11" x14ac:dyDescent="0.25">
      <c r="A3039" s="1" t="s">
        <v>9766</v>
      </c>
      <c r="B3039" s="1" t="s">
        <v>6940</v>
      </c>
      <c r="C3039" s="1" t="s">
        <v>9767</v>
      </c>
      <c r="D3039" s="1" t="s">
        <v>9768</v>
      </c>
      <c r="E3039" s="1" t="s">
        <v>178</v>
      </c>
      <c r="F3039" s="1" t="s">
        <v>5017</v>
      </c>
      <c r="G3039" s="1" t="s">
        <v>5018</v>
      </c>
      <c r="H3039" s="1">
        <v>0.1</v>
      </c>
      <c r="I3039" s="1">
        <v>0.1</v>
      </c>
      <c r="J3039" s="1">
        <v>0.87967019575291028</v>
      </c>
      <c r="K3039" s="1" t="s">
        <v>181</v>
      </c>
    </row>
    <row r="3040" spans="1:11" x14ac:dyDescent="0.25">
      <c r="A3040" s="1" t="s">
        <v>9769</v>
      </c>
      <c r="B3040" s="1" t="s">
        <v>9770</v>
      </c>
      <c r="D3040" s="1" t="s">
        <v>9771</v>
      </c>
      <c r="E3040" s="1" t="s">
        <v>209</v>
      </c>
      <c r="F3040" s="1" t="s">
        <v>5017</v>
      </c>
      <c r="G3040" s="1" t="s">
        <v>5018</v>
      </c>
      <c r="H3040" s="1">
        <v>0.1</v>
      </c>
      <c r="I3040" s="1">
        <v>0.1</v>
      </c>
      <c r="J3040" s="1">
        <v>0.70896811064091425</v>
      </c>
      <c r="K3040" s="1" t="s">
        <v>181</v>
      </c>
    </row>
    <row r="3041" spans="1:11" x14ac:dyDescent="0.25">
      <c r="A3041" s="1" t="s">
        <v>9772</v>
      </c>
      <c r="B3041" s="1" t="s">
        <v>9773</v>
      </c>
      <c r="D3041" s="1" t="s">
        <v>9774</v>
      </c>
      <c r="E3041" s="1" t="s">
        <v>209</v>
      </c>
      <c r="F3041" s="1" t="s">
        <v>5017</v>
      </c>
      <c r="G3041" s="1" t="s">
        <v>5018</v>
      </c>
      <c r="H3041" s="1">
        <v>0.1</v>
      </c>
      <c r="I3041" s="1">
        <v>0.1</v>
      </c>
      <c r="J3041" s="1">
        <v>0.56757399844928169</v>
      </c>
      <c r="K3041" s="1" t="s">
        <v>181</v>
      </c>
    </row>
    <row r="3042" spans="1:11" x14ac:dyDescent="0.25">
      <c r="A3042" s="1" t="s">
        <v>9775</v>
      </c>
      <c r="B3042" s="1" t="s">
        <v>9776</v>
      </c>
      <c r="D3042" s="1" t="s">
        <v>9777</v>
      </c>
      <c r="E3042" s="1" t="s">
        <v>209</v>
      </c>
      <c r="F3042" s="1" t="s">
        <v>5017</v>
      </c>
      <c r="G3042" s="1" t="s">
        <v>5018</v>
      </c>
      <c r="H3042" s="1">
        <v>0.1</v>
      </c>
      <c r="I3042" s="1">
        <v>0.1</v>
      </c>
      <c r="J3042" s="1">
        <v>0.69314221900400697</v>
      </c>
      <c r="K3042" s="1" t="s">
        <v>181</v>
      </c>
    </row>
    <row r="3043" spans="1:11" x14ac:dyDescent="0.25">
      <c r="A3043" s="1" t="s">
        <v>9778</v>
      </c>
      <c r="B3043" s="1" t="s">
        <v>9779</v>
      </c>
      <c r="D3043" s="1" t="s">
        <v>9780</v>
      </c>
      <c r="E3043" s="1" t="s">
        <v>209</v>
      </c>
      <c r="F3043" s="1" t="s">
        <v>5017</v>
      </c>
      <c r="G3043" s="1" t="s">
        <v>5018</v>
      </c>
      <c r="H3043" s="1">
        <v>0.1</v>
      </c>
      <c r="I3043" s="1">
        <v>0.1</v>
      </c>
      <c r="J3043" s="1">
        <v>0.84468303617261919</v>
      </c>
      <c r="K3043" s="1" t="s">
        <v>181</v>
      </c>
    </row>
    <row r="3044" spans="1:11" x14ac:dyDescent="0.25">
      <c r="A3044" s="1" t="s">
        <v>9781</v>
      </c>
      <c r="B3044" s="1" t="s">
        <v>9782</v>
      </c>
      <c r="D3044" s="1" t="s">
        <v>9783</v>
      </c>
      <c r="E3044" s="1" t="s">
        <v>209</v>
      </c>
      <c r="F3044" s="1" t="s">
        <v>5017</v>
      </c>
      <c r="G3044" s="1" t="s">
        <v>5018</v>
      </c>
      <c r="H3044" s="1">
        <v>0.1</v>
      </c>
      <c r="I3044" s="1">
        <v>0.1</v>
      </c>
      <c r="J3044" s="1">
        <v>0.86396242588213623</v>
      </c>
      <c r="K3044" s="1" t="s">
        <v>181</v>
      </c>
    </row>
    <row r="3045" spans="1:11" x14ac:dyDescent="0.25">
      <c r="A3045" s="1" t="s">
        <v>9784</v>
      </c>
      <c r="B3045" s="1" t="s">
        <v>9785</v>
      </c>
      <c r="D3045" s="1" t="s">
        <v>9786</v>
      </c>
      <c r="E3045" s="1" t="s">
        <v>209</v>
      </c>
      <c r="F3045" s="1" t="s">
        <v>5017</v>
      </c>
      <c r="G3045" s="1" t="s">
        <v>5018</v>
      </c>
      <c r="H3045" s="1">
        <v>0.1</v>
      </c>
      <c r="I3045" s="1">
        <v>0.1</v>
      </c>
      <c r="J3045" s="1">
        <v>0.82945323559592776</v>
      </c>
      <c r="K3045" s="1" t="s">
        <v>181</v>
      </c>
    </row>
    <row r="3046" spans="1:11" x14ac:dyDescent="0.25">
      <c r="A3046" s="1" t="s">
        <v>9787</v>
      </c>
      <c r="B3046" s="1" t="s">
        <v>9788</v>
      </c>
      <c r="D3046" s="1" t="s">
        <v>9789</v>
      </c>
      <c r="E3046" s="1" t="s">
        <v>209</v>
      </c>
      <c r="F3046" s="1" t="s">
        <v>5017</v>
      </c>
      <c r="G3046" s="1" t="s">
        <v>5018</v>
      </c>
      <c r="H3046" s="1">
        <v>0.1</v>
      </c>
      <c r="I3046" s="1">
        <v>0.1</v>
      </c>
      <c r="J3046" s="1">
        <v>0.51070659990265821</v>
      </c>
      <c r="K3046" s="1" t="s">
        <v>181</v>
      </c>
    </row>
    <row r="3047" spans="1:11" x14ac:dyDescent="0.25">
      <c r="A3047" s="1" t="s">
        <v>9790</v>
      </c>
      <c r="B3047" s="1" t="s">
        <v>9791</v>
      </c>
      <c r="D3047" s="1" t="s">
        <v>9792</v>
      </c>
      <c r="E3047" s="1" t="s">
        <v>209</v>
      </c>
      <c r="F3047" s="1" t="s">
        <v>5017</v>
      </c>
      <c r="G3047" s="1" t="s">
        <v>5018</v>
      </c>
      <c r="H3047" s="1">
        <v>0.1</v>
      </c>
      <c r="I3047" s="1">
        <v>0.1</v>
      </c>
      <c r="J3047" s="1">
        <v>0.64812699832492104</v>
      </c>
      <c r="K3047" s="1" t="s">
        <v>181</v>
      </c>
    </row>
    <row r="3048" spans="1:11" x14ac:dyDescent="0.25">
      <c r="A3048" s="1" t="s">
        <v>9793</v>
      </c>
      <c r="B3048" s="1" t="s">
        <v>9794</v>
      </c>
      <c r="D3048" s="1" t="s">
        <v>9795</v>
      </c>
      <c r="E3048" s="1" t="s">
        <v>209</v>
      </c>
      <c r="F3048" s="1" t="s">
        <v>5017</v>
      </c>
      <c r="G3048" s="1" t="s">
        <v>5018</v>
      </c>
      <c r="H3048" s="1">
        <v>0.1</v>
      </c>
      <c r="I3048" s="1">
        <v>0.1</v>
      </c>
      <c r="J3048" s="1">
        <v>0.69080970091106964</v>
      </c>
      <c r="K3048" s="1" t="s">
        <v>181</v>
      </c>
    </row>
    <row r="3049" spans="1:11" x14ac:dyDescent="0.25">
      <c r="A3049" s="1" t="s">
        <v>9796</v>
      </c>
      <c r="B3049" s="1" t="s">
        <v>9797</v>
      </c>
      <c r="D3049" s="1" t="s">
        <v>9798</v>
      </c>
      <c r="E3049" s="1" t="s">
        <v>209</v>
      </c>
      <c r="F3049" s="1" t="s">
        <v>5017</v>
      </c>
      <c r="G3049" s="1" t="s">
        <v>5018</v>
      </c>
      <c r="H3049" s="1">
        <v>0.1</v>
      </c>
      <c r="I3049" s="1">
        <v>0.1</v>
      </c>
      <c r="J3049" s="1">
        <v>0.42069925689505261</v>
      </c>
      <c r="K3049" s="1" t="s">
        <v>181</v>
      </c>
    </row>
    <row r="3050" spans="1:11" x14ac:dyDescent="0.25">
      <c r="A3050" s="1" t="s">
        <v>9799</v>
      </c>
      <c r="B3050" s="1" t="s">
        <v>9800</v>
      </c>
      <c r="D3050" s="1" t="s">
        <v>9801</v>
      </c>
      <c r="E3050" s="1" t="s">
        <v>209</v>
      </c>
      <c r="F3050" s="1" t="s">
        <v>5017</v>
      </c>
      <c r="G3050" s="1" t="s">
        <v>5018</v>
      </c>
      <c r="H3050" s="1">
        <v>0.1</v>
      </c>
      <c r="I3050" s="1">
        <v>0.1</v>
      </c>
      <c r="J3050" s="1">
        <v>0.47977373873598839</v>
      </c>
      <c r="K3050" s="1" t="s">
        <v>181</v>
      </c>
    </row>
    <row r="3051" spans="1:11" x14ac:dyDescent="0.25">
      <c r="A3051" s="1" t="s">
        <v>9802</v>
      </c>
      <c r="B3051" s="1" t="s">
        <v>9803</v>
      </c>
      <c r="D3051" s="1" t="s">
        <v>9804</v>
      </c>
      <c r="E3051" s="1" t="s">
        <v>209</v>
      </c>
      <c r="F3051" s="1" t="s">
        <v>5017</v>
      </c>
      <c r="G3051" s="1" t="s">
        <v>5018</v>
      </c>
      <c r="H3051" s="1">
        <v>0.1</v>
      </c>
      <c r="I3051" s="1">
        <v>0.1</v>
      </c>
      <c r="J3051" s="1">
        <v>0.74619441275139231</v>
      </c>
      <c r="K3051" s="1" t="s">
        <v>181</v>
      </c>
    </row>
    <row r="3052" spans="1:11" x14ac:dyDescent="0.25">
      <c r="A3052" s="1" t="s">
        <v>143</v>
      </c>
      <c r="B3052" s="1" t="s">
        <v>9805</v>
      </c>
      <c r="D3052" s="1" t="s">
        <v>9806</v>
      </c>
      <c r="E3052" s="1" t="s">
        <v>209</v>
      </c>
      <c r="F3052" s="1" t="s">
        <v>5017</v>
      </c>
      <c r="G3052" s="1" t="s">
        <v>5018</v>
      </c>
      <c r="H3052" s="1">
        <v>0.1</v>
      </c>
      <c r="I3052" s="1">
        <v>0.1</v>
      </c>
      <c r="J3052" s="1">
        <v>0.6581433885257183</v>
      </c>
      <c r="K3052" s="1" t="s">
        <v>181</v>
      </c>
    </row>
    <row r="3053" spans="1:11" x14ac:dyDescent="0.25">
      <c r="A3053" s="1" t="s">
        <v>9807</v>
      </c>
      <c r="B3053" s="1" t="s">
        <v>9808</v>
      </c>
      <c r="D3053" s="1" t="s">
        <v>9809</v>
      </c>
      <c r="E3053" s="1" t="s">
        <v>209</v>
      </c>
      <c r="F3053" s="1" t="s">
        <v>5017</v>
      </c>
      <c r="G3053" s="1" t="s">
        <v>5018</v>
      </c>
      <c r="H3053" s="1">
        <v>0.1</v>
      </c>
      <c r="I3053" s="1">
        <v>0.1</v>
      </c>
      <c r="J3053" s="1">
        <v>0.49722113104949223</v>
      </c>
      <c r="K3053" s="1" t="s">
        <v>181</v>
      </c>
    </row>
    <row r="3054" spans="1:11" x14ac:dyDescent="0.25">
      <c r="A3054" s="1" t="s">
        <v>9810</v>
      </c>
      <c r="B3054" s="1" t="s">
        <v>9811</v>
      </c>
      <c r="D3054" s="1" t="s">
        <v>9812</v>
      </c>
      <c r="E3054" s="1" t="s">
        <v>209</v>
      </c>
      <c r="F3054" s="1" t="s">
        <v>5017</v>
      </c>
      <c r="G3054" s="1" t="s">
        <v>5018</v>
      </c>
      <c r="H3054" s="1">
        <v>0.1</v>
      </c>
      <c r="I3054" s="1">
        <v>0.1</v>
      </c>
      <c r="J3054" s="1">
        <v>0.84058641642005161</v>
      </c>
      <c r="K3054" s="1" t="s">
        <v>181</v>
      </c>
    </row>
    <row r="3055" spans="1:11" x14ac:dyDescent="0.25">
      <c r="A3055" s="1" t="s">
        <v>9813</v>
      </c>
      <c r="B3055" s="1" t="s">
        <v>9814</v>
      </c>
      <c r="D3055" s="1" t="s">
        <v>9815</v>
      </c>
      <c r="E3055" s="1" t="s">
        <v>209</v>
      </c>
      <c r="F3055" s="1" t="s">
        <v>5017</v>
      </c>
      <c r="G3055" s="1" t="s">
        <v>5018</v>
      </c>
      <c r="H3055" s="1">
        <v>0.1</v>
      </c>
      <c r="I3055" s="1">
        <v>0.1</v>
      </c>
      <c r="J3055" s="1">
        <v>0.64032560811702699</v>
      </c>
      <c r="K3055" s="1" t="s">
        <v>181</v>
      </c>
    </row>
    <row r="3056" spans="1:11" x14ac:dyDescent="0.25">
      <c r="A3056" s="1" t="s">
        <v>9816</v>
      </c>
      <c r="B3056" s="1" t="s">
        <v>9817</v>
      </c>
      <c r="D3056" s="1" t="s">
        <v>9818</v>
      </c>
      <c r="E3056" s="1" t="s">
        <v>209</v>
      </c>
      <c r="F3056" s="1" t="s">
        <v>5017</v>
      </c>
      <c r="G3056" s="1" t="s">
        <v>5018</v>
      </c>
      <c r="H3056" s="1">
        <v>0.1</v>
      </c>
      <c r="I3056" s="1">
        <v>0.1</v>
      </c>
      <c r="J3056" s="1">
        <v>0.81283637935655517</v>
      </c>
      <c r="K3056" s="1" t="s">
        <v>181</v>
      </c>
    </row>
    <row r="3057" spans="1:11" x14ac:dyDescent="0.25">
      <c r="A3057" s="1" t="s">
        <v>9819</v>
      </c>
      <c r="B3057" s="1" t="s">
        <v>9820</v>
      </c>
      <c r="D3057" s="1" t="s">
        <v>9821</v>
      </c>
      <c r="E3057" s="1" t="s">
        <v>209</v>
      </c>
      <c r="F3057" s="1" t="s">
        <v>5017</v>
      </c>
      <c r="G3057" s="1" t="s">
        <v>5018</v>
      </c>
      <c r="H3057" s="1">
        <v>0.1</v>
      </c>
      <c r="I3057" s="1">
        <v>0.1</v>
      </c>
      <c r="J3057" s="1">
        <v>0.83880798809240054</v>
      </c>
      <c r="K3057" s="1" t="s">
        <v>181</v>
      </c>
    </row>
    <row r="3058" spans="1:11" x14ac:dyDescent="0.25">
      <c r="A3058" s="1" t="s">
        <v>9822</v>
      </c>
      <c r="B3058" s="1" t="s">
        <v>9823</v>
      </c>
      <c r="D3058" s="1" t="s">
        <v>9824</v>
      </c>
      <c r="E3058" s="1" t="s">
        <v>209</v>
      </c>
      <c r="F3058" s="1" t="s">
        <v>5017</v>
      </c>
      <c r="G3058" s="1" t="s">
        <v>5018</v>
      </c>
      <c r="H3058" s="1">
        <v>0.1</v>
      </c>
      <c r="I3058" s="1">
        <v>0.1</v>
      </c>
      <c r="J3058" s="1">
        <v>0.5481359173457272</v>
      </c>
      <c r="K3058" s="1" t="s">
        <v>181</v>
      </c>
    </row>
    <row r="3059" spans="1:11" x14ac:dyDescent="0.25">
      <c r="A3059" s="1" t="s">
        <v>9825</v>
      </c>
      <c r="B3059" s="1" t="s">
        <v>9826</v>
      </c>
      <c r="D3059" s="1" t="s">
        <v>9827</v>
      </c>
      <c r="E3059" s="1" t="s">
        <v>209</v>
      </c>
      <c r="F3059" s="1" t="s">
        <v>5017</v>
      </c>
      <c r="G3059" s="1" t="s">
        <v>5018</v>
      </c>
      <c r="H3059" s="1">
        <v>0.1</v>
      </c>
      <c r="I3059" s="1">
        <v>0.1</v>
      </c>
      <c r="J3059" s="1">
        <v>0.43473818399544212</v>
      </c>
      <c r="K3059" s="1" t="s">
        <v>181</v>
      </c>
    </row>
    <row r="3060" spans="1:11" x14ac:dyDescent="0.25">
      <c r="A3060" s="1" t="s">
        <v>9828</v>
      </c>
      <c r="B3060" s="1" t="s">
        <v>9829</v>
      </c>
      <c r="D3060" s="1" t="s">
        <v>9830</v>
      </c>
      <c r="E3060" s="1" t="s">
        <v>209</v>
      </c>
      <c r="F3060" s="1" t="s">
        <v>5017</v>
      </c>
      <c r="G3060" s="1" t="s">
        <v>5018</v>
      </c>
      <c r="H3060" s="1">
        <v>0.1</v>
      </c>
      <c r="I3060" s="1">
        <v>0.1</v>
      </c>
      <c r="J3060" s="1">
        <v>0.44065423301479023</v>
      </c>
      <c r="K3060" s="1" t="s">
        <v>181</v>
      </c>
    </row>
    <row r="3061" spans="1:11" x14ac:dyDescent="0.25">
      <c r="A3061" s="1" t="s">
        <v>9831</v>
      </c>
      <c r="B3061" s="1" t="s">
        <v>9832</v>
      </c>
      <c r="D3061" s="1" t="s">
        <v>9833</v>
      </c>
      <c r="E3061" s="1" t="s">
        <v>209</v>
      </c>
      <c r="F3061" s="1" t="s">
        <v>5017</v>
      </c>
      <c r="G3061" s="1" t="s">
        <v>5018</v>
      </c>
      <c r="H3061" s="1">
        <v>0.1</v>
      </c>
      <c r="I3061" s="1">
        <v>0.1</v>
      </c>
      <c r="J3061" s="1">
        <v>0.8532064216954458</v>
      </c>
      <c r="K3061" s="1" t="s">
        <v>181</v>
      </c>
    </row>
    <row r="3062" spans="1:11" x14ac:dyDescent="0.25">
      <c r="A3062" s="1" t="s">
        <v>9834</v>
      </c>
      <c r="B3062" s="1" t="s">
        <v>9835</v>
      </c>
      <c r="D3062" s="1" t="s">
        <v>9836</v>
      </c>
      <c r="E3062" s="1" t="s">
        <v>209</v>
      </c>
      <c r="F3062" s="1" t="s">
        <v>5017</v>
      </c>
      <c r="G3062" s="1" t="s">
        <v>5018</v>
      </c>
      <c r="H3062" s="1">
        <v>0.1</v>
      </c>
      <c r="I3062" s="1">
        <v>0.1</v>
      </c>
      <c r="J3062" s="1">
        <v>0.42255169542774457</v>
      </c>
      <c r="K3062" s="1" t="s">
        <v>181</v>
      </c>
    </row>
    <row r="3063" spans="1:11" x14ac:dyDescent="0.25">
      <c r="A3063" s="1" t="s">
        <v>9837</v>
      </c>
      <c r="B3063" s="1" t="s">
        <v>9838</v>
      </c>
      <c r="D3063" s="1" t="s">
        <v>9839</v>
      </c>
      <c r="E3063" s="1" t="s">
        <v>209</v>
      </c>
      <c r="F3063" s="1" t="s">
        <v>5017</v>
      </c>
      <c r="G3063" s="1" t="s">
        <v>5018</v>
      </c>
      <c r="H3063" s="1">
        <v>0.1</v>
      </c>
      <c r="I3063" s="1">
        <v>0.1</v>
      </c>
      <c r="J3063" s="1">
        <v>0.42599748024104755</v>
      </c>
      <c r="K3063" s="1" t="s">
        <v>181</v>
      </c>
    </row>
    <row r="3064" spans="1:11" x14ac:dyDescent="0.25">
      <c r="A3064" s="1" t="s">
        <v>9840</v>
      </c>
      <c r="B3064" s="1" t="s">
        <v>9841</v>
      </c>
      <c r="D3064" s="1" t="s">
        <v>9842</v>
      </c>
      <c r="E3064" s="1" t="s">
        <v>209</v>
      </c>
      <c r="F3064" s="1" t="s">
        <v>5017</v>
      </c>
      <c r="G3064" s="1" t="s">
        <v>5018</v>
      </c>
      <c r="H3064" s="1">
        <v>0.1</v>
      </c>
      <c r="I3064" s="1">
        <v>0.1</v>
      </c>
      <c r="J3064" s="1">
        <v>0.67039382167531802</v>
      </c>
      <c r="K3064" s="1" t="s">
        <v>181</v>
      </c>
    </row>
    <row r="3065" spans="1:11" x14ac:dyDescent="0.25">
      <c r="A3065" s="1" t="s">
        <v>9843</v>
      </c>
      <c r="B3065" s="1" t="s">
        <v>9844</v>
      </c>
      <c r="D3065" s="1" t="s">
        <v>9845</v>
      </c>
      <c r="E3065" s="1" t="s">
        <v>209</v>
      </c>
      <c r="F3065" s="1" t="s">
        <v>5017</v>
      </c>
      <c r="G3065" s="1" t="s">
        <v>5018</v>
      </c>
      <c r="H3065" s="1">
        <v>0.1</v>
      </c>
      <c r="I3065" s="1">
        <v>0.1</v>
      </c>
      <c r="J3065" s="1">
        <v>0.91001208528808453</v>
      </c>
      <c r="K3065" s="1" t="s">
        <v>181</v>
      </c>
    </row>
    <row r="3066" spans="1:11" x14ac:dyDescent="0.25">
      <c r="A3066" s="1" t="s">
        <v>9846</v>
      </c>
      <c r="B3066" s="1" t="s">
        <v>9847</v>
      </c>
      <c r="D3066" s="1" t="s">
        <v>9848</v>
      </c>
      <c r="E3066" s="1" t="s">
        <v>209</v>
      </c>
      <c r="F3066" s="1" t="s">
        <v>5017</v>
      </c>
      <c r="G3066" s="1" t="s">
        <v>5018</v>
      </c>
      <c r="H3066" s="1">
        <v>0.1</v>
      </c>
      <c r="I3066" s="1">
        <v>0.1</v>
      </c>
      <c r="J3066" s="1">
        <v>0.40911916411474797</v>
      </c>
      <c r="K3066" s="1" t="s">
        <v>181</v>
      </c>
    </row>
    <row r="3067" spans="1:11" x14ac:dyDescent="0.25">
      <c r="A3067" s="1" t="s">
        <v>9849</v>
      </c>
      <c r="B3067" s="1" t="s">
        <v>9850</v>
      </c>
      <c r="C3067" s="1" t="s">
        <v>9851</v>
      </c>
      <c r="D3067" s="1" t="s">
        <v>9852</v>
      </c>
      <c r="E3067" s="1" t="s">
        <v>209</v>
      </c>
      <c r="F3067" s="1" t="s">
        <v>5017</v>
      </c>
      <c r="G3067" s="1" t="s">
        <v>5018</v>
      </c>
      <c r="H3067" s="1">
        <v>0.1</v>
      </c>
      <c r="I3067" s="1">
        <v>0.1</v>
      </c>
      <c r="J3067" s="1">
        <v>0.73162032313741443</v>
      </c>
      <c r="K3067" s="1" t="s">
        <v>181</v>
      </c>
    </row>
    <row r="3068" spans="1:11" x14ac:dyDescent="0.25">
      <c r="A3068" s="1" t="s">
        <v>9853</v>
      </c>
      <c r="B3068" s="1" t="s">
        <v>9854</v>
      </c>
      <c r="D3068" s="1" t="s">
        <v>9855</v>
      </c>
      <c r="E3068" s="1" t="s">
        <v>209</v>
      </c>
      <c r="F3068" s="1" t="s">
        <v>5017</v>
      </c>
      <c r="G3068" s="1" t="s">
        <v>5018</v>
      </c>
      <c r="H3068" s="1">
        <v>0.1</v>
      </c>
      <c r="I3068" s="1">
        <v>0.1</v>
      </c>
      <c r="J3068" s="1">
        <v>0.39391305282765809</v>
      </c>
      <c r="K3068" s="1" t="s">
        <v>181</v>
      </c>
    </row>
    <row r="3069" spans="1:11" x14ac:dyDescent="0.25">
      <c r="A3069" s="1" t="s">
        <v>9856</v>
      </c>
      <c r="B3069" s="1" t="s">
        <v>9857</v>
      </c>
      <c r="D3069" s="1" t="s">
        <v>9858</v>
      </c>
      <c r="E3069" s="1" t="s">
        <v>209</v>
      </c>
      <c r="F3069" s="1" t="s">
        <v>5017</v>
      </c>
      <c r="G3069" s="1" t="s">
        <v>5018</v>
      </c>
      <c r="H3069" s="1">
        <v>0.1</v>
      </c>
      <c r="I3069" s="1">
        <v>0.1</v>
      </c>
      <c r="J3069" s="1">
        <v>0.6374892091212121</v>
      </c>
      <c r="K3069" s="1" t="s">
        <v>181</v>
      </c>
    </row>
    <row r="3070" spans="1:11" x14ac:dyDescent="0.25">
      <c r="A3070" s="1" t="s">
        <v>9859</v>
      </c>
      <c r="B3070" s="1" t="s">
        <v>9860</v>
      </c>
      <c r="D3070" s="1" t="s">
        <v>9861</v>
      </c>
      <c r="E3070" s="1" t="s">
        <v>209</v>
      </c>
      <c r="F3070" s="1" t="s">
        <v>5017</v>
      </c>
      <c r="G3070" s="1" t="s">
        <v>5018</v>
      </c>
      <c r="H3070" s="1">
        <v>0.1</v>
      </c>
      <c r="I3070" s="1">
        <v>0.1</v>
      </c>
      <c r="J3070" s="1">
        <v>0.86924860294699413</v>
      </c>
      <c r="K3070" s="1" t="s">
        <v>181</v>
      </c>
    </row>
    <row r="3071" spans="1:11" x14ac:dyDescent="0.25">
      <c r="A3071" s="1" t="s">
        <v>9862</v>
      </c>
      <c r="B3071" s="1" t="s">
        <v>9863</v>
      </c>
      <c r="D3071" s="1" t="s">
        <v>9864</v>
      </c>
      <c r="E3071" s="1" t="s">
        <v>209</v>
      </c>
      <c r="F3071" s="1" t="s">
        <v>5017</v>
      </c>
      <c r="G3071" s="1" t="s">
        <v>5018</v>
      </c>
      <c r="H3071" s="1">
        <v>0.1</v>
      </c>
      <c r="I3071" s="1">
        <v>0.1</v>
      </c>
      <c r="J3071" s="1">
        <v>0.67420528133982682</v>
      </c>
      <c r="K3071" s="1" t="s">
        <v>181</v>
      </c>
    </row>
    <row r="3072" spans="1:11" x14ac:dyDescent="0.25">
      <c r="A3072" s="1" t="s">
        <v>9865</v>
      </c>
      <c r="B3072" s="1" t="s">
        <v>9866</v>
      </c>
      <c r="D3072" s="1" t="s">
        <v>9867</v>
      </c>
      <c r="E3072" s="1" t="s">
        <v>209</v>
      </c>
      <c r="F3072" s="1" t="s">
        <v>5017</v>
      </c>
      <c r="G3072" s="1" t="s">
        <v>5018</v>
      </c>
      <c r="H3072" s="1">
        <v>0.1</v>
      </c>
      <c r="I3072" s="1">
        <v>0.1</v>
      </c>
      <c r="J3072" s="1">
        <v>0.70886296371782809</v>
      </c>
      <c r="K3072" s="1" t="s">
        <v>181</v>
      </c>
    </row>
    <row r="3073" spans="1:11" x14ac:dyDescent="0.25">
      <c r="A3073" s="1" t="s">
        <v>9868</v>
      </c>
      <c r="B3073" s="1" t="s">
        <v>9869</v>
      </c>
      <c r="D3073" s="1" t="s">
        <v>9870</v>
      </c>
      <c r="E3073" s="1" t="s">
        <v>209</v>
      </c>
      <c r="F3073" s="1" t="s">
        <v>5017</v>
      </c>
      <c r="G3073" s="1" t="s">
        <v>5018</v>
      </c>
      <c r="H3073" s="1">
        <v>0.1</v>
      </c>
      <c r="I3073" s="1">
        <v>0.1</v>
      </c>
      <c r="J3073" s="1">
        <v>0.8071612502957477</v>
      </c>
      <c r="K3073" s="1" t="s">
        <v>181</v>
      </c>
    </row>
    <row r="3074" spans="1:11" x14ac:dyDescent="0.25">
      <c r="A3074" s="1" t="s">
        <v>9871</v>
      </c>
      <c r="B3074" s="1" t="s">
        <v>9872</v>
      </c>
      <c r="D3074" s="1" t="s">
        <v>9873</v>
      </c>
      <c r="E3074" s="1" t="s">
        <v>209</v>
      </c>
      <c r="F3074" s="1" t="s">
        <v>5017</v>
      </c>
      <c r="G3074" s="1" t="s">
        <v>5018</v>
      </c>
      <c r="H3074" s="1">
        <v>0.1</v>
      </c>
      <c r="I3074" s="1">
        <v>0.1</v>
      </c>
      <c r="J3074" s="1">
        <v>0.8665545453287441</v>
      </c>
      <c r="K3074" s="1" t="s">
        <v>181</v>
      </c>
    </row>
    <row r="3075" spans="1:11" x14ac:dyDescent="0.25">
      <c r="A3075" s="1" t="s">
        <v>9874</v>
      </c>
      <c r="B3075" s="1" t="s">
        <v>9875</v>
      </c>
      <c r="D3075" s="1" t="s">
        <v>9876</v>
      </c>
      <c r="E3075" s="1" t="s">
        <v>209</v>
      </c>
      <c r="F3075" s="1" t="s">
        <v>5017</v>
      </c>
      <c r="G3075" s="1" t="s">
        <v>5018</v>
      </c>
      <c r="H3075" s="1">
        <v>0.1</v>
      </c>
      <c r="I3075" s="1">
        <v>0.1</v>
      </c>
      <c r="J3075" s="1">
        <v>0.69956669694480256</v>
      </c>
      <c r="K3075" s="1" t="s">
        <v>181</v>
      </c>
    </row>
    <row r="3076" spans="1:11" x14ac:dyDescent="0.25">
      <c r="A3076" s="1" t="s">
        <v>9877</v>
      </c>
      <c r="B3076" s="1" t="s">
        <v>9878</v>
      </c>
      <c r="D3076" s="1" t="s">
        <v>9879</v>
      </c>
      <c r="E3076" s="1" t="s">
        <v>209</v>
      </c>
      <c r="F3076" s="1" t="s">
        <v>5017</v>
      </c>
      <c r="G3076" s="1" t="s">
        <v>5018</v>
      </c>
      <c r="H3076" s="1">
        <v>0.1</v>
      </c>
      <c r="I3076" s="1">
        <v>0.1</v>
      </c>
      <c r="J3076" s="1">
        <v>0.7136225602457944</v>
      </c>
      <c r="K3076" s="1" t="s">
        <v>181</v>
      </c>
    </row>
    <row r="3077" spans="1:11" x14ac:dyDescent="0.25">
      <c r="A3077" s="1" t="s">
        <v>9880</v>
      </c>
      <c r="B3077" s="1" t="s">
        <v>9881</v>
      </c>
      <c r="D3077" s="1" t="s">
        <v>9882</v>
      </c>
      <c r="E3077" s="1" t="s">
        <v>209</v>
      </c>
      <c r="F3077" s="1" t="s">
        <v>5017</v>
      </c>
      <c r="G3077" s="1" t="s">
        <v>5018</v>
      </c>
      <c r="H3077" s="1">
        <v>0.1</v>
      </c>
      <c r="I3077" s="1">
        <v>0.1</v>
      </c>
      <c r="J3077" s="1">
        <v>0.66396069055266238</v>
      </c>
      <c r="K3077" s="1" t="s">
        <v>181</v>
      </c>
    </row>
    <row r="3078" spans="1:11" x14ac:dyDescent="0.25">
      <c r="A3078" s="1" t="s">
        <v>9883</v>
      </c>
      <c r="B3078" s="1" t="s">
        <v>9884</v>
      </c>
      <c r="D3078" s="1" t="s">
        <v>9885</v>
      </c>
      <c r="E3078" s="1" t="s">
        <v>209</v>
      </c>
      <c r="F3078" s="1" t="s">
        <v>5017</v>
      </c>
      <c r="G3078" s="1" t="s">
        <v>5018</v>
      </c>
      <c r="H3078" s="1">
        <v>0.1</v>
      </c>
      <c r="I3078" s="1">
        <v>0.1</v>
      </c>
      <c r="J3078" s="1">
        <v>0.84860212316384276</v>
      </c>
      <c r="K3078" s="1" t="s">
        <v>181</v>
      </c>
    </row>
    <row r="3079" spans="1:11" x14ac:dyDescent="0.25">
      <c r="A3079" s="1" t="s">
        <v>9886</v>
      </c>
      <c r="B3079" s="1" t="s">
        <v>9887</v>
      </c>
      <c r="D3079" s="1" t="s">
        <v>9888</v>
      </c>
      <c r="E3079" s="1" t="s">
        <v>209</v>
      </c>
      <c r="F3079" s="1" t="s">
        <v>5017</v>
      </c>
      <c r="G3079" s="1" t="s">
        <v>5018</v>
      </c>
      <c r="H3079" s="1">
        <v>0.1</v>
      </c>
      <c r="I3079" s="1">
        <v>0.1</v>
      </c>
      <c r="J3079" s="1">
        <v>0.66043219692453714</v>
      </c>
      <c r="K3079" s="1" t="s">
        <v>181</v>
      </c>
    </row>
    <row r="3080" spans="1:11" x14ac:dyDescent="0.25">
      <c r="A3080" s="1" t="s">
        <v>9889</v>
      </c>
      <c r="B3080" s="1" t="s">
        <v>9890</v>
      </c>
      <c r="D3080" s="1" t="s">
        <v>9891</v>
      </c>
      <c r="E3080" s="1" t="s">
        <v>209</v>
      </c>
      <c r="F3080" s="1" t="s">
        <v>5017</v>
      </c>
      <c r="G3080" s="1" t="s">
        <v>5018</v>
      </c>
      <c r="H3080" s="1">
        <v>0.1</v>
      </c>
      <c r="I3080" s="1">
        <v>0.1</v>
      </c>
      <c r="J3080" s="1">
        <v>0.60757272908158577</v>
      </c>
      <c r="K3080" s="1" t="s">
        <v>181</v>
      </c>
    </row>
    <row r="3081" spans="1:11" x14ac:dyDescent="0.25">
      <c r="A3081" s="1" t="s">
        <v>9892</v>
      </c>
      <c r="B3081" s="1" t="s">
        <v>9893</v>
      </c>
      <c r="D3081" s="1" t="s">
        <v>9894</v>
      </c>
      <c r="E3081" s="1" t="s">
        <v>209</v>
      </c>
      <c r="F3081" s="1" t="s">
        <v>5017</v>
      </c>
      <c r="G3081" s="1" t="s">
        <v>5018</v>
      </c>
      <c r="H3081" s="1">
        <v>0.1</v>
      </c>
      <c r="I3081" s="1">
        <v>0.1</v>
      </c>
      <c r="J3081" s="1">
        <v>0.79794871010508606</v>
      </c>
      <c r="K3081" s="1" t="s">
        <v>181</v>
      </c>
    </row>
    <row r="3082" spans="1:11" x14ac:dyDescent="0.25">
      <c r="A3082" s="1" t="s">
        <v>9895</v>
      </c>
      <c r="B3082" s="1" t="s">
        <v>9896</v>
      </c>
      <c r="D3082" s="1" t="s">
        <v>9897</v>
      </c>
      <c r="E3082" s="1" t="s">
        <v>209</v>
      </c>
      <c r="F3082" s="1" t="s">
        <v>5017</v>
      </c>
      <c r="G3082" s="1" t="s">
        <v>5018</v>
      </c>
      <c r="H3082" s="1">
        <v>0.1</v>
      </c>
      <c r="I3082" s="1">
        <v>0.1</v>
      </c>
      <c r="J3082" s="1">
        <v>0.77402075327310105</v>
      </c>
      <c r="K3082" s="1" t="s">
        <v>181</v>
      </c>
    </row>
    <row r="3083" spans="1:11" x14ac:dyDescent="0.25">
      <c r="A3083" s="1" t="s">
        <v>9898</v>
      </c>
      <c r="B3083" s="1" t="s">
        <v>9899</v>
      </c>
      <c r="D3083" s="1" t="s">
        <v>9900</v>
      </c>
      <c r="E3083" s="1" t="s">
        <v>209</v>
      </c>
      <c r="F3083" s="1" t="s">
        <v>5017</v>
      </c>
      <c r="G3083" s="1" t="s">
        <v>5018</v>
      </c>
      <c r="H3083" s="1">
        <v>0.1</v>
      </c>
      <c r="I3083" s="1">
        <v>0.1</v>
      </c>
      <c r="J3083" s="1">
        <v>0.65761243563780369</v>
      </c>
      <c r="K3083" s="1" t="s">
        <v>181</v>
      </c>
    </row>
    <row r="3084" spans="1:11" x14ac:dyDescent="0.25">
      <c r="A3084" s="1" t="s">
        <v>9901</v>
      </c>
      <c r="B3084" s="1" t="s">
        <v>9902</v>
      </c>
      <c r="D3084" s="1" t="s">
        <v>9903</v>
      </c>
      <c r="E3084" s="1" t="s">
        <v>209</v>
      </c>
      <c r="F3084" s="1" t="s">
        <v>5017</v>
      </c>
      <c r="G3084" s="1" t="s">
        <v>5018</v>
      </c>
      <c r="H3084" s="1">
        <v>0.1</v>
      </c>
      <c r="I3084" s="1">
        <v>0.1</v>
      </c>
      <c r="J3084" s="1">
        <v>0.65253758316789012</v>
      </c>
      <c r="K3084" s="1" t="s">
        <v>181</v>
      </c>
    </row>
    <row r="3085" spans="1:11" x14ac:dyDescent="0.25">
      <c r="A3085" s="1" t="s">
        <v>9904</v>
      </c>
      <c r="B3085" s="1" t="s">
        <v>9905</v>
      </c>
      <c r="D3085" s="1" t="s">
        <v>9906</v>
      </c>
      <c r="E3085" s="1" t="s">
        <v>209</v>
      </c>
      <c r="F3085" s="1" t="s">
        <v>5017</v>
      </c>
      <c r="G3085" s="1" t="s">
        <v>5018</v>
      </c>
      <c r="H3085" s="1">
        <v>0.1</v>
      </c>
      <c r="I3085" s="1">
        <v>0.1</v>
      </c>
      <c r="J3085" s="1">
        <v>0.71326468213836747</v>
      </c>
      <c r="K3085" s="1" t="s">
        <v>181</v>
      </c>
    </row>
    <row r="3086" spans="1:11" x14ac:dyDescent="0.25">
      <c r="A3086" s="1" t="s">
        <v>9907</v>
      </c>
      <c r="B3086" s="1" t="s">
        <v>9908</v>
      </c>
      <c r="D3086" s="1" t="s">
        <v>9909</v>
      </c>
      <c r="E3086" s="1" t="s">
        <v>209</v>
      </c>
      <c r="F3086" s="1" t="s">
        <v>5017</v>
      </c>
      <c r="G3086" s="1" t="s">
        <v>5018</v>
      </c>
      <c r="H3086" s="1">
        <v>0.1</v>
      </c>
      <c r="I3086" s="1">
        <v>0.1</v>
      </c>
      <c r="J3086" s="1">
        <v>0.82146239013184241</v>
      </c>
      <c r="K3086" s="1" t="s">
        <v>181</v>
      </c>
    </row>
    <row r="3087" spans="1:11" x14ac:dyDescent="0.25">
      <c r="A3087" s="1" t="s">
        <v>9910</v>
      </c>
      <c r="B3087" s="1" t="s">
        <v>9911</v>
      </c>
      <c r="D3087" s="1" t="s">
        <v>9912</v>
      </c>
      <c r="E3087" s="1" t="s">
        <v>209</v>
      </c>
      <c r="F3087" s="1" t="s">
        <v>5017</v>
      </c>
      <c r="G3087" s="1" t="s">
        <v>5018</v>
      </c>
      <c r="H3087" s="1">
        <v>0.1</v>
      </c>
      <c r="I3087" s="1">
        <v>0.1</v>
      </c>
      <c r="J3087" s="1">
        <v>0.76687642681644608</v>
      </c>
      <c r="K3087" s="1" t="s">
        <v>181</v>
      </c>
    </row>
    <row r="3088" spans="1:11" x14ac:dyDescent="0.25">
      <c r="A3088" s="1" t="s">
        <v>9913</v>
      </c>
      <c r="B3088" s="1" t="s">
        <v>9914</v>
      </c>
      <c r="D3088" s="1" t="s">
        <v>9915</v>
      </c>
      <c r="E3088" s="1" t="s">
        <v>209</v>
      </c>
      <c r="F3088" s="1" t="s">
        <v>5017</v>
      </c>
      <c r="G3088" s="1" t="s">
        <v>5018</v>
      </c>
      <c r="H3088" s="1">
        <v>0.1</v>
      </c>
      <c r="I3088" s="1">
        <v>0.1</v>
      </c>
      <c r="J3088" s="1">
        <v>0.83349850744986775</v>
      </c>
      <c r="K3088" s="1" t="s">
        <v>181</v>
      </c>
    </row>
    <row r="3089" spans="1:11" x14ac:dyDescent="0.25">
      <c r="A3089" s="1" t="s">
        <v>9916</v>
      </c>
      <c r="B3089" s="1" t="s">
        <v>9917</v>
      </c>
      <c r="D3089" s="1" t="s">
        <v>9918</v>
      </c>
      <c r="E3089" s="1" t="s">
        <v>209</v>
      </c>
      <c r="F3089" s="1" t="s">
        <v>5017</v>
      </c>
      <c r="G3089" s="1" t="s">
        <v>5018</v>
      </c>
      <c r="H3089" s="1">
        <v>0.1</v>
      </c>
      <c r="I3089" s="1">
        <v>0.1</v>
      </c>
      <c r="J3089" s="1">
        <v>0.91872204898083509</v>
      </c>
      <c r="K3089" s="1" t="s">
        <v>181</v>
      </c>
    </row>
    <row r="3090" spans="1:11" x14ac:dyDescent="0.25">
      <c r="A3090" s="1" t="s">
        <v>9919</v>
      </c>
      <c r="B3090" s="1" t="s">
        <v>9920</v>
      </c>
      <c r="D3090" s="1" t="s">
        <v>9921</v>
      </c>
      <c r="E3090" s="1" t="s">
        <v>209</v>
      </c>
      <c r="F3090" s="1" t="s">
        <v>5017</v>
      </c>
      <c r="G3090" s="1" t="s">
        <v>5018</v>
      </c>
      <c r="H3090" s="1">
        <v>0.1</v>
      </c>
      <c r="I3090" s="1">
        <v>0.1</v>
      </c>
      <c r="J3090" s="1">
        <v>0.56393942892397342</v>
      </c>
      <c r="K3090" s="1" t="s">
        <v>181</v>
      </c>
    </row>
    <row r="3091" spans="1:11" x14ac:dyDescent="0.25">
      <c r="A3091" s="1" t="s">
        <v>9922</v>
      </c>
      <c r="B3091" s="1" t="s">
        <v>9923</v>
      </c>
      <c r="D3091" s="1" t="s">
        <v>9924</v>
      </c>
      <c r="E3091" s="1" t="s">
        <v>209</v>
      </c>
      <c r="F3091" s="1" t="s">
        <v>5017</v>
      </c>
      <c r="G3091" s="1" t="s">
        <v>5018</v>
      </c>
      <c r="H3091" s="1">
        <v>0.1</v>
      </c>
      <c r="I3091" s="1">
        <v>0.1</v>
      </c>
      <c r="J3091" s="1">
        <v>0.7464944466310055</v>
      </c>
      <c r="K3091" s="1" t="s">
        <v>181</v>
      </c>
    </row>
    <row r="3092" spans="1:11" x14ac:dyDescent="0.25">
      <c r="A3092" s="1" t="s">
        <v>9925</v>
      </c>
      <c r="B3092" s="1" t="s">
        <v>9926</v>
      </c>
      <c r="D3092" s="1" t="s">
        <v>9927</v>
      </c>
      <c r="E3092" s="1" t="s">
        <v>209</v>
      </c>
      <c r="F3092" s="1" t="s">
        <v>5017</v>
      </c>
      <c r="G3092" s="1" t="s">
        <v>5018</v>
      </c>
      <c r="H3092" s="1">
        <v>0.1</v>
      </c>
      <c r="I3092" s="1">
        <v>0.1</v>
      </c>
      <c r="J3092" s="1">
        <v>0.79299847958310377</v>
      </c>
      <c r="K3092" s="1" t="s">
        <v>181</v>
      </c>
    </row>
    <row r="3093" spans="1:11" x14ac:dyDescent="0.25">
      <c r="A3093" s="1" t="s">
        <v>9928</v>
      </c>
      <c r="B3093" s="1" t="s">
        <v>9929</v>
      </c>
      <c r="D3093" s="1" t="s">
        <v>9930</v>
      </c>
      <c r="E3093" s="1" t="s">
        <v>209</v>
      </c>
      <c r="F3093" s="1" t="s">
        <v>5017</v>
      </c>
      <c r="G3093" s="1" t="s">
        <v>5018</v>
      </c>
      <c r="H3093" s="1">
        <v>0.1</v>
      </c>
      <c r="I3093" s="1">
        <v>0.1</v>
      </c>
      <c r="J3093" s="1">
        <v>0.62081299739050444</v>
      </c>
      <c r="K3093" s="1" t="s">
        <v>181</v>
      </c>
    </row>
    <row r="3094" spans="1:11" x14ac:dyDescent="0.25">
      <c r="A3094" s="1" t="s">
        <v>9931</v>
      </c>
      <c r="B3094" s="1" t="s">
        <v>9932</v>
      </c>
      <c r="D3094" s="1" t="s">
        <v>9933</v>
      </c>
      <c r="E3094" s="1" t="s">
        <v>209</v>
      </c>
      <c r="F3094" s="1" t="s">
        <v>5017</v>
      </c>
      <c r="G3094" s="1" t="s">
        <v>5018</v>
      </c>
      <c r="H3094" s="1">
        <v>0.1</v>
      </c>
      <c r="I3094" s="1">
        <v>0.1</v>
      </c>
      <c r="J3094" s="1">
        <v>0.59245809556305296</v>
      </c>
      <c r="K3094" s="1" t="s">
        <v>181</v>
      </c>
    </row>
    <row r="3095" spans="1:11" x14ac:dyDescent="0.25">
      <c r="A3095" s="1" t="s">
        <v>9934</v>
      </c>
      <c r="B3095" s="1" t="s">
        <v>9935</v>
      </c>
      <c r="D3095" s="1" t="s">
        <v>9936</v>
      </c>
      <c r="E3095" s="1" t="s">
        <v>209</v>
      </c>
      <c r="F3095" s="1" t="s">
        <v>5017</v>
      </c>
      <c r="G3095" s="1" t="s">
        <v>5018</v>
      </c>
      <c r="H3095" s="1">
        <v>0.1</v>
      </c>
      <c r="I3095" s="1">
        <v>0.1</v>
      </c>
      <c r="J3095" s="1">
        <v>0.80109411949840303</v>
      </c>
      <c r="K3095" s="1" t="s">
        <v>181</v>
      </c>
    </row>
    <row r="3096" spans="1:11" x14ac:dyDescent="0.25">
      <c r="A3096" s="1" t="s">
        <v>9937</v>
      </c>
      <c r="B3096" s="1" t="s">
        <v>9938</v>
      </c>
      <c r="D3096" s="1" t="s">
        <v>9939</v>
      </c>
      <c r="E3096" s="1" t="s">
        <v>209</v>
      </c>
      <c r="F3096" s="1" t="s">
        <v>5017</v>
      </c>
      <c r="G3096" s="1" t="s">
        <v>5018</v>
      </c>
      <c r="H3096" s="1">
        <v>0.1</v>
      </c>
      <c r="I3096" s="1">
        <v>0.1</v>
      </c>
      <c r="J3096" s="1">
        <v>0.8994539901481744</v>
      </c>
      <c r="K3096" s="1" t="s">
        <v>181</v>
      </c>
    </row>
    <row r="3097" spans="1:11" x14ac:dyDescent="0.25">
      <c r="A3097" s="1" t="s">
        <v>109</v>
      </c>
      <c r="B3097" s="1" t="s">
        <v>9940</v>
      </c>
      <c r="D3097" s="1" t="s">
        <v>9941</v>
      </c>
      <c r="E3097" s="1" t="s">
        <v>209</v>
      </c>
      <c r="F3097" s="1" t="s">
        <v>5017</v>
      </c>
      <c r="G3097" s="1" t="s">
        <v>5018</v>
      </c>
      <c r="H3097" s="1">
        <v>0.1</v>
      </c>
      <c r="I3097" s="1">
        <v>0.1</v>
      </c>
      <c r="J3097" s="1">
        <v>0.82829346686003269</v>
      </c>
      <c r="K3097" s="1" t="s">
        <v>181</v>
      </c>
    </row>
    <row r="3098" spans="1:11" x14ac:dyDescent="0.25">
      <c r="A3098" s="1" t="s">
        <v>9942</v>
      </c>
      <c r="B3098" s="1" t="s">
        <v>9943</v>
      </c>
      <c r="D3098" s="1" t="s">
        <v>9944</v>
      </c>
      <c r="E3098" s="1" t="s">
        <v>209</v>
      </c>
      <c r="F3098" s="1" t="s">
        <v>5017</v>
      </c>
      <c r="G3098" s="1" t="s">
        <v>5018</v>
      </c>
      <c r="H3098" s="1">
        <v>0.1</v>
      </c>
      <c r="I3098" s="1">
        <v>0.1</v>
      </c>
      <c r="J3098" s="1">
        <v>0.70301655917443773</v>
      </c>
      <c r="K3098" s="1" t="s">
        <v>181</v>
      </c>
    </row>
    <row r="3099" spans="1:11" x14ac:dyDescent="0.25">
      <c r="A3099" s="1" t="s">
        <v>9945</v>
      </c>
      <c r="B3099" s="1" t="s">
        <v>9946</v>
      </c>
      <c r="D3099" s="1" t="s">
        <v>9947</v>
      </c>
      <c r="E3099" s="1" t="s">
        <v>209</v>
      </c>
      <c r="F3099" s="1" t="s">
        <v>5017</v>
      </c>
      <c r="G3099" s="1" t="s">
        <v>5018</v>
      </c>
      <c r="H3099" s="1">
        <v>0.1</v>
      </c>
      <c r="I3099" s="1">
        <v>0.1</v>
      </c>
      <c r="J3099" s="1">
        <v>0.53644813046168116</v>
      </c>
      <c r="K3099" s="1" t="s">
        <v>181</v>
      </c>
    </row>
    <row r="3100" spans="1:11" x14ac:dyDescent="0.25">
      <c r="A3100" s="1" t="s">
        <v>9948</v>
      </c>
      <c r="B3100" s="1" t="s">
        <v>9949</v>
      </c>
      <c r="D3100" s="1" t="s">
        <v>9950</v>
      </c>
      <c r="E3100" s="1" t="s">
        <v>209</v>
      </c>
      <c r="F3100" s="1" t="s">
        <v>5017</v>
      </c>
      <c r="G3100" s="1" t="s">
        <v>5018</v>
      </c>
      <c r="H3100" s="1">
        <v>0.1</v>
      </c>
      <c r="I3100" s="1">
        <v>0.1</v>
      </c>
      <c r="J3100" s="1">
        <v>0.74180505006228614</v>
      </c>
      <c r="K3100" s="1" t="s">
        <v>181</v>
      </c>
    </row>
    <row r="3101" spans="1:11" x14ac:dyDescent="0.25">
      <c r="A3101" s="1" t="s">
        <v>9951</v>
      </c>
      <c r="B3101" s="1" t="s">
        <v>9952</v>
      </c>
      <c r="D3101" s="1" t="s">
        <v>9953</v>
      </c>
      <c r="E3101" s="1" t="s">
        <v>209</v>
      </c>
      <c r="F3101" s="1" t="s">
        <v>5017</v>
      </c>
      <c r="G3101" s="1" t="s">
        <v>5018</v>
      </c>
      <c r="H3101" s="1">
        <v>0.1</v>
      </c>
      <c r="I3101" s="1">
        <v>0.1</v>
      </c>
      <c r="J3101" s="1">
        <v>0.83230140428995569</v>
      </c>
      <c r="K3101" s="1" t="s">
        <v>181</v>
      </c>
    </row>
    <row r="3102" spans="1:11" x14ac:dyDescent="0.25">
      <c r="A3102" s="1" t="s">
        <v>9954</v>
      </c>
      <c r="B3102" s="1" t="s">
        <v>9955</v>
      </c>
      <c r="D3102" s="1" t="s">
        <v>9956</v>
      </c>
      <c r="E3102" s="1" t="s">
        <v>209</v>
      </c>
      <c r="F3102" s="1" t="s">
        <v>5017</v>
      </c>
      <c r="G3102" s="1" t="s">
        <v>5018</v>
      </c>
      <c r="H3102" s="1">
        <v>0.1</v>
      </c>
      <c r="I3102" s="1">
        <v>0.1</v>
      </c>
      <c r="J3102" s="1">
        <v>0.80084702620169668</v>
      </c>
      <c r="K3102" s="1" t="s">
        <v>181</v>
      </c>
    </row>
    <row r="3103" spans="1:11" x14ac:dyDescent="0.25">
      <c r="A3103" s="1" t="s">
        <v>9957</v>
      </c>
      <c r="B3103" s="1" t="s">
        <v>9958</v>
      </c>
      <c r="D3103" s="1" t="s">
        <v>9959</v>
      </c>
      <c r="E3103" s="1" t="s">
        <v>209</v>
      </c>
      <c r="F3103" s="1" t="s">
        <v>5017</v>
      </c>
      <c r="G3103" s="1" t="s">
        <v>5018</v>
      </c>
      <c r="H3103" s="1">
        <v>0.1</v>
      </c>
      <c r="I3103" s="1">
        <v>0.1</v>
      </c>
      <c r="J3103" s="1">
        <v>0.64861288303813647</v>
      </c>
      <c r="K3103" s="1" t="s">
        <v>181</v>
      </c>
    </row>
    <row r="3104" spans="1:11" x14ac:dyDescent="0.25">
      <c r="A3104" s="1" t="s">
        <v>9960</v>
      </c>
      <c r="B3104" s="1" t="s">
        <v>9961</v>
      </c>
      <c r="D3104" s="1" t="s">
        <v>9962</v>
      </c>
      <c r="E3104" s="1" t="s">
        <v>209</v>
      </c>
      <c r="F3104" s="1" t="s">
        <v>5017</v>
      </c>
      <c r="G3104" s="1" t="s">
        <v>5018</v>
      </c>
      <c r="H3104" s="1">
        <v>0.1</v>
      </c>
      <c r="I3104" s="1">
        <v>0.1</v>
      </c>
      <c r="J3104" s="1">
        <v>0.63113637267555667</v>
      </c>
      <c r="K3104" s="1" t="s">
        <v>181</v>
      </c>
    </row>
    <row r="3105" spans="1:11" x14ac:dyDescent="0.25">
      <c r="A3105" s="1" t="s">
        <v>9963</v>
      </c>
      <c r="B3105" s="1" t="s">
        <v>9964</v>
      </c>
      <c r="D3105" s="1" t="s">
        <v>9965</v>
      </c>
      <c r="E3105" s="1" t="s">
        <v>209</v>
      </c>
      <c r="F3105" s="1" t="s">
        <v>5017</v>
      </c>
      <c r="G3105" s="1" t="s">
        <v>5018</v>
      </c>
      <c r="H3105" s="1">
        <v>0.1</v>
      </c>
      <c r="I3105" s="1">
        <v>0.1</v>
      </c>
      <c r="J3105" s="1">
        <v>0.81870440134919553</v>
      </c>
      <c r="K3105" s="1" t="s">
        <v>181</v>
      </c>
    </row>
    <row r="3106" spans="1:11" x14ac:dyDescent="0.25">
      <c r="A3106" s="1" t="s">
        <v>9966</v>
      </c>
      <c r="B3106" s="1" t="s">
        <v>9967</v>
      </c>
      <c r="D3106" s="1" t="s">
        <v>9968</v>
      </c>
      <c r="E3106" s="1" t="s">
        <v>209</v>
      </c>
      <c r="F3106" s="1" t="s">
        <v>5017</v>
      </c>
      <c r="G3106" s="1" t="s">
        <v>5018</v>
      </c>
      <c r="H3106" s="1">
        <v>0.1</v>
      </c>
      <c r="I3106" s="1">
        <v>0.1</v>
      </c>
      <c r="J3106" s="1">
        <v>0.85882624534465002</v>
      </c>
      <c r="K3106" s="1" t="s">
        <v>181</v>
      </c>
    </row>
    <row r="3107" spans="1:11" x14ac:dyDescent="0.25">
      <c r="A3107" s="1" t="s">
        <v>58</v>
      </c>
      <c r="B3107" s="1" t="s">
        <v>9969</v>
      </c>
      <c r="D3107" s="1" t="s">
        <v>9970</v>
      </c>
      <c r="E3107" s="1" t="s">
        <v>209</v>
      </c>
      <c r="F3107" s="1" t="s">
        <v>5017</v>
      </c>
      <c r="G3107" s="1" t="s">
        <v>5018</v>
      </c>
      <c r="H3107" s="1">
        <v>0.1</v>
      </c>
      <c r="I3107" s="1">
        <v>0.1</v>
      </c>
      <c r="J3107" s="1">
        <v>0.99655038348063152</v>
      </c>
      <c r="K3107" s="1" t="s">
        <v>181</v>
      </c>
    </row>
    <row r="3108" spans="1:11" x14ac:dyDescent="0.25">
      <c r="A3108" s="1" t="s">
        <v>9971</v>
      </c>
      <c r="B3108" s="1" t="s">
        <v>9972</v>
      </c>
      <c r="D3108" s="1" t="s">
        <v>9973</v>
      </c>
      <c r="E3108" s="1" t="s">
        <v>209</v>
      </c>
      <c r="F3108" s="1" t="s">
        <v>5017</v>
      </c>
      <c r="G3108" s="1" t="s">
        <v>5018</v>
      </c>
      <c r="H3108" s="1">
        <v>0.1</v>
      </c>
      <c r="I3108" s="1">
        <v>0.1</v>
      </c>
      <c r="J3108" s="1">
        <v>0.87619890068208572</v>
      </c>
      <c r="K3108" s="1" t="s">
        <v>181</v>
      </c>
    </row>
    <row r="3109" spans="1:11" x14ac:dyDescent="0.25">
      <c r="A3109" s="1" t="s">
        <v>9974</v>
      </c>
      <c r="B3109" s="1" t="s">
        <v>9975</v>
      </c>
      <c r="D3109" s="1" t="s">
        <v>9976</v>
      </c>
      <c r="E3109" s="1" t="s">
        <v>209</v>
      </c>
      <c r="F3109" s="1" t="s">
        <v>5017</v>
      </c>
      <c r="G3109" s="1" t="s">
        <v>5018</v>
      </c>
      <c r="H3109" s="1">
        <v>0.1</v>
      </c>
      <c r="I3109" s="1">
        <v>0.1</v>
      </c>
      <c r="J3109" s="1">
        <v>0.73679717880869211</v>
      </c>
      <c r="K3109" s="1" t="s">
        <v>181</v>
      </c>
    </row>
    <row r="3110" spans="1:11" x14ac:dyDescent="0.25">
      <c r="A3110" s="1" t="s">
        <v>9977</v>
      </c>
      <c r="B3110" s="1" t="s">
        <v>9978</v>
      </c>
      <c r="D3110" s="1" t="s">
        <v>9979</v>
      </c>
      <c r="E3110" s="1" t="s">
        <v>209</v>
      </c>
      <c r="F3110" s="1" t="s">
        <v>5017</v>
      </c>
      <c r="G3110" s="1" t="s">
        <v>5018</v>
      </c>
      <c r="H3110" s="1">
        <v>0.1</v>
      </c>
      <c r="I3110" s="1">
        <v>0.1</v>
      </c>
      <c r="J3110" s="1">
        <v>0.91905415023275883</v>
      </c>
      <c r="K3110" s="1" t="s">
        <v>181</v>
      </c>
    </row>
    <row r="3111" spans="1:11" x14ac:dyDescent="0.25">
      <c r="A3111" s="1" t="s">
        <v>9980</v>
      </c>
      <c r="B3111" s="1" t="s">
        <v>9981</v>
      </c>
      <c r="D3111" s="1" t="s">
        <v>9982</v>
      </c>
      <c r="E3111" s="1" t="s">
        <v>209</v>
      </c>
      <c r="F3111" s="1" t="s">
        <v>5017</v>
      </c>
      <c r="G3111" s="1" t="s">
        <v>5018</v>
      </c>
      <c r="H3111" s="1">
        <v>0.1</v>
      </c>
      <c r="I3111" s="1">
        <v>0.1</v>
      </c>
      <c r="J3111" s="1">
        <v>0.97034509286024151</v>
      </c>
      <c r="K3111" s="1" t="s">
        <v>181</v>
      </c>
    </row>
    <row r="3112" spans="1:11" x14ac:dyDescent="0.25">
      <c r="A3112" s="1" t="s">
        <v>9983</v>
      </c>
      <c r="B3112" s="1" t="s">
        <v>9984</v>
      </c>
      <c r="D3112" s="1" t="s">
        <v>9985</v>
      </c>
      <c r="E3112" s="1" t="s">
        <v>209</v>
      </c>
      <c r="F3112" s="1" t="s">
        <v>5017</v>
      </c>
      <c r="G3112" s="1" t="s">
        <v>5018</v>
      </c>
      <c r="H3112" s="1">
        <v>0.1</v>
      </c>
      <c r="I3112" s="1">
        <v>0.1</v>
      </c>
      <c r="J3112" s="1">
        <v>0.73848116357585603</v>
      </c>
      <c r="K3112" s="1" t="s">
        <v>181</v>
      </c>
    </row>
    <row r="3113" spans="1:11" x14ac:dyDescent="0.25">
      <c r="A3113" s="1" t="s">
        <v>9986</v>
      </c>
      <c r="B3113" s="1" t="s">
        <v>9987</v>
      </c>
      <c r="D3113" s="1" t="s">
        <v>9988</v>
      </c>
      <c r="E3113" s="1" t="s">
        <v>209</v>
      </c>
      <c r="F3113" s="1" t="s">
        <v>5017</v>
      </c>
      <c r="G3113" s="1" t="s">
        <v>5018</v>
      </c>
      <c r="H3113" s="1">
        <v>0.1</v>
      </c>
      <c r="I3113" s="1">
        <v>0.1</v>
      </c>
      <c r="J3113" s="1">
        <v>0.7910336897202167</v>
      </c>
      <c r="K3113" s="1" t="s">
        <v>181</v>
      </c>
    </row>
    <row r="3114" spans="1:11" x14ac:dyDescent="0.25">
      <c r="A3114" s="1" t="s">
        <v>9989</v>
      </c>
      <c r="B3114" s="1" t="s">
        <v>9990</v>
      </c>
      <c r="D3114" s="1" t="s">
        <v>9991</v>
      </c>
      <c r="E3114" s="1" t="s">
        <v>209</v>
      </c>
      <c r="F3114" s="1" t="s">
        <v>5017</v>
      </c>
      <c r="G3114" s="1" t="s">
        <v>5018</v>
      </c>
      <c r="H3114" s="1">
        <v>0.1</v>
      </c>
      <c r="I3114" s="1">
        <v>0.1</v>
      </c>
      <c r="J3114" s="1">
        <v>0.57319343389300292</v>
      </c>
      <c r="K3114" s="1" t="s">
        <v>181</v>
      </c>
    </row>
    <row r="3115" spans="1:11" x14ac:dyDescent="0.25">
      <c r="A3115" s="1" t="s">
        <v>9992</v>
      </c>
      <c r="B3115" s="1" t="s">
        <v>9993</v>
      </c>
      <c r="D3115" s="1" t="s">
        <v>9994</v>
      </c>
      <c r="E3115" s="1" t="s">
        <v>209</v>
      </c>
      <c r="F3115" s="1" t="s">
        <v>5017</v>
      </c>
      <c r="G3115" s="1" t="s">
        <v>5018</v>
      </c>
      <c r="H3115" s="1">
        <v>0.1</v>
      </c>
      <c r="I3115" s="1">
        <v>0.1</v>
      </c>
      <c r="J3115" s="1">
        <v>0.78013175477130658</v>
      </c>
      <c r="K3115" s="1" t="s">
        <v>181</v>
      </c>
    </row>
    <row r="3116" spans="1:11" x14ac:dyDescent="0.25">
      <c r="A3116" s="1" t="s">
        <v>9995</v>
      </c>
      <c r="B3116" s="1" t="s">
        <v>9996</v>
      </c>
      <c r="D3116" s="1" t="s">
        <v>9997</v>
      </c>
      <c r="E3116" s="1" t="s">
        <v>209</v>
      </c>
      <c r="F3116" s="1" t="s">
        <v>5017</v>
      </c>
      <c r="G3116" s="1" t="s">
        <v>5018</v>
      </c>
      <c r="H3116" s="1">
        <v>0.1</v>
      </c>
      <c r="I3116" s="1">
        <v>0.1</v>
      </c>
      <c r="J3116" s="1">
        <v>0.89118586372628594</v>
      </c>
      <c r="K3116" s="1" t="s">
        <v>181</v>
      </c>
    </row>
    <row r="3117" spans="1:11" x14ac:dyDescent="0.25">
      <c r="A3117" s="1" t="s">
        <v>57</v>
      </c>
      <c r="B3117" s="1" t="s">
        <v>9998</v>
      </c>
      <c r="D3117" s="1" t="s">
        <v>9999</v>
      </c>
      <c r="E3117" s="1" t="s">
        <v>209</v>
      </c>
      <c r="F3117" s="1" t="s">
        <v>5017</v>
      </c>
      <c r="G3117" s="1" t="s">
        <v>5018</v>
      </c>
      <c r="H3117" s="1">
        <v>0.1</v>
      </c>
      <c r="I3117" s="1">
        <v>0.1</v>
      </c>
      <c r="J3117" s="1">
        <v>0.66774889774678181</v>
      </c>
      <c r="K3117" s="1" t="s">
        <v>181</v>
      </c>
    </row>
    <row r="3118" spans="1:11" x14ac:dyDescent="0.25">
      <c r="A3118" s="1" t="s">
        <v>10000</v>
      </c>
      <c r="B3118" s="1" t="s">
        <v>10001</v>
      </c>
      <c r="D3118" s="1" t="s">
        <v>10002</v>
      </c>
      <c r="E3118" s="1" t="s">
        <v>209</v>
      </c>
      <c r="F3118" s="1" t="s">
        <v>5017</v>
      </c>
      <c r="G3118" s="1" t="s">
        <v>5018</v>
      </c>
      <c r="H3118" s="1">
        <v>0.1</v>
      </c>
      <c r="I3118" s="1">
        <v>0.1</v>
      </c>
      <c r="J3118" s="1">
        <v>0.37633745992456241</v>
      </c>
      <c r="K3118" s="1" t="s">
        <v>181</v>
      </c>
    </row>
    <row r="3119" spans="1:11" x14ac:dyDescent="0.25">
      <c r="A3119" s="1" t="s">
        <v>10003</v>
      </c>
      <c r="B3119" s="1" t="s">
        <v>10004</v>
      </c>
      <c r="D3119" s="1" t="s">
        <v>10005</v>
      </c>
      <c r="E3119" s="1" t="s">
        <v>209</v>
      </c>
      <c r="F3119" s="1" t="s">
        <v>5017</v>
      </c>
      <c r="G3119" s="1" t="s">
        <v>5018</v>
      </c>
      <c r="H3119" s="1">
        <v>0.1</v>
      </c>
      <c r="I3119" s="1">
        <v>0.1</v>
      </c>
      <c r="J3119" s="1">
        <v>0.90126104368905025</v>
      </c>
      <c r="K3119" s="1" t="s">
        <v>181</v>
      </c>
    </row>
    <row r="3120" spans="1:11" x14ac:dyDescent="0.25">
      <c r="A3120" s="1" t="s">
        <v>10006</v>
      </c>
      <c r="B3120" s="1" t="s">
        <v>10007</v>
      </c>
      <c r="D3120" s="1" t="s">
        <v>10008</v>
      </c>
      <c r="E3120" s="1" t="s">
        <v>209</v>
      </c>
      <c r="F3120" s="1" t="s">
        <v>5017</v>
      </c>
      <c r="G3120" s="1" t="s">
        <v>5018</v>
      </c>
      <c r="H3120" s="1">
        <v>0.1</v>
      </c>
      <c r="I3120" s="1">
        <v>0.1</v>
      </c>
      <c r="J3120" s="1">
        <v>0.84040838908184445</v>
      </c>
      <c r="K3120" s="1" t="s">
        <v>181</v>
      </c>
    </row>
    <row r="3121" spans="1:11" x14ac:dyDescent="0.25">
      <c r="A3121" s="1" t="s">
        <v>10009</v>
      </c>
      <c r="B3121" s="1" t="s">
        <v>10010</v>
      </c>
      <c r="D3121" s="1" t="s">
        <v>10011</v>
      </c>
      <c r="E3121" s="1" t="s">
        <v>209</v>
      </c>
      <c r="F3121" s="1" t="s">
        <v>5017</v>
      </c>
      <c r="G3121" s="1" t="s">
        <v>5018</v>
      </c>
      <c r="H3121" s="1">
        <v>0.1</v>
      </c>
      <c r="I3121" s="1">
        <v>0.1</v>
      </c>
      <c r="J3121" s="1">
        <v>0.70200343461904358</v>
      </c>
      <c r="K3121" s="1" t="s">
        <v>181</v>
      </c>
    </row>
    <row r="3122" spans="1:11" x14ac:dyDescent="0.25">
      <c r="A3122" s="1" t="s">
        <v>10012</v>
      </c>
      <c r="B3122" s="1" t="s">
        <v>10013</v>
      </c>
      <c r="D3122" s="1" t="s">
        <v>10014</v>
      </c>
      <c r="E3122" s="1" t="s">
        <v>209</v>
      </c>
      <c r="F3122" s="1" t="s">
        <v>5017</v>
      </c>
      <c r="G3122" s="1" t="s">
        <v>5018</v>
      </c>
      <c r="H3122" s="1">
        <v>0.1</v>
      </c>
      <c r="I3122" s="1">
        <v>0.1</v>
      </c>
      <c r="J3122" s="1">
        <v>0.68577783081713151</v>
      </c>
      <c r="K3122" s="1" t="s">
        <v>181</v>
      </c>
    </row>
    <row r="3123" spans="1:11" x14ac:dyDescent="0.25">
      <c r="A3123" s="1" t="s">
        <v>10015</v>
      </c>
      <c r="B3123" s="1" t="s">
        <v>10016</v>
      </c>
      <c r="D3123" s="1" t="s">
        <v>10017</v>
      </c>
      <c r="E3123" s="1" t="s">
        <v>209</v>
      </c>
      <c r="F3123" s="1" t="s">
        <v>5017</v>
      </c>
      <c r="G3123" s="1" t="s">
        <v>5018</v>
      </c>
      <c r="H3123" s="1">
        <v>0.1</v>
      </c>
      <c r="I3123" s="1">
        <v>0.1</v>
      </c>
      <c r="J3123" s="1">
        <v>0.51783823355216552</v>
      </c>
      <c r="K3123" s="1" t="s">
        <v>181</v>
      </c>
    </row>
    <row r="3124" spans="1:11" x14ac:dyDescent="0.25">
      <c r="A3124" s="1" t="s">
        <v>10018</v>
      </c>
      <c r="B3124" s="1" t="s">
        <v>10019</v>
      </c>
      <c r="D3124" s="1" t="s">
        <v>10020</v>
      </c>
      <c r="E3124" s="1" t="s">
        <v>209</v>
      </c>
      <c r="F3124" s="1" t="s">
        <v>5017</v>
      </c>
      <c r="G3124" s="1" t="s">
        <v>5018</v>
      </c>
      <c r="H3124" s="1">
        <v>0.1</v>
      </c>
      <c r="I3124" s="1">
        <v>0.1</v>
      </c>
      <c r="J3124" s="1">
        <v>0.4830501785761841</v>
      </c>
      <c r="K3124" s="1" t="s">
        <v>181</v>
      </c>
    </row>
    <row r="3125" spans="1:11" x14ac:dyDescent="0.25">
      <c r="A3125" s="1" t="s">
        <v>10021</v>
      </c>
      <c r="B3125" s="1" t="s">
        <v>10022</v>
      </c>
      <c r="D3125" s="1" t="s">
        <v>10023</v>
      </c>
      <c r="E3125" s="1" t="s">
        <v>209</v>
      </c>
      <c r="F3125" s="1" t="s">
        <v>5017</v>
      </c>
      <c r="G3125" s="1" t="s">
        <v>5018</v>
      </c>
      <c r="H3125" s="1">
        <v>0.1</v>
      </c>
      <c r="I3125" s="1">
        <v>0.1</v>
      </c>
      <c r="J3125" s="1">
        <v>0.73002071339503594</v>
      </c>
      <c r="K3125" s="1" t="s">
        <v>181</v>
      </c>
    </row>
    <row r="3126" spans="1:11" x14ac:dyDescent="0.25">
      <c r="A3126" s="1" t="s">
        <v>10024</v>
      </c>
      <c r="B3126" s="1" t="s">
        <v>10025</v>
      </c>
      <c r="D3126" s="1" t="s">
        <v>10026</v>
      </c>
      <c r="E3126" s="1" t="s">
        <v>209</v>
      </c>
      <c r="F3126" s="1" t="s">
        <v>5017</v>
      </c>
      <c r="G3126" s="1" t="s">
        <v>5018</v>
      </c>
      <c r="H3126" s="1">
        <v>0.1</v>
      </c>
      <c r="I3126" s="1">
        <v>0.1</v>
      </c>
      <c r="J3126" s="1">
        <v>0.83016797573274981</v>
      </c>
      <c r="K3126" s="1" t="s">
        <v>181</v>
      </c>
    </row>
    <row r="3127" spans="1:11" x14ac:dyDescent="0.25">
      <c r="A3127" s="1" t="s">
        <v>10027</v>
      </c>
      <c r="B3127" s="1" t="s">
        <v>10028</v>
      </c>
      <c r="D3127" s="1" t="s">
        <v>10029</v>
      </c>
      <c r="E3127" s="1" t="s">
        <v>209</v>
      </c>
      <c r="F3127" s="1" t="s">
        <v>5017</v>
      </c>
      <c r="G3127" s="1" t="s">
        <v>5018</v>
      </c>
      <c r="H3127" s="1">
        <v>0.1</v>
      </c>
      <c r="I3127" s="1">
        <v>0.1</v>
      </c>
      <c r="J3127" s="1">
        <v>0.75155594288021976</v>
      </c>
      <c r="K3127" s="1" t="s">
        <v>181</v>
      </c>
    </row>
    <row r="3128" spans="1:11" x14ac:dyDescent="0.25">
      <c r="A3128" s="1" t="s">
        <v>10030</v>
      </c>
      <c r="B3128" s="1" t="s">
        <v>10031</v>
      </c>
      <c r="D3128" s="1" t="s">
        <v>10032</v>
      </c>
      <c r="E3128" s="1" t="s">
        <v>209</v>
      </c>
      <c r="F3128" s="1" t="s">
        <v>5017</v>
      </c>
      <c r="G3128" s="1" t="s">
        <v>5018</v>
      </c>
      <c r="H3128" s="1">
        <v>0.1</v>
      </c>
      <c r="I3128" s="1">
        <v>0.1</v>
      </c>
      <c r="J3128" s="1">
        <v>0.66498087032942554</v>
      </c>
      <c r="K3128" s="1" t="s">
        <v>181</v>
      </c>
    </row>
    <row r="3129" spans="1:11" x14ac:dyDescent="0.25">
      <c r="A3129" s="1" t="s">
        <v>10033</v>
      </c>
      <c r="B3129" s="1" t="s">
        <v>10034</v>
      </c>
      <c r="D3129" s="1" t="s">
        <v>10035</v>
      </c>
      <c r="E3129" s="1" t="s">
        <v>209</v>
      </c>
      <c r="F3129" s="1" t="s">
        <v>5017</v>
      </c>
      <c r="G3129" s="1" t="s">
        <v>5018</v>
      </c>
      <c r="H3129" s="1">
        <v>0.1</v>
      </c>
      <c r="I3129" s="1">
        <v>0.1</v>
      </c>
      <c r="J3129" s="1">
        <v>0.68173555877679559</v>
      </c>
      <c r="K3129" s="1" t="s">
        <v>181</v>
      </c>
    </row>
    <row r="3130" spans="1:11" x14ac:dyDescent="0.25">
      <c r="A3130" s="1" t="s">
        <v>10036</v>
      </c>
      <c r="B3130" s="1" t="s">
        <v>10037</v>
      </c>
      <c r="D3130" s="1" t="s">
        <v>10038</v>
      </c>
      <c r="E3130" s="1" t="s">
        <v>209</v>
      </c>
      <c r="F3130" s="1" t="s">
        <v>5017</v>
      </c>
      <c r="G3130" s="1" t="s">
        <v>5018</v>
      </c>
      <c r="H3130" s="1">
        <v>0.1</v>
      </c>
      <c r="I3130" s="1">
        <v>0.1</v>
      </c>
      <c r="J3130" s="1">
        <v>0.71487152252079156</v>
      </c>
      <c r="K3130" s="1" t="s">
        <v>181</v>
      </c>
    </row>
    <row r="3131" spans="1:11" x14ac:dyDescent="0.25">
      <c r="A3131" s="1" t="s">
        <v>10039</v>
      </c>
      <c r="B3131" s="1" t="s">
        <v>10040</v>
      </c>
      <c r="D3131" s="1" t="s">
        <v>10041</v>
      </c>
      <c r="E3131" s="1" t="s">
        <v>209</v>
      </c>
      <c r="F3131" s="1" t="s">
        <v>5017</v>
      </c>
      <c r="G3131" s="1" t="s">
        <v>5018</v>
      </c>
      <c r="H3131" s="1">
        <v>0.1</v>
      </c>
      <c r="I3131" s="1">
        <v>0.1</v>
      </c>
      <c r="J3131" s="1">
        <v>0.89055639351575488</v>
      </c>
      <c r="K3131" s="1" t="s">
        <v>181</v>
      </c>
    </row>
    <row r="3132" spans="1:11" x14ac:dyDescent="0.25">
      <c r="A3132" s="1" t="s">
        <v>10042</v>
      </c>
      <c r="B3132" s="1" t="s">
        <v>10043</v>
      </c>
      <c r="D3132" s="1" t="s">
        <v>10044</v>
      </c>
      <c r="E3132" s="1" t="s">
        <v>209</v>
      </c>
      <c r="F3132" s="1" t="s">
        <v>5017</v>
      </c>
      <c r="G3132" s="1" t="s">
        <v>5018</v>
      </c>
      <c r="H3132" s="1">
        <v>0.1</v>
      </c>
      <c r="I3132" s="1">
        <v>0.1</v>
      </c>
      <c r="J3132" s="1">
        <v>0.63011225387885816</v>
      </c>
      <c r="K3132" s="1" t="s">
        <v>181</v>
      </c>
    </row>
    <row r="3133" spans="1:11" x14ac:dyDescent="0.25">
      <c r="A3133" s="1" t="s">
        <v>10045</v>
      </c>
      <c r="B3133" s="1" t="s">
        <v>10046</v>
      </c>
      <c r="D3133" s="1" t="s">
        <v>10047</v>
      </c>
      <c r="E3133" s="1" t="s">
        <v>209</v>
      </c>
      <c r="F3133" s="1" t="s">
        <v>5017</v>
      </c>
      <c r="G3133" s="1" t="s">
        <v>5018</v>
      </c>
      <c r="H3133" s="1">
        <v>0.1</v>
      </c>
      <c r="I3133" s="1">
        <v>0.1</v>
      </c>
      <c r="J3133" s="1">
        <v>0.84277790224702942</v>
      </c>
      <c r="K3133" s="1" t="s">
        <v>181</v>
      </c>
    </row>
    <row r="3134" spans="1:11" x14ac:dyDescent="0.25">
      <c r="A3134" s="1" t="s">
        <v>10048</v>
      </c>
      <c r="B3134" s="1" t="s">
        <v>10049</v>
      </c>
      <c r="D3134" s="1" t="s">
        <v>10050</v>
      </c>
      <c r="E3134" s="1" t="s">
        <v>209</v>
      </c>
      <c r="F3134" s="1" t="s">
        <v>5017</v>
      </c>
      <c r="G3134" s="1" t="s">
        <v>5018</v>
      </c>
      <c r="H3134" s="1">
        <v>0.1</v>
      </c>
      <c r="I3134" s="1">
        <v>0.1</v>
      </c>
      <c r="J3134" s="1">
        <v>0.40963038389519252</v>
      </c>
      <c r="K3134" s="1" t="s">
        <v>181</v>
      </c>
    </row>
    <row r="3135" spans="1:11" x14ac:dyDescent="0.25">
      <c r="A3135" s="1" t="s">
        <v>10051</v>
      </c>
      <c r="B3135" s="1" t="s">
        <v>10052</v>
      </c>
      <c r="D3135" s="1" t="s">
        <v>10053</v>
      </c>
      <c r="E3135" s="1" t="s">
        <v>209</v>
      </c>
      <c r="F3135" s="1" t="s">
        <v>5017</v>
      </c>
      <c r="G3135" s="1" t="s">
        <v>5018</v>
      </c>
      <c r="H3135" s="1">
        <v>0.1</v>
      </c>
      <c r="I3135" s="1">
        <v>0.1</v>
      </c>
      <c r="J3135" s="1">
        <v>0.63263993940434071</v>
      </c>
      <c r="K3135" s="1" t="s">
        <v>181</v>
      </c>
    </row>
    <row r="3136" spans="1:11" x14ac:dyDescent="0.25">
      <c r="A3136" s="1" t="s">
        <v>10054</v>
      </c>
      <c r="B3136" s="1" t="s">
        <v>10055</v>
      </c>
      <c r="D3136" s="1" t="s">
        <v>10056</v>
      </c>
      <c r="E3136" s="1" t="s">
        <v>209</v>
      </c>
      <c r="F3136" s="1" t="s">
        <v>5017</v>
      </c>
      <c r="G3136" s="1" t="s">
        <v>5018</v>
      </c>
      <c r="H3136" s="1">
        <v>0.1</v>
      </c>
      <c r="I3136" s="1">
        <v>0.1</v>
      </c>
      <c r="J3136" s="1">
        <v>0.75394677857298953</v>
      </c>
      <c r="K3136" s="1" t="s">
        <v>181</v>
      </c>
    </row>
    <row r="3137" spans="1:11" x14ac:dyDescent="0.25">
      <c r="A3137" s="1" t="s">
        <v>10057</v>
      </c>
      <c r="B3137" s="1" t="s">
        <v>10058</v>
      </c>
      <c r="D3137" s="1" t="s">
        <v>10059</v>
      </c>
      <c r="E3137" s="1" t="s">
        <v>209</v>
      </c>
      <c r="F3137" s="1" t="s">
        <v>5017</v>
      </c>
      <c r="G3137" s="1" t="s">
        <v>5018</v>
      </c>
      <c r="H3137" s="1">
        <v>0.1</v>
      </c>
      <c r="I3137" s="1">
        <v>0.1</v>
      </c>
      <c r="J3137" s="1">
        <v>0.65098654033702308</v>
      </c>
      <c r="K3137" s="1" t="s">
        <v>181</v>
      </c>
    </row>
    <row r="3138" spans="1:11" x14ac:dyDescent="0.25">
      <c r="A3138" s="1" t="s">
        <v>10060</v>
      </c>
      <c r="B3138" s="1" t="s">
        <v>10061</v>
      </c>
      <c r="D3138" s="1" t="s">
        <v>10062</v>
      </c>
      <c r="E3138" s="1" t="s">
        <v>209</v>
      </c>
      <c r="F3138" s="1" t="s">
        <v>5017</v>
      </c>
      <c r="G3138" s="1" t="s">
        <v>5018</v>
      </c>
      <c r="H3138" s="1">
        <v>0.1</v>
      </c>
      <c r="I3138" s="1">
        <v>0.1</v>
      </c>
      <c r="J3138" s="1">
        <v>0.55991104786437795</v>
      </c>
      <c r="K3138" s="1" t="s">
        <v>181</v>
      </c>
    </row>
    <row r="3139" spans="1:11" x14ac:dyDescent="0.25">
      <c r="A3139" s="1" t="s">
        <v>10063</v>
      </c>
      <c r="B3139" s="1" t="s">
        <v>10064</v>
      </c>
      <c r="D3139" s="1" t="s">
        <v>10065</v>
      </c>
      <c r="E3139" s="1" t="s">
        <v>209</v>
      </c>
      <c r="F3139" s="1" t="s">
        <v>5017</v>
      </c>
      <c r="G3139" s="1" t="s">
        <v>5018</v>
      </c>
      <c r="H3139" s="1">
        <v>0.1</v>
      </c>
      <c r="I3139" s="1">
        <v>0.1</v>
      </c>
      <c r="J3139" s="1">
        <v>0.71715769847941535</v>
      </c>
      <c r="K3139" s="1" t="s">
        <v>181</v>
      </c>
    </row>
    <row r="3140" spans="1:11" x14ac:dyDescent="0.25">
      <c r="A3140" s="1" t="s">
        <v>10066</v>
      </c>
      <c r="B3140" s="1" t="s">
        <v>10067</v>
      </c>
      <c r="D3140" s="1" t="s">
        <v>10068</v>
      </c>
      <c r="E3140" s="1" t="s">
        <v>209</v>
      </c>
      <c r="F3140" s="1" t="s">
        <v>5017</v>
      </c>
      <c r="G3140" s="1" t="s">
        <v>5018</v>
      </c>
      <c r="H3140" s="1">
        <v>0.1</v>
      </c>
      <c r="I3140" s="1">
        <v>0.1</v>
      </c>
      <c r="J3140" s="1">
        <v>0.73053845176463261</v>
      </c>
      <c r="K3140" s="1" t="s">
        <v>181</v>
      </c>
    </row>
    <row r="3141" spans="1:11" x14ac:dyDescent="0.25">
      <c r="A3141" s="1" t="s">
        <v>10069</v>
      </c>
      <c r="B3141" s="1" t="s">
        <v>10070</v>
      </c>
      <c r="D3141" s="1" t="s">
        <v>10071</v>
      </c>
      <c r="E3141" s="1" t="s">
        <v>209</v>
      </c>
      <c r="F3141" s="1" t="s">
        <v>5017</v>
      </c>
      <c r="G3141" s="1" t="s">
        <v>5018</v>
      </c>
      <c r="H3141" s="1">
        <v>0.1</v>
      </c>
      <c r="I3141" s="1">
        <v>0.1</v>
      </c>
      <c r="J3141" s="1">
        <v>0.67274595098536472</v>
      </c>
      <c r="K3141" s="1" t="s">
        <v>181</v>
      </c>
    </row>
    <row r="3142" spans="1:11" x14ac:dyDescent="0.25">
      <c r="A3142" s="1" t="s">
        <v>10072</v>
      </c>
      <c r="B3142" s="1" t="s">
        <v>10073</v>
      </c>
      <c r="D3142" s="1" t="s">
        <v>10074</v>
      </c>
      <c r="E3142" s="1" t="s">
        <v>209</v>
      </c>
      <c r="F3142" s="1" t="s">
        <v>5017</v>
      </c>
      <c r="G3142" s="1" t="s">
        <v>5018</v>
      </c>
      <c r="H3142" s="1">
        <v>0.1</v>
      </c>
      <c r="I3142" s="1">
        <v>0.1</v>
      </c>
      <c r="J3142" s="1">
        <v>0.57194502881600628</v>
      </c>
      <c r="K3142" s="1" t="s">
        <v>181</v>
      </c>
    </row>
    <row r="3143" spans="1:11" x14ac:dyDescent="0.25">
      <c r="A3143" s="1" t="s">
        <v>10075</v>
      </c>
      <c r="B3143" s="1" t="s">
        <v>10076</v>
      </c>
      <c r="D3143" s="1" t="s">
        <v>10077</v>
      </c>
      <c r="E3143" s="1" t="s">
        <v>209</v>
      </c>
      <c r="F3143" s="1" t="s">
        <v>5017</v>
      </c>
      <c r="G3143" s="1" t="s">
        <v>5018</v>
      </c>
      <c r="H3143" s="1">
        <v>0.1</v>
      </c>
      <c r="I3143" s="1">
        <v>0.1</v>
      </c>
      <c r="J3143" s="1">
        <v>0.6163570837851895</v>
      </c>
      <c r="K3143" s="1" t="s">
        <v>181</v>
      </c>
    </row>
    <row r="3144" spans="1:11" x14ac:dyDescent="0.25">
      <c r="A3144" s="1" t="s">
        <v>10078</v>
      </c>
      <c r="B3144" s="1" t="s">
        <v>10079</v>
      </c>
      <c r="D3144" s="1" t="s">
        <v>10080</v>
      </c>
      <c r="E3144" s="1" t="s">
        <v>209</v>
      </c>
      <c r="F3144" s="1" t="s">
        <v>5017</v>
      </c>
      <c r="G3144" s="1" t="s">
        <v>5018</v>
      </c>
      <c r="H3144" s="1">
        <v>0.1</v>
      </c>
      <c r="I3144" s="1">
        <v>0.1</v>
      </c>
      <c r="J3144" s="1">
        <v>0.68092223262304641</v>
      </c>
      <c r="K3144" s="1" t="s">
        <v>181</v>
      </c>
    </row>
    <row r="3145" spans="1:11" x14ac:dyDescent="0.25">
      <c r="A3145" s="1" t="s">
        <v>10081</v>
      </c>
      <c r="B3145" s="1" t="s">
        <v>10082</v>
      </c>
      <c r="D3145" s="1" t="s">
        <v>10083</v>
      </c>
      <c r="E3145" s="1" t="s">
        <v>209</v>
      </c>
      <c r="F3145" s="1" t="s">
        <v>5017</v>
      </c>
      <c r="G3145" s="1" t="s">
        <v>5018</v>
      </c>
      <c r="H3145" s="1">
        <v>0.1</v>
      </c>
      <c r="I3145" s="1">
        <v>0.1</v>
      </c>
      <c r="J3145" s="1">
        <v>0.54229238834781546</v>
      </c>
      <c r="K3145" s="1" t="s">
        <v>181</v>
      </c>
    </row>
    <row r="3146" spans="1:11" x14ac:dyDescent="0.25">
      <c r="A3146" s="1" t="s">
        <v>10084</v>
      </c>
      <c r="B3146" s="1" t="s">
        <v>10085</v>
      </c>
      <c r="D3146" s="1" t="s">
        <v>10086</v>
      </c>
      <c r="E3146" s="1" t="s">
        <v>209</v>
      </c>
      <c r="F3146" s="1" t="s">
        <v>5017</v>
      </c>
      <c r="G3146" s="1" t="s">
        <v>5018</v>
      </c>
      <c r="H3146" s="1">
        <v>0.1</v>
      </c>
      <c r="I3146" s="1">
        <v>0.1</v>
      </c>
      <c r="J3146" s="1">
        <v>0.70159824950914706</v>
      </c>
      <c r="K3146" s="1" t="s">
        <v>181</v>
      </c>
    </row>
    <row r="3147" spans="1:11" x14ac:dyDescent="0.25">
      <c r="A3147" s="1" t="s">
        <v>10087</v>
      </c>
      <c r="B3147" s="1" t="s">
        <v>10088</v>
      </c>
      <c r="D3147" s="1" t="s">
        <v>10089</v>
      </c>
      <c r="E3147" s="1" t="s">
        <v>209</v>
      </c>
      <c r="F3147" s="1" t="s">
        <v>5017</v>
      </c>
      <c r="G3147" s="1" t="s">
        <v>5018</v>
      </c>
      <c r="H3147" s="1">
        <v>0.1</v>
      </c>
      <c r="I3147" s="1">
        <v>0.1</v>
      </c>
      <c r="J3147" s="1">
        <v>0.7115612614620781</v>
      </c>
      <c r="K3147" s="1" t="s">
        <v>181</v>
      </c>
    </row>
    <row r="3148" spans="1:11" x14ac:dyDescent="0.25">
      <c r="A3148" s="1" t="s">
        <v>10090</v>
      </c>
      <c r="B3148" s="1" t="s">
        <v>10091</v>
      </c>
      <c r="D3148" s="1" t="s">
        <v>10092</v>
      </c>
      <c r="E3148" s="1" t="s">
        <v>209</v>
      </c>
      <c r="F3148" s="1" t="s">
        <v>5017</v>
      </c>
      <c r="G3148" s="1" t="s">
        <v>5018</v>
      </c>
      <c r="H3148" s="1">
        <v>0.1</v>
      </c>
      <c r="I3148" s="1">
        <v>0.1</v>
      </c>
      <c r="J3148" s="1">
        <v>0.54163450819253689</v>
      </c>
      <c r="K3148" s="1" t="s">
        <v>181</v>
      </c>
    </row>
    <row r="3149" spans="1:11" x14ac:dyDescent="0.25">
      <c r="A3149" s="1" t="s">
        <v>10093</v>
      </c>
      <c r="B3149" s="1" t="s">
        <v>10094</v>
      </c>
      <c r="D3149" s="1" t="s">
        <v>10095</v>
      </c>
      <c r="E3149" s="1" t="s">
        <v>209</v>
      </c>
      <c r="F3149" s="1" t="s">
        <v>5017</v>
      </c>
      <c r="G3149" s="1" t="s">
        <v>5018</v>
      </c>
      <c r="H3149" s="1">
        <v>0.1</v>
      </c>
      <c r="I3149" s="1">
        <v>0.1</v>
      </c>
      <c r="J3149" s="1">
        <v>0.62051109068854937</v>
      </c>
      <c r="K3149" s="1" t="s">
        <v>181</v>
      </c>
    </row>
    <row r="3150" spans="1:11" x14ac:dyDescent="0.25">
      <c r="A3150" s="1" t="s">
        <v>10096</v>
      </c>
      <c r="B3150" s="1" t="s">
        <v>10097</v>
      </c>
      <c r="D3150" s="1" t="s">
        <v>10098</v>
      </c>
      <c r="E3150" s="1" t="s">
        <v>209</v>
      </c>
      <c r="F3150" s="1" t="s">
        <v>5017</v>
      </c>
      <c r="G3150" s="1" t="s">
        <v>5018</v>
      </c>
      <c r="H3150" s="1">
        <v>0.1</v>
      </c>
      <c r="I3150" s="1">
        <v>0.1</v>
      </c>
      <c r="J3150" s="1">
        <v>0.7532201421148047</v>
      </c>
      <c r="K3150" s="1" t="s">
        <v>181</v>
      </c>
    </row>
    <row r="3151" spans="1:11" x14ac:dyDescent="0.25">
      <c r="A3151" s="1" t="s">
        <v>10099</v>
      </c>
      <c r="B3151" s="1" t="s">
        <v>10100</v>
      </c>
      <c r="D3151" s="1" t="s">
        <v>10101</v>
      </c>
      <c r="E3151" s="1" t="s">
        <v>209</v>
      </c>
      <c r="F3151" s="1" t="s">
        <v>5017</v>
      </c>
      <c r="G3151" s="1" t="s">
        <v>5018</v>
      </c>
      <c r="H3151" s="1">
        <v>0.1</v>
      </c>
      <c r="I3151" s="1">
        <v>0.1</v>
      </c>
      <c r="J3151" s="1">
        <v>0.6650375415774028</v>
      </c>
      <c r="K3151" s="1" t="s">
        <v>181</v>
      </c>
    </row>
    <row r="3152" spans="1:11" x14ac:dyDescent="0.25">
      <c r="A3152" s="1" t="s">
        <v>10102</v>
      </c>
      <c r="B3152" s="1" t="s">
        <v>10103</v>
      </c>
      <c r="D3152" s="1" t="s">
        <v>10104</v>
      </c>
      <c r="E3152" s="1" t="s">
        <v>209</v>
      </c>
      <c r="F3152" s="1" t="s">
        <v>5017</v>
      </c>
      <c r="G3152" s="1" t="s">
        <v>5018</v>
      </c>
      <c r="H3152" s="1">
        <v>0.1</v>
      </c>
      <c r="I3152" s="1">
        <v>0.1</v>
      </c>
      <c r="J3152" s="1">
        <v>0.67263420504583982</v>
      </c>
      <c r="K3152" s="1" t="s">
        <v>181</v>
      </c>
    </row>
    <row r="3153" spans="1:11" x14ac:dyDescent="0.25">
      <c r="A3153" s="1" t="s">
        <v>10105</v>
      </c>
      <c r="B3153" s="1" t="s">
        <v>10106</v>
      </c>
      <c r="D3153" s="1" t="s">
        <v>10107</v>
      </c>
      <c r="E3153" s="1" t="s">
        <v>209</v>
      </c>
      <c r="F3153" s="1" t="s">
        <v>5017</v>
      </c>
      <c r="G3153" s="1" t="s">
        <v>5018</v>
      </c>
      <c r="H3153" s="1">
        <v>0.1</v>
      </c>
      <c r="I3153" s="1">
        <v>0.1</v>
      </c>
      <c r="J3153" s="1">
        <v>0.69133626243683255</v>
      </c>
      <c r="K3153" s="1" t="s">
        <v>181</v>
      </c>
    </row>
    <row r="3154" spans="1:11" x14ac:dyDescent="0.25">
      <c r="A3154" s="1" t="s">
        <v>10108</v>
      </c>
      <c r="B3154" s="1" t="s">
        <v>10109</v>
      </c>
      <c r="D3154" s="1" t="s">
        <v>10110</v>
      </c>
      <c r="E3154" s="1" t="s">
        <v>209</v>
      </c>
      <c r="F3154" s="1" t="s">
        <v>5017</v>
      </c>
      <c r="G3154" s="1" t="s">
        <v>5018</v>
      </c>
      <c r="H3154" s="1">
        <v>0.1</v>
      </c>
      <c r="I3154" s="1">
        <v>0.1</v>
      </c>
      <c r="J3154" s="1">
        <v>0.60895557721626259</v>
      </c>
      <c r="K3154" s="1" t="s">
        <v>181</v>
      </c>
    </row>
    <row r="3155" spans="1:11" x14ac:dyDescent="0.25">
      <c r="A3155" s="1" t="s">
        <v>10111</v>
      </c>
      <c r="B3155" s="1" t="s">
        <v>10112</v>
      </c>
      <c r="D3155" s="1" t="s">
        <v>10113</v>
      </c>
      <c r="E3155" s="1" t="s">
        <v>209</v>
      </c>
      <c r="F3155" s="1" t="s">
        <v>5017</v>
      </c>
      <c r="G3155" s="1" t="s">
        <v>5018</v>
      </c>
      <c r="H3155" s="1">
        <v>0.1</v>
      </c>
      <c r="I3155" s="1">
        <v>0.1</v>
      </c>
      <c r="J3155" s="1">
        <v>0.64161392384059213</v>
      </c>
      <c r="K3155" s="1" t="s">
        <v>181</v>
      </c>
    </row>
    <row r="3156" spans="1:11" x14ac:dyDescent="0.25">
      <c r="A3156" s="1" t="s">
        <v>10114</v>
      </c>
      <c r="B3156" s="1" t="s">
        <v>10115</v>
      </c>
      <c r="D3156" s="1" t="s">
        <v>10116</v>
      </c>
      <c r="E3156" s="1" t="s">
        <v>209</v>
      </c>
      <c r="F3156" s="1" t="s">
        <v>5017</v>
      </c>
      <c r="G3156" s="1" t="s">
        <v>5018</v>
      </c>
      <c r="H3156" s="1">
        <v>0.1</v>
      </c>
      <c r="I3156" s="1">
        <v>0.1</v>
      </c>
      <c r="J3156" s="1">
        <v>0.57190663903962091</v>
      </c>
      <c r="K3156" s="1" t="s">
        <v>181</v>
      </c>
    </row>
    <row r="3157" spans="1:11" x14ac:dyDescent="0.25">
      <c r="A3157" s="1" t="s">
        <v>10117</v>
      </c>
      <c r="B3157" s="1" t="s">
        <v>10118</v>
      </c>
      <c r="D3157" s="1" t="s">
        <v>10119</v>
      </c>
      <c r="E3157" s="1" t="s">
        <v>209</v>
      </c>
      <c r="F3157" s="1" t="s">
        <v>5017</v>
      </c>
      <c r="G3157" s="1" t="s">
        <v>5018</v>
      </c>
      <c r="H3157" s="1">
        <v>0.1</v>
      </c>
      <c r="I3157" s="1">
        <v>0.1</v>
      </c>
      <c r="J3157" s="1">
        <v>0.55852898490218572</v>
      </c>
      <c r="K3157" s="1" t="s">
        <v>181</v>
      </c>
    </row>
    <row r="3158" spans="1:11" x14ac:dyDescent="0.25">
      <c r="A3158" s="1" t="s">
        <v>10120</v>
      </c>
      <c r="B3158" s="1" t="s">
        <v>10121</v>
      </c>
      <c r="D3158" s="1" t="s">
        <v>10122</v>
      </c>
      <c r="E3158" s="1" t="s">
        <v>209</v>
      </c>
      <c r="F3158" s="1" t="s">
        <v>5017</v>
      </c>
      <c r="G3158" s="1" t="s">
        <v>5018</v>
      </c>
      <c r="H3158" s="1">
        <v>0.1</v>
      </c>
      <c r="I3158" s="1">
        <v>0.1</v>
      </c>
      <c r="J3158" s="1">
        <v>0.98384722356157339</v>
      </c>
      <c r="K3158" s="1" t="s">
        <v>181</v>
      </c>
    </row>
    <row r="3159" spans="1:11" x14ac:dyDescent="0.25">
      <c r="A3159" s="1" t="s">
        <v>10123</v>
      </c>
      <c r="B3159" s="1" t="s">
        <v>10124</v>
      </c>
      <c r="D3159" s="1" t="s">
        <v>10125</v>
      </c>
      <c r="E3159" s="1" t="s">
        <v>209</v>
      </c>
      <c r="F3159" s="1" t="s">
        <v>5017</v>
      </c>
      <c r="G3159" s="1" t="s">
        <v>5018</v>
      </c>
      <c r="H3159" s="1">
        <v>0.1</v>
      </c>
      <c r="I3159" s="1">
        <v>0.1</v>
      </c>
      <c r="J3159" s="1">
        <v>0.74386919159856757</v>
      </c>
      <c r="K3159" s="1" t="s">
        <v>181</v>
      </c>
    </row>
    <row r="3160" spans="1:11" x14ac:dyDescent="0.25">
      <c r="A3160" s="1" t="s">
        <v>10126</v>
      </c>
      <c r="B3160" s="1" t="s">
        <v>10127</v>
      </c>
      <c r="D3160" s="1" t="s">
        <v>10128</v>
      </c>
      <c r="E3160" s="1" t="s">
        <v>209</v>
      </c>
      <c r="F3160" s="1" t="s">
        <v>5017</v>
      </c>
      <c r="G3160" s="1" t="s">
        <v>5018</v>
      </c>
      <c r="H3160" s="1">
        <v>0.1</v>
      </c>
      <c r="I3160" s="1">
        <v>0.1</v>
      </c>
      <c r="J3160" s="1">
        <v>0.56396049536479909</v>
      </c>
      <c r="K3160" s="1" t="s">
        <v>181</v>
      </c>
    </row>
    <row r="3161" spans="1:11" x14ac:dyDescent="0.25">
      <c r="A3161" s="1" t="s">
        <v>10129</v>
      </c>
      <c r="B3161" s="1" t="s">
        <v>10130</v>
      </c>
      <c r="D3161" s="1" t="s">
        <v>10131</v>
      </c>
      <c r="E3161" s="1" t="s">
        <v>209</v>
      </c>
      <c r="F3161" s="1" t="s">
        <v>5017</v>
      </c>
      <c r="G3161" s="1" t="s">
        <v>5018</v>
      </c>
      <c r="H3161" s="1">
        <v>0.1</v>
      </c>
      <c r="I3161" s="1">
        <v>0.1</v>
      </c>
      <c r="J3161" s="1">
        <v>0.75412159402041701</v>
      </c>
      <c r="K3161" s="1" t="s">
        <v>181</v>
      </c>
    </row>
    <row r="3162" spans="1:11" x14ac:dyDescent="0.25">
      <c r="A3162" s="1" t="s">
        <v>10132</v>
      </c>
      <c r="B3162" s="1" t="s">
        <v>10133</v>
      </c>
      <c r="D3162" s="1" t="s">
        <v>10134</v>
      </c>
      <c r="E3162" s="1" t="s">
        <v>209</v>
      </c>
      <c r="F3162" s="1" t="s">
        <v>5017</v>
      </c>
      <c r="G3162" s="1" t="s">
        <v>5018</v>
      </c>
      <c r="H3162" s="1">
        <v>0.1</v>
      </c>
      <c r="I3162" s="1">
        <v>0.1</v>
      </c>
      <c r="J3162" s="1">
        <v>0.72340814875147252</v>
      </c>
      <c r="K3162" s="1" t="s">
        <v>181</v>
      </c>
    </row>
    <row r="3163" spans="1:11" x14ac:dyDescent="0.25">
      <c r="A3163" s="1" t="s">
        <v>10135</v>
      </c>
      <c r="B3163" s="1" t="s">
        <v>10136</v>
      </c>
      <c r="D3163" s="1" t="s">
        <v>10137</v>
      </c>
      <c r="E3163" s="1" t="s">
        <v>209</v>
      </c>
      <c r="F3163" s="1" t="s">
        <v>5017</v>
      </c>
      <c r="G3163" s="1" t="s">
        <v>5018</v>
      </c>
      <c r="H3163" s="1">
        <v>0.1</v>
      </c>
      <c r="I3163" s="1">
        <v>0.1</v>
      </c>
      <c r="J3163" s="1">
        <v>0.49975248276016671</v>
      </c>
      <c r="K3163" s="1" t="s">
        <v>181</v>
      </c>
    </row>
    <row r="3164" spans="1:11" x14ac:dyDescent="0.25">
      <c r="A3164" s="1" t="s">
        <v>10138</v>
      </c>
      <c r="B3164" s="1" t="s">
        <v>10139</v>
      </c>
      <c r="D3164" s="1" t="s">
        <v>10140</v>
      </c>
      <c r="E3164" s="1" t="s">
        <v>209</v>
      </c>
      <c r="F3164" s="1" t="s">
        <v>5017</v>
      </c>
      <c r="G3164" s="1" t="s">
        <v>5018</v>
      </c>
      <c r="H3164" s="1">
        <v>0.1</v>
      </c>
      <c r="I3164" s="1">
        <v>0.1</v>
      </c>
      <c r="J3164" s="1">
        <v>0.6438647581147654</v>
      </c>
      <c r="K3164" s="1" t="s">
        <v>181</v>
      </c>
    </row>
    <row r="3165" spans="1:11" x14ac:dyDescent="0.25">
      <c r="A3165" s="1" t="s">
        <v>10141</v>
      </c>
      <c r="B3165" s="1" t="s">
        <v>10142</v>
      </c>
      <c r="D3165" s="1" t="s">
        <v>10143</v>
      </c>
      <c r="E3165" s="1" t="s">
        <v>209</v>
      </c>
      <c r="F3165" s="1" t="s">
        <v>5017</v>
      </c>
      <c r="G3165" s="1" t="s">
        <v>5018</v>
      </c>
      <c r="H3165" s="1">
        <v>0.1</v>
      </c>
      <c r="I3165" s="1">
        <v>0.1</v>
      </c>
      <c r="J3165" s="1">
        <v>0.86013504526281048</v>
      </c>
      <c r="K3165" s="1" t="s">
        <v>181</v>
      </c>
    </row>
    <row r="3166" spans="1:11" x14ac:dyDescent="0.25">
      <c r="A3166" s="1" t="s">
        <v>10144</v>
      </c>
      <c r="B3166" s="1" t="s">
        <v>10145</v>
      </c>
      <c r="D3166" s="1" t="s">
        <v>10146</v>
      </c>
      <c r="E3166" s="1" t="s">
        <v>209</v>
      </c>
      <c r="F3166" s="1" t="s">
        <v>5017</v>
      </c>
      <c r="G3166" s="1" t="s">
        <v>5018</v>
      </c>
      <c r="H3166" s="1">
        <v>0.1</v>
      </c>
      <c r="I3166" s="1">
        <v>0.1</v>
      </c>
      <c r="J3166" s="1">
        <v>0.59757272448981569</v>
      </c>
      <c r="K3166" s="1" t="s">
        <v>181</v>
      </c>
    </row>
    <row r="3167" spans="1:11" x14ac:dyDescent="0.25">
      <c r="A3167" s="1" t="s">
        <v>10147</v>
      </c>
      <c r="B3167" s="1" t="s">
        <v>10148</v>
      </c>
      <c r="D3167" s="1" t="s">
        <v>10149</v>
      </c>
      <c r="E3167" s="1" t="s">
        <v>209</v>
      </c>
      <c r="F3167" s="1" t="s">
        <v>5017</v>
      </c>
      <c r="G3167" s="1" t="s">
        <v>5018</v>
      </c>
      <c r="H3167" s="1">
        <v>0.1</v>
      </c>
      <c r="I3167" s="1">
        <v>0.1</v>
      </c>
      <c r="J3167" s="1">
        <v>0.70777469483181343</v>
      </c>
      <c r="K3167" s="1" t="s">
        <v>181</v>
      </c>
    </row>
    <row r="3168" spans="1:11" x14ac:dyDescent="0.25">
      <c r="A3168" s="1" t="s">
        <v>10150</v>
      </c>
      <c r="B3168" s="1" t="s">
        <v>10151</v>
      </c>
      <c r="D3168" s="1" t="s">
        <v>10152</v>
      </c>
      <c r="E3168" s="1" t="s">
        <v>209</v>
      </c>
      <c r="F3168" s="1" t="s">
        <v>5017</v>
      </c>
      <c r="G3168" s="1" t="s">
        <v>5018</v>
      </c>
      <c r="H3168" s="1">
        <v>0.1</v>
      </c>
      <c r="I3168" s="1">
        <v>0.1</v>
      </c>
      <c r="J3168" s="1">
        <v>0.53394805671005974</v>
      </c>
      <c r="K3168" s="1" t="s">
        <v>181</v>
      </c>
    </row>
    <row r="3169" spans="1:11" x14ac:dyDescent="0.25">
      <c r="A3169" s="1" t="s">
        <v>10153</v>
      </c>
      <c r="B3169" s="1" t="s">
        <v>10154</v>
      </c>
      <c r="D3169" s="1" t="s">
        <v>10155</v>
      </c>
      <c r="E3169" s="1" t="s">
        <v>209</v>
      </c>
      <c r="F3169" s="1" t="s">
        <v>5017</v>
      </c>
      <c r="G3169" s="1" t="s">
        <v>5018</v>
      </c>
      <c r="H3169" s="1">
        <v>0.1</v>
      </c>
      <c r="I3169" s="1">
        <v>0.1</v>
      </c>
      <c r="J3169" s="1">
        <v>0.7519293561892384</v>
      </c>
      <c r="K3169" s="1" t="s">
        <v>181</v>
      </c>
    </row>
    <row r="3170" spans="1:11" x14ac:dyDescent="0.25">
      <c r="A3170" s="1" t="s">
        <v>10156</v>
      </c>
      <c r="B3170" s="1" t="s">
        <v>10157</v>
      </c>
      <c r="D3170" s="1" t="s">
        <v>10158</v>
      </c>
      <c r="E3170" s="1" t="s">
        <v>209</v>
      </c>
      <c r="F3170" s="1" t="s">
        <v>5017</v>
      </c>
      <c r="G3170" s="1" t="s">
        <v>5018</v>
      </c>
      <c r="H3170" s="1">
        <v>0.1</v>
      </c>
      <c r="I3170" s="1">
        <v>0.1</v>
      </c>
      <c r="J3170" s="1">
        <v>0.61378409223490615</v>
      </c>
      <c r="K3170" s="1" t="s">
        <v>181</v>
      </c>
    </row>
    <row r="3171" spans="1:11" x14ac:dyDescent="0.25">
      <c r="A3171" s="1" t="s">
        <v>10159</v>
      </c>
      <c r="B3171" s="1" t="s">
        <v>10160</v>
      </c>
      <c r="D3171" s="1" t="s">
        <v>10161</v>
      </c>
      <c r="E3171" s="1" t="s">
        <v>209</v>
      </c>
      <c r="F3171" s="1" t="s">
        <v>5017</v>
      </c>
      <c r="G3171" s="1" t="s">
        <v>5018</v>
      </c>
      <c r="H3171" s="1">
        <v>0.1</v>
      </c>
      <c r="I3171" s="1">
        <v>0.1</v>
      </c>
      <c r="J3171" s="1">
        <v>0.40851070588935828</v>
      </c>
      <c r="K3171" s="1" t="s">
        <v>181</v>
      </c>
    </row>
    <row r="3172" spans="1:11" x14ac:dyDescent="0.25">
      <c r="A3172" s="1" t="s">
        <v>10162</v>
      </c>
      <c r="B3172" s="1" t="s">
        <v>10163</v>
      </c>
      <c r="D3172" s="1" t="s">
        <v>10164</v>
      </c>
      <c r="E3172" s="1" t="s">
        <v>209</v>
      </c>
      <c r="F3172" s="1" t="s">
        <v>5017</v>
      </c>
      <c r="G3172" s="1" t="s">
        <v>5018</v>
      </c>
      <c r="H3172" s="1">
        <v>0.1</v>
      </c>
      <c r="I3172" s="1">
        <v>0.1</v>
      </c>
      <c r="J3172" s="1">
        <v>0.58019139716256329</v>
      </c>
      <c r="K3172" s="1" t="s">
        <v>181</v>
      </c>
    </row>
    <row r="3173" spans="1:11" x14ac:dyDescent="0.25">
      <c r="A3173" s="1" t="s">
        <v>10165</v>
      </c>
      <c r="B3173" s="1" t="s">
        <v>10166</v>
      </c>
      <c r="D3173" s="1" t="s">
        <v>10167</v>
      </c>
      <c r="E3173" s="1" t="s">
        <v>209</v>
      </c>
      <c r="F3173" s="1" t="s">
        <v>5017</v>
      </c>
      <c r="G3173" s="1" t="s">
        <v>5018</v>
      </c>
      <c r="H3173" s="1">
        <v>0.1</v>
      </c>
      <c r="I3173" s="1">
        <v>0.1</v>
      </c>
      <c r="J3173" s="1">
        <v>0.58992903083020076</v>
      </c>
      <c r="K3173" s="1" t="s">
        <v>181</v>
      </c>
    </row>
    <row r="3174" spans="1:11" x14ac:dyDescent="0.25">
      <c r="A3174" s="1" t="s">
        <v>10168</v>
      </c>
      <c r="B3174" s="1" t="s">
        <v>10169</v>
      </c>
      <c r="D3174" s="1" t="s">
        <v>10170</v>
      </c>
      <c r="E3174" s="1" t="s">
        <v>209</v>
      </c>
      <c r="F3174" s="1" t="s">
        <v>5017</v>
      </c>
      <c r="G3174" s="1" t="s">
        <v>5018</v>
      </c>
      <c r="H3174" s="1">
        <v>0.1</v>
      </c>
      <c r="I3174" s="1">
        <v>0.1</v>
      </c>
      <c r="J3174" s="1">
        <v>0.58860678447866921</v>
      </c>
      <c r="K3174" s="1" t="s">
        <v>181</v>
      </c>
    </row>
    <row r="3175" spans="1:11" x14ac:dyDescent="0.25">
      <c r="A3175" s="1" t="s">
        <v>10171</v>
      </c>
      <c r="B3175" s="1" t="s">
        <v>10172</v>
      </c>
      <c r="D3175" s="1" t="s">
        <v>10173</v>
      </c>
      <c r="E3175" s="1" t="s">
        <v>209</v>
      </c>
      <c r="F3175" s="1" t="s">
        <v>5017</v>
      </c>
      <c r="G3175" s="1" t="s">
        <v>5018</v>
      </c>
      <c r="H3175" s="1">
        <v>0.1</v>
      </c>
      <c r="I3175" s="1">
        <v>0.1</v>
      </c>
      <c r="J3175" s="1">
        <v>0.58906831059044062</v>
      </c>
      <c r="K3175" s="1" t="s">
        <v>181</v>
      </c>
    </row>
    <row r="3176" spans="1:11" x14ac:dyDescent="0.25">
      <c r="A3176" s="1" t="s">
        <v>10174</v>
      </c>
      <c r="B3176" s="1" t="s">
        <v>10175</v>
      </c>
      <c r="D3176" s="1" t="s">
        <v>10176</v>
      </c>
      <c r="E3176" s="1" t="s">
        <v>209</v>
      </c>
      <c r="F3176" s="1" t="s">
        <v>5017</v>
      </c>
      <c r="G3176" s="1" t="s">
        <v>5018</v>
      </c>
      <c r="H3176" s="1">
        <v>0.1</v>
      </c>
      <c r="I3176" s="1">
        <v>0.1</v>
      </c>
      <c r="J3176" s="1">
        <v>0.63933380520623551</v>
      </c>
      <c r="K3176" s="1" t="s">
        <v>181</v>
      </c>
    </row>
    <row r="3177" spans="1:11" x14ac:dyDescent="0.25">
      <c r="A3177" s="1" t="s">
        <v>10177</v>
      </c>
      <c r="B3177" s="1" t="s">
        <v>10178</v>
      </c>
      <c r="D3177" s="1" t="s">
        <v>10179</v>
      </c>
      <c r="E3177" s="1" t="s">
        <v>209</v>
      </c>
      <c r="F3177" s="1" t="s">
        <v>5017</v>
      </c>
      <c r="G3177" s="1" t="s">
        <v>5018</v>
      </c>
      <c r="H3177" s="1">
        <v>0.1</v>
      </c>
      <c r="I3177" s="1">
        <v>0.1</v>
      </c>
      <c r="J3177" s="1">
        <v>0.71622599841352241</v>
      </c>
      <c r="K3177" s="1" t="s">
        <v>181</v>
      </c>
    </row>
    <row r="3178" spans="1:11" x14ac:dyDescent="0.25">
      <c r="A3178" s="1" t="s">
        <v>10180</v>
      </c>
      <c r="B3178" s="1" t="s">
        <v>10181</v>
      </c>
      <c r="D3178" s="1" t="s">
        <v>10182</v>
      </c>
      <c r="E3178" s="1" t="s">
        <v>209</v>
      </c>
      <c r="F3178" s="1" t="s">
        <v>5017</v>
      </c>
      <c r="G3178" s="1" t="s">
        <v>5018</v>
      </c>
      <c r="H3178" s="1">
        <v>0.1</v>
      </c>
      <c r="I3178" s="1">
        <v>0.1</v>
      </c>
      <c r="J3178" s="1">
        <v>0.750568112406515</v>
      </c>
      <c r="K3178" s="1" t="s">
        <v>181</v>
      </c>
    </row>
    <row r="3179" spans="1:11" x14ac:dyDescent="0.25">
      <c r="A3179" s="1" t="s">
        <v>10183</v>
      </c>
      <c r="B3179" s="1" t="s">
        <v>10184</v>
      </c>
      <c r="D3179" s="1" t="s">
        <v>10185</v>
      </c>
      <c r="E3179" s="1" t="s">
        <v>209</v>
      </c>
      <c r="F3179" s="1" t="s">
        <v>5017</v>
      </c>
      <c r="G3179" s="1" t="s">
        <v>5018</v>
      </c>
      <c r="H3179" s="1">
        <v>0.1</v>
      </c>
      <c r="I3179" s="1">
        <v>0.1</v>
      </c>
      <c r="J3179" s="1">
        <v>0.37878695701150472</v>
      </c>
      <c r="K3179" s="1" t="s">
        <v>181</v>
      </c>
    </row>
    <row r="3180" spans="1:11" x14ac:dyDescent="0.25">
      <c r="A3180" s="1" t="s">
        <v>10186</v>
      </c>
      <c r="B3180" s="1" t="s">
        <v>10187</v>
      </c>
      <c r="D3180" s="1" t="s">
        <v>10188</v>
      </c>
      <c r="E3180" s="1" t="s">
        <v>209</v>
      </c>
      <c r="F3180" s="1" t="s">
        <v>5017</v>
      </c>
      <c r="G3180" s="1" t="s">
        <v>5018</v>
      </c>
      <c r="H3180" s="1">
        <v>0.1</v>
      </c>
      <c r="I3180" s="1">
        <v>0.1</v>
      </c>
      <c r="J3180" s="1">
        <v>0.54939688840022183</v>
      </c>
      <c r="K3180" s="1" t="s">
        <v>181</v>
      </c>
    </row>
    <row r="3181" spans="1:11" x14ac:dyDescent="0.25">
      <c r="A3181" s="1" t="s">
        <v>10189</v>
      </c>
      <c r="B3181" s="1" t="s">
        <v>10190</v>
      </c>
      <c r="D3181" s="1" t="s">
        <v>10191</v>
      </c>
      <c r="E3181" s="1" t="s">
        <v>209</v>
      </c>
      <c r="F3181" s="1" t="s">
        <v>5017</v>
      </c>
      <c r="G3181" s="1" t="s">
        <v>5018</v>
      </c>
      <c r="H3181" s="1">
        <v>0.1</v>
      </c>
      <c r="I3181" s="1">
        <v>0.1</v>
      </c>
      <c r="J3181" s="1">
        <v>0.38640998938332571</v>
      </c>
      <c r="K3181" s="1" t="s">
        <v>181</v>
      </c>
    </row>
    <row r="3182" spans="1:11" x14ac:dyDescent="0.25">
      <c r="A3182" s="1" t="s">
        <v>10192</v>
      </c>
      <c r="B3182" s="1" t="s">
        <v>10193</v>
      </c>
      <c r="D3182" s="1" t="s">
        <v>10194</v>
      </c>
      <c r="E3182" s="1" t="s">
        <v>209</v>
      </c>
      <c r="F3182" s="1" t="s">
        <v>5017</v>
      </c>
      <c r="G3182" s="1" t="s">
        <v>5018</v>
      </c>
      <c r="H3182" s="1">
        <v>0.1</v>
      </c>
      <c r="I3182" s="1">
        <v>0.1</v>
      </c>
      <c r="J3182" s="1">
        <v>0.38020145460956156</v>
      </c>
      <c r="K3182" s="1" t="s">
        <v>181</v>
      </c>
    </row>
    <row r="3183" spans="1:11" x14ac:dyDescent="0.25">
      <c r="A3183" s="1" t="s">
        <v>10195</v>
      </c>
      <c r="B3183" s="1" t="s">
        <v>10196</v>
      </c>
      <c r="D3183" s="1" t="s">
        <v>10197</v>
      </c>
      <c r="E3183" s="1" t="s">
        <v>209</v>
      </c>
      <c r="F3183" s="1" t="s">
        <v>5017</v>
      </c>
      <c r="G3183" s="1" t="s">
        <v>5018</v>
      </c>
      <c r="H3183" s="1">
        <v>0.1</v>
      </c>
      <c r="I3183" s="1">
        <v>0.1</v>
      </c>
      <c r="J3183" s="1">
        <v>0.42301429187314765</v>
      </c>
      <c r="K3183" s="1" t="s">
        <v>181</v>
      </c>
    </row>
    <row r="3184" spans="1:11" x14ac:dyDescent="0.25">
      <c r="A3184" s="1" t="s">
        <v>10198</v>
      </c>
      <c r="B3184" s="1" t="s">
        <v>10199</v>
      </c>
      <c r="D3184" s="1" t="s">
        <v>10200</v>
      </c>
      <c r="E3184" s="1" t="s">
        <v>209</v>
      </c>
      <c r="F3184" s="1" t="s">
        <v>5017</v>
      </c>
      <c r="G3184" s="1" t="s">
        <v>5018</v>
      </c>
      <c r="H3184" s="1">
        <v>0.1</v>
      </c>
      <c r="I3184" s="1">
        <v>0.1</v>
      </c>
      <c r="J3184" s="1">
        <v>0.43058391703585475</v>
      </c>
      <c r="K3184" s="1" t="s">
        <v>181</v>
      </c>
    </row>
    <row r="3185" spans="1:11" x14ac:dyDescent="0.25">
      <c r="A3185" s="1" t="s">
        <v>10201</v>
      </c>
      <c r="B3185" s="1" t="s">
        <v>10202</v>
      </c>
      <c r="D3185" s="1" t="s">
        <v>10203</v>
      </c>
      <c r="E3185" s="1" t="s">
        <v>209</v>
      </c>
      <c r="F3185" s="1" t="s">
        <v>5017</v>
      </c>
      <c r="G3185" s="1" t="s">
        <v>5018</v>
      </c>
      <c r="H3185" s="1">
        <v>0.1</v>
      </c>
      <c r="I3185" s="1">
        <v>0.1</v>
      </c>
      <c r="J3185" s="1">
        <v>0.41182087432793185</v>
      </c>
      <c r="K3185" s="1" t="s">
        <v>181</v>
      </c>
    </row>
    <row r="3186" spans="1:11" x14ac:dyDescent="0.25">
      <c r="A3186" s="1" t="s">
        <v>10204</v>
      </c>
      <c r="B3186" s="1" t="s">
        <v>10205</v>
      </c>
      <c r="D3186" s="1" t="s">
        <v>10206</v>
      </c>
      <c r="E3186" s="1" t="s">
        <v>209</v>
      </c>
      <c r="F3186" s="1" t="s">
        <v>5017</v>
      </c>
      <c r="G3186" s="1" t="s">
        <v>5018</v>
      </c>
      <c r="H3186" s="1">
        <v>0.1</v>
      </c>
      <c r="I3186" s="1">
        <v>0.1</v>
      </c>
      <c r="J3186" s="1">
        <v>0.43953203421048881</v>
      </c>
      <c r="K3186" s="1" t="s">
        <v>181</v>
      </c>
    </row>
    <row r="3187" spans="1:11" x14ac:dyDescent="0.25">
      <c r="A3187" s="1" t="s">
        <v>10207</v>
      </c>
      <c r="B3187" s="1" t="s">
        <v>10208</v>
      </c>
      <c r="D3187" s="1" t="s">
        <v>10209</v>
      </c>
      <c r="E3187" s="1" t="s">
        <v>209</v>
      </c>
      <c r="F3187" s="1" t="s">
        <v>5017</v>
      </c>
      <c r="G3187" s="1" t="s">
        <v>5018</v>
      </c>
      <c r="H3187" s="1">
        <v>0.1</v>
      </c>
      <c r="I3187" s="1">
        <v>0.1</v>
      </c>
      <c r="J3187" s="1">
        <v>0.65536958107903531</v>
      </c>
      <c r="K3187" s="1" t="s">
        <v>181</v>
      </c>
    </row>
    <row r="3188" spans="1:11" x14ac:dyDescent="0.25">
      <c r="A3188" s="1" t="s">
        <v>10210</v>
      </c>
      <c r="B3188" s="1" t="s">
        <v>10211</v>
      </c>
      <c r="D3188" s="1" t="s">
        <v>10212</v>
      </c>
      <c r="E3188" s="1" t="s">
        <v>209</v>
      </c>
      <c r="F3188" s="1" t="s">
        <v>5017</v>
      </c>
      <c r="G3188" s="1" t="s">
        <v>5018</v>
      </c>
      <c r="H3188" s="1">
        <v>0.1</v>
      </c>
      <c r="I3188" s="1">
        <v>0.1</v>
      </c>
      <c r="J3188" s="1">
        <v>0.7535955726956185</v>
      </c>
      <c r="K3188" s="1" t="s">
        <v>181</v>
      </c>
    </row>
    <row r="3189" spans="1:11" x14ac:dyDescent="0.25">
      <c r="A3189" s="1" t="s">
        <v>10213</v>
      </c>
      <c r="B3189" s="1" t="s">
        <v>10214</v>
      </c>
      <c r="D3189" s="1" t="s">
        <v>10215</v>
      </c>
      <c r="E3189" s="1" t="s">
        <v>209</v>
      </c>
      <c r="F3189" s="1" t="s">
        <v>5017</v>
      </c>
      <c r="G3189" s="1" t="s">
        <v>5018</v>
      </c>
      <c r="H3189" s="1">
        <v>0.1</v>
      </c>
      <c r="I3189" s="1">
        <v>0.1</v>
      </c>
      <c r="J3189" s="1">
        <v>0.71088813923028826</v>
      </c>
      <c r="K3189" s="1" t="s">
        <v>181</v>
      </c>
    </row>
    <row r="3190" spans="1:11" x14ac:dyDescent="0.25">
      <c r="A3190" s="1" t="s">
        <v>10216</v>
      </c>
      <c r="B3190" s="1" t="s">
        <v>10217</v>
      </c>
      <c r="D3190" s="1" t="s">
        <v>10218</v>
      </c>
      <c r="E3190" s="1" t="s">
        <v>209</v>
      </c>
      <c r="F3190" s="1" t="s">
        <v>5017</v>
      </c>
      <c r="G3190" s="1" t="s">
        <v>5018</v>
      </c>
      <c r="H3190" s="1">
        <v>0.1</v>
      </c>
      <c r="I3190" s="1">
        <v>0.1</v>
      </c>
      <c r="J3190" s="1">
        <v>0.64582717715585569</v>
      </c>
      <c r="K3190" s="1" t="s">
        <v>181</v>
      </c>
    </row>
    <row r="3191" spans="1:11" x14ac:dyDescent="0.25">
      <c r="A3191" s="1" t="s">
        <v>10219</v>
      </c>
      <c r="B3191" s="1" t="s">
        <v>10220</v>
      </c>
      <c r="D3191" s="1" t="s">
        <v>10221</v>
      </c>
      <c r="E3191" s="1" t="s">
        <v>209</v>
      </c>
      <c r="F3191" s="1" t="s">
        <v>5017</v>
      </c>
      <c r="G3191" s="1" t="s">
        <v>5018</v>
      </c>
      <c r="H3191" s="1">
        <v>0.1</v>
      </c>
      <c r="I3191" s="1">
        <v>0.1</v>
      </c>
      <c r="J3191" s="1">
        <v>0.6987940222400062</v>
      </c>
      <c r="K3191" s="1" t="s">
        <v>181</v>
      </c>
    </row>
    <row r="3192" spans="1:11" x14ac:dyDescent="0.25">
      <c r="A3192" s="1" t="s">
        <v>10222</v>
      </c>
      <c r="B3192" s="1" t="s">
        <v>10223</v>
      </c>
      <c r="D3192" s="1" t="s">
        <v>10224</v>
      </c>
      <c r="E3192" s="1" t="s">
        <v>209</v>
      </c>
      <c r="F3192" s="1" t="s">
        <v>5017</v>
      </c>
      <c r="G3192" s="1" t="s">
        <v>5018</v>
      </c>
      <c r="H3192" s="1">
        <v>0.1</v>
      </c>
      <c r="I3192" s="1">
        <v>0.1</v>
      </c>
      <c r="J3192" s="1">
        <v>0.63460971634155416</v>
      </c>
      <c r="K3192" s="1" t="s">
        <v>181</v>
      </c>
    </row>
    <row r="3193" spans="1:11" x14ac:dyDescent="0.25">
      <c r="A3193" s="1" t="s">
        <v>10225</v>
      </c>
      <c r="B3193" s="1" t="s">
        <v>10226</v>
      </c>
      <c r="D3193" s="1" t="s">
        <v>10227</v>
      </c>
      <c r="E3193" s="1" t="s">
        <v>209</v>
      </c>
      <c r="F3193" s="1" t="s">
        <v>5017</v>
      </c>
      <c r="G3193" s="1" t="s">
        <v>5018</v>
      </c>
      <c r="H3193" s="1">
        <v>0.1</v>
      </c>
      <c r="I3193" s="1">
        <v>0.1</v>
      </c>
      <c r="J3193" s="1">
        <v>0.56212145291573479</v>
      </c>
      <c r="K3193" s="1" t="s">
        <v>181</v>
      </c>
    </row>
    <row r="3194" spans="1:11" x14ac:dyDescent="0.25">
      <c r="A3194" s="1" t="s">
        <v>10228</v>
      </c>
      <c r="B3194" s="1" t="s">
        <v>10229</v>
      </c>
      <c r="D3194" s="1" t="s">
        <v>10230</v>
      </c>
      <c r="E3194" s="1" t="s">
        <v>209</v>
      </c>
      <c r="F3194" s="1" t="s">
        <v>5017</v>
      </c>
      <c r="G3194" s="1" t="s">
        <v>5018</v>
      </c>
      <c r="H3194" s="1">
        <v>0.1</v>
      </c>
      <c r="I3194" s="1">
        <v>0.1</v>
      </c>
      <c r="J3194" s="1">
        <v>0.64312908788557255</v>
      </c>
      <c r="K3194" s="1" t="s">
        <v>181</v>
      </c>
    </row>
    <row r="3195" spans="1:11" x14ac:dyDescent="0.25">
      <c r="A3195" s="1" t="s">
        <v>10231</v>
      </c>
      <c r="B3195" s="1" t="s">
        <v>10232</v>
      </c>
      <c r="D3195" s="1" t="s">
        <v>10233</v>
      </c>
      <c r="E3195" s="1" t="s">
        <v>209</v>
      </c>
      <c r="F3195" s="1" t="s">
        <v>5017</v>
      </c>
      <c r="G3195" s="1" t="s">
        <v>5018</v>
      </c>
      <c r="H3195" s="1">
        <v>0.1</v>
      </c>
      <c r="I3195" s="1">
        <v>0.1</v>
      </c>
      <c r="J3195" s="1">
        <v>0.54526967269646076</v>
      </c>
      <c r="K3195" s="1" t="s">
        <v>181</v>
      </c>
    </row>
    <row r="3196" spans="1:11" x14ac:dyDescent="0.25">
      <c r="A3196" s="1" t="s">
        <v>10234</v>
      </c>
      <c r="B3196" s="1" t="s">
        <v>10235</v>
      </c>
      <c r="D3196" s="1" t="s">
        <v>10236</v>
      </c>
      <c r="E3196" s="1" t="s">
        <v>209</v>
      </c>
      <c r="F3196" s="1" t="s">
        <v>5017</v>
      </c>
      <c r="G3196" s="1" t="s">
        <v>5018</v>
      </c>
      <c r="H3196" s="1">
        <v>0.1</v>
      </c>
      <c r="I3196" s="1">
        <v>0.1</v>
      </c>
      <c r="J3196" s="1">
        <v>0.39531606978877842</v>
      </c>
      <c r="K3196" s="1" t="s">
        <v>181</v>
      </c>
    </row>
    <row r="3197" spans="1:11" x14ac:dyDescent="0.25">
      <c r="A3197" s="1" t="s">
        <v>10237</v>
      </c>
      <c r="B3197" s="1" t="s">
        <v>10238</v>
      </c>
      <c r="D3197" s="1" t="s">
        <v>10239</v>
      </c>
      <c r="E3197" s="1" t="s">
        <v>209</v>
      </c>
      <c r="F3197" s="1" t="s">
        <v>5017</v>
      </c>
      <c r="G3197" s="1" t="s">
        <v>5018</v>
      </c>
      <c r="H3197" s="1">
        <v>0.1</v>
      </c>
      <c r="I3197" s="1">
        <v>0.1</v>
      </c>
      <c r="J3197" s="1">
        <v>0.46770483737674101</v>
      </c>
      <c r="K3197" s="1" t="s">
        <v>181</v>
      </c>
    </row>
    <row r="3198" spans="1:11" x14ac:dyDescent="0.25">
      <c r="A3198" s="1" t="s">
        <v>10240</v>
      </c>
      <c r="B3198" s="1" t="s">
        <v>10241</v>
      </c>
      <c r="D3198" s="1" t="s">
        <v>10242</v>
      </c>
      <c r="E3198" s="1" t="s">
        <v>209</v>
      </c>
      <c r="F3198" s="1" t="s">
        <v>5017</v>
      </c>
      <c r="G3198" s="1" t="s">
        <v>5018</v>
      </c>
      <c r="H3198" s="1">
        <v>0.1</v>
      </c>
      <c r="I3198" s="1">
        <v>0.1</v>
      </c>
      <c r="J3198" s="1">
        <v>0.45585952981367839</v>
      </c>
      <c r="K3198" s="1" t="s">
        <v>181</v>
      </c>
    </row>
    <row r="3199" spans="1:11" x14ac:dyDescent="0.25">
      <c r="A3199" s="1" t="s">
        <v>10243</v>
      </c>
      <c r="B3199" s="1" t="s">
        <v>10244</v>
      </c>
      <c r="D3199" s="1" t="s">
        <v>10245</v>
      </c>
      <c r="E3199" s="1" t="s">
        <v>209</v>
      </c>
      <c r="F3199" s="1" t="s">
        <v>5017</v>
      </c>
      <c r="G3199" s="1" t="s">
        <v>5018</v>
      </c>
      <c r="H3199" s="1">
        <v>0.1</v>
      </c>
      <c r="I3199" s="1">
        <v>0.1</v>
      </c>
      <c r="J3199" s="1">
        <v>0.53970952562139884</v>
      </c>
      <c r="K3199" s="1" t="s">
        <v>181</v>
      </c>
    </row>
    <row r="3200" spans="1:11" x14ac:dyDescent="0.25">
      <c r="A3200" s="1" t="s">
        <v>10246</v>
      </c>
      <c r="B3200" s="1" t="s">
        <v>10247</v>
      </c>
      <c r="D3200" s="1" t="s">
        <v>10248</v>
      </c>
      <c r="E3200" s="1" t="s">
        <v>209</v>
      </c>
      <c r="F3200" s="1" t="s">
        <v>5017</v>
      </c>
      <c r="G3200" s="1" t="s">
        <v>5018</v>
      </c>
      <c r="H3200" s="1">
        <v>0.1</v>
      </c>
      <c r="I3200" s="1">
        <v>0.1</v>
      </c>
      <c r="J3200" s="1">
        <v>0.7568907294558741</v>
      </c>
      <c r="K3200" s="1" t="s">
        <v>181</v>
      </c>
    </row>
    <row r="3201" spans="1:11" x14ac:dyDescent="0.25">
      <c r="A3201" s="1" t="s">
        <v>10249</v>
      </c>
      <c r="B3201" s="1" t="s">
        <v>10250</v>
      </c>
      <c r="D3201" s="1" t="s">
        <v>10251</v>
      </c>
      <c r="E3201" s="1" t="s">
        <v>209</v>
      </c>
      <c r="F3201" s="1" t="s">
        <v>5017</v>
      </c>
      <c r="G3201" s="1" t="s">
        <v>5018</v>
      </c>
      <c r="H3201" s="1">
        <v>0.1</v>
      </c>
      <c r="I3201" s="1">
        <v>0.1</v>
      </c>
      <c r="J3201" s="1">
        <v>0.40858742426104377</v>
      </c>
      <c r="K3201" s="1" t="s">
        <v>181</v>
      </c>
    </row>
    <row r="3202" spans="1:11" x14ac:dyDescent="0.25">
      <c r="A3202" s="1" t="s">
        <v>10252</v>
      </c>
      <c r="B3202" s="1" t="s">
        <v>10253</v>
      </c>
      <c r="D3202" s="1" t="s">
        <v>10254</v>
      </c>
      <c r="E3202" s="1" t="s">
        <v>209</v>
      </c>
      <c r="F3202" s="1" t="s">
        <v>5017</v>
      </c>
      <c r="G3202" s="1" t="s">
        <v>5018</v>
      </c>
      <c r="H3202" s="1">
        <v>0.1</v>
      </c>
      <c r="I3202" s="1">
        <v>0.1</v>
      </c>
      <c r="J3202" s="1">
        <v>0.8301152723285069</v>
      </c>
      <c r="K3202" s="1" t="s">
        <v>181</v>
      </c>
    </row>
    <row r="3203" spans="1:11" x14ac:dyDescent="0.25">
      <c r="A3203" s="1" t="s">
        <v>10255</v>
      </c>
      <c r="B3203" s="1" t="s">
        <v>10256</v>
      </c>
      <c r="D3203" s="1" t="s">
        <v>10257</v>
      </c>
      <c r="E3203" s="1" t="s">
        <v>209</v>
      </c>
      <c r="F3203" s="1" t="s">
        <v>5017</v>
      </c>
      <c r="G3203" s="1" t="s">
        <v>5018</v>
      </c>
      <c r="H3203" s="1">
        <v>0.1</v>
      </c>
      <c r="I3203" s="1">
        <v>0.1</v>
      </c>
      <c r="J3203" s="1">
        <v>0.85951037872371339</v>
      </c>
      <c r="K3203" s="1" t="s">
        <v>181</v>
      </c>
    </row>
    <row r="3204" spans="1:11" x14ac:dyDescent="0.25">
      <c r="A3204" s="1" t="s">
        <v>10258</v>
      </c>
      <c r="B3204" s="1" t="s">
        <v>10259</v>
      </c>
      <c r="D3204" s="1" t="s">
        <v>10260</v>
      </c>
      <c r="E3204" s="1" t="s">
        <v>209</v>
      </c>
      <c r="F3204" s="1" t="s">
        <v>5017</v>
      </c>
      <c r="G3204" s="1" t="s">
        <v>5018</v>
      </c>
      <c r="H3204" s="1">
        <v>0.1</v>
      </c>
      <c r="I3204" s="1">
        <v>0.1</v>
      </c>
      <c r="J3204" s="1">
        <v>0.74174414789675225</v>
      </c>
      <c r="K3204" s="1" t="s">
        <v>181</v>
      </c>
    </row>
    <row r="3205" spans="1:11" x14ac:dyDescent="0.25">
      <c r="A3205" s="1" t="s">
        <v>10261</v>
      </c>
      <c r="B3205" s="1" t="s">
        <v>10262</v>
      </c>
      <c r="D3205" s="1" t="s">
        <v>10263</v>
      </c>
      <c r="E3205" s="1" t="s">
        <v>209</v>
      </c>
      <c r="F3205" s="1" t="s">
        <v>5017</v>
      </c>
      <c r="G3205" s="1" t="s">
        <v>5018</v>
      </c>
      <c r="H3205" s="1">
        <v>0.1</v>
      </c>
      <c r="I3205" s="1">
        <v>0.1</v>
      </c>
      <c r="J3205" s="1">
        <v>0.46913784327382513</v>
      </c>
      <c r="K3205" s="1" t="s">
        <v>181</v>
      </c>
    </row>
    <row r="3206" spans="1:11" x14ac:dyDescent="0.25">
      <c r="A3206" s="1" t="s">
        <v>10264</v>
      </c>
      <c r="B3206" s="1" t="s">
        <v>10265</v>
      </c>
      <c r="D3206" s="1" t="s">
        <v>10266</v>
      </c>
      <c r="E3206" s="1" t="s">
        <v>209</v>
      </c>
      <c r="F3206" s="1" t="s">
        <v>5017</v>
      </c>
      <c r="G3206" s="1" t="s">
        <v>5018</v>
      </c>
      <c r="H3206" s="1">
        <v>0.1</v>
      </c>
      <c r="I3206" s="1">
        <v>0.1</v>
      </c>
      <c r="J3206" s="1">
        <v>0.79294698519576867</v>
      </c>
      <c r="K3206" s="1" t="s">
        <v>181</v>
      </c>
    </row>
    <row r="3207" spans="1:11" x14ac:dyDescent="0.25">
      <c r="A3207" s="1" t="s">
        <v>10267</v>
      </c>
      <c r="B3207" s="1" t="s">
        <v>10268</v>
      </c>
      <c r="D3207" s="1" t="s">
        <v>10269</v>
      </c>
      <c r="E3207" s="1" t="s">
        <v>209</v>
      </c>
      <c r="F3207" s="1" t="s">
        <v>5017</v>
      </c>
      <c r="G3207" s="1" t="s">
        <v>5018</v>
      </c>
      <c r="H3207" s="1">
        <v>0.1</v>
      </c>
      <c r="I3207" s="1">
        <v>0.1</v>
      </c>
      <c r="J3207" s="1">
        <v>0.64937768299380272</v>
      </c>
      <c r="K3207" s="1" t="s">
        <v>181</v>
      </c>
    </row>
    <row r="3208" spans="1:11" x14ac:dyDescent="0.25">
      <c r="A3208" s="1" t="s">
        <v>10270</v>
      </c>
      <c r="B3208" s="1" t="s">
        <v>10271</v>
      </c>
      <c r="D3208" s="1" t="s">
        <v>10272</v>
      </c>
      <c r="E3208" s="1" t="s">
        <v>209</v>
      </c>
      <c r="F3208" s="1" t="s">
        <v>5017</v>
      </c>
      <c r="G3208" s="1" t="s">
        <v>5018</v>
      </c>
      <c r="H3208" s="1">
        <v>0.1</v>
      </c>
      <c r="I3208" s="1">
        <v>0.1</v>
      </c>
      <c r="J3208" s="1">
        <v>0.52306006151231577</v>
      </c>
      <c r="K3208" s="1" t="s">
        <v>181</v>
      </c>
    </row>
    <row r="3209" spans="1:11" x14ac:dyDescent="0.25">
      <c r="A3209" s="1" t="s">
        <v>10273</v>
      </c>
      <c r="B3209" s="1" t="s">
        <v>10274</v>
      </c>
      <c r="D3209" s="1" t="s">
        <v>10275</v>
      </c>
      <c r="E3209" s="1" t="s">
        <v>209</v>
      </c>
      <c r="F3209" s="1" t="s">
        <v>5017</v>
      </c>
      <c r="G3209" s="1" t="s">
        <v>5018</v>
      </c>
      <c r="H3209" s="1">
        <v>0.1</v>
      </c>
      <c r="I3209" s="1">
        <v>0.1</v>
      </c>
      <c r="J3209" s="1">
        <v>0.78176709270570788</v>
      </c>
      <c r="K3209" s="1" t="s">
        <v>181</v>
      </c>
    </row>
    <row r="3210" spans="1:11" x14ac:dyDescent="0.25">
      <c r="A3210" s="1" t="s">
        <v>10276</v>
      </c>
      <c r="B3210" s="1" t="s">
        <v>10277</v>
      </c>
      <c r="D3210" s="1" t="s">
        <v>10278</v>
      </c>
      <c r="E3210" s="1" t="s">
        <v>209</v>
      </c>
      <c r="F3210" s="1" t="s">
        <v>5017</v>
      </c>
      <c r="G3210" s="1" t="s">
        <v>5018</v>
      </c>
      <c r="H3210" s="1">
        <v>0.1</v>
      </c>
      <c r="I3210" s="1">
        <v>0.1</v>
      </c>
      <c r="J3210" s="1">
        <v>0.79704088939301188</v>
      </c>
      <c r="K3210" s="1" t="s">
        <v>181</v>
      </c>
    </row>
    <row r="3211" spans="1:11" x14ac:dyDescent="0.25">
      <c r="A3211" s="1" t="s">
        <v>10279</v>
      </c>
      <c r="B3211" s="1" t="s">
        <v>10280</v>
      </c>
      <c r="D3211" s="1" t="s">
        <v>10281</v>
      </c>
      <c r="E3211" s="1" t="s">
        <v>209</v>
      </c>
      <c r="F3211" s="1" t="s">
        <v>5017</v>
      </c>
      <c r="G3211" s="1" t="s">
        <v>5018</v>
      </c>
      <c r="H3211" s="1">
        <v>0.1</v>
      </c>
      <c r="I3211" s="1">
        <v>0.1</v>
      </c>
      <c r="J3211" s="1">
        <v>0.55578455433384277</v>
      </c>
      <c r="K3211" s="1" t="s">
        <v>181</v>
      </c>
    </row>
    <row r="3212" spans="1:11" x14ac:dyDescent="0.25">
      <c r="A3212" s="1" t="s">
        <v>10282</v>
      </c>
      <c r="B3212" s="1" t="s">
        <v>10283</v>
      </c>
      <c r="D3212" s="1" t="s">
        <v>10284</v>
      </c>
      <c r="E3212" s="1" t="s">
        <v>209</v>
      </c>
      <c r="F3212" s="1" t="s">
        <v>5017</v>
      </c>
      <c r="G3212" s="1" t="s">
        <v>5018</v>
      </c>
      <c r="H3212" s="1">
        <v>0.1</v>
      </c>
      <c r="I3212" s="1">
        <v>0.1</v>
      </c>
      <c r="J3212" s="1">
        <v>0.74220355762693035</v>
      </c>
      <c r="K3212" s="1" t="s">
        <v>181</v>
      </c>
    </row>
    <row r="3213" spans="1:11" x14ac:dyDescent="0.25">
      <c r="A3213" s="1" t="s">
        <v>10285</v>
      </c>
      <c r="B3213" s="1" t="s">
        <v>10286</v>
      </c>
      <c r="D3213" s="1" t="s">
        <v>10287</v>
      </c>
      <c r="E3213" s="1" t="s">
        <v>209</v>
      </c>
      <c r="F3213" s="1" t="s">
        <v>5017</v>
      </c>
      <c r="G3213" s="1" t="s">
        <v>5018</v>
      </c>
      <c r="H3213" s="1">
        <v>0.1</v>
      </c>
      <c r="I3213" s="1">
        <v>0.1</v>
      </c>
      <c r="J3213" s="1">
        <v>0.59255639463810961</v>
      </c>
      <c r="K3213" s="1" t="s">
        <v>181</v>
      </c>
    </row>
    <row r="3214" spans="1:11" x14ac:dyDescent="0.25">
      <c r="A3214" s="1" t="s">
        <v>10288</v>
      </c>
      <c r="B3214" s="1" t="s">
        <v>10289</v>
      </c>
      <c r="D3214" s="1" t="s">
        <v>10290</v>
      </c>
      <c r="E3214" s="1" t="s">
        <v>209</v>
      </c>
      <c r="F3214" s="1" t="s">
        <v>5017</v>
      </c>
      <c r="G3214" s="1" t="s">
        <v>5018</v>
      </c>
      <c r="H3214" s="1">
        <v>0.1</v>
      </c>
      <c r="I3214" s="1">
        <v>0.1</v>
      </c>
      <c r="J3214" s="1">
        <v>0.79586132742238558</v>
      </c>
      <c r="K3214" s="1" t="s">
        <v>181</v>
      </c>
    </row>
    <row r="3215" spans="1:11" x14ac:dyDescent="0.25">
      <c r="A3215" s="1" t="s">
        <v>10291</v>
      </c>
      <c r="B3215" s="1" t="s">
        <v>10292</v>
      </c>
      <c r="D3215" s="1" t="s">
        <v>10293</v>
      </c>
      <c r="E3215" s="1" t="s">
        <v>209</v>
      </c>
      <c r="F3215" s="1" t="s">
        <v>5017</v>
      </c>
      <c r="G3215" s="1" t="s">
        <v>5018</v>
      </c>
      <c r="H3215" s="1">
        <v>0.1</v>
      </c>
      <c r="I3215" s="1">
        <v>0.1</v>
      </c>
      <c r="J3215" s="1">
        <v>0.79507117216224477</v>
      </c>
      <c r="K3215" s="1" t="s">
        <v>181</v>
      </c>
    </row>
    <row r="3216" spans="1:11" x14ac:dyDescent="0.25">
      <c r="A3216" s="1" t="s">
        <v>10294</v>
      </c>
      <c r="B3216" s="1" t="s">
        <v>10295</v>
      </c>
      <c r="D3216" s="1" t="s">
        <v>10296</v>
      </c>
      <c r="E3216" s="1" t="s">
        <v>209</v>
      </c>
      <c r="F3216" s="1" t="s">
        <v>5017</v>
      </c>
      <c r="G3216" s="1" t="s">
        <v>5018</v>
      </c>
      <c r="H3216" s="1">
        <v>0.1</v>
      </c>
      <c r="I3216" s="1">
        <v>0.1</v>
      </c>
      <c r="J3216" s="1">
        <v>0.55108295743081703</v>
      </c>
      <c r="K3216" s="1" t="s">
        <v>181</v>
      </c>
    </row>
    <row r="3217" spans="1:11" x14ac:dyDescent="0.25">
      <c r="A3217" s="1" t="s">
        <v>10297</v>
      </c>
      <c r="B3217" s="1" t="s">
        <v>10298</v>
      </c>
      <c r="D3217" s="1" t="s">
        <v>10299</v>
      </c>
      <c r="E3217" s="1" t="s">
        <v>209</v>
      </c>
      <c r="F3217" s="1" t="s">
        <v>5017</v>
      </c>
      <c r="G3217" s="1" t="s">
        <v>5018</v>
      </c>
      <c r="H3217" s="1">
        <v>0.1</v>
      </c>
      <c r="I3217" s="1">
        <v>0.1</v>
      </c>
      <c r="J3217" s="1">
        <v>0.8608257221337412</v>
      </c>
      <c r="K3217" s="1" t="s">
        <v>181</v>
      </c>
    </row>
    <row r="3218" spans="1:11" x14ac:dyDescent="0.25">
      <c r="A3218" s="1" t="s">
        <v>10300</v>
      </c>
      <c r="B3218" s="1" t="s">
        <v>10301</v>
      </c>
      <c r="D3218" s="1" t="s">
        <v>10302</v>
      </c>
      <c r="E3218" s="1" t="s">
        <v>209</v>
      </c>
      <c r="F3218" s="1" t="s">
        <v>5017</v>
      </c>
      <c r="G3218" s="1" t="s">
        <v>5018</v>
      </c>
      <c r="H3218" s="1">
        <v>0.1</v>
      </c>
      <c r="I3218" s="1">
        <v>0.1</v>
      </c>
      <c r="J3218" s="1">
        <v>0.50772809451343559</v>
      </c>
      <c r="K3218" s="1" t="s">
        <v>181</v>
      </c>
    </row>
    <row r="3219" spans="1:11" x14ac:dyDescent="0.25">
      <c r="A3219" s="1" t="s">
        <v>10303</v>
      </c>
      <c r="B3219" s="1" t="s">
        <v>10304</v>
      </c>
      <c r="D3219" s="1" t="s">
        <v>10305</v>
      </c>
      <c r="E3219" s="1" t="s">
        <v>209</v>
      </c>
      <c r="F3219" s="1" t="s">
        <v>5017</v>
      </c>
      <c r="G3219" s="1" t="s">
        <v>5018</v>
      </c>
      <c r="H3219" s="1">
        <v>0.1</v>
      </c>
      <c r="I3219" s="1">
        <v>0.1</v>
      </c>
      <c r="J3219" s="1">
        <v>0.68673846253116777</v>
      </c>
      <c r="K3219" s="1" t="s">
        <v>181</v>
      </c>
    </row>
    <row r="3220" spans="1:11" x14ac:dyDescent="0.25">
      <c r="A3220" s="1" t="s">
        <v>10306</v>
      </c>
      <c r="B3220" s="1" t="s">
        <v>10307</v>
      </c>
      <c r="D3220" s="1" t="s">
        <v>10308</v>
      </c>
      <c r="E3220" s="1" t="s">
        <v>209</v>
      </c>
      <c r="F3220" s="1" t="s">
        <v>5017</v>
      </c>
      <c r="G3220" s="1" t="s">
        <v>5018</v>
      </c>
      <c r="H3220" s="1">
        <v>0.1</v>
      </c>
      <c r="I3220" s="1">
        <v>0.1</v>
      </c>
      <c r="J3220" s="1">
        <v>0.72689299092236959</v>
      </c>
      <c r="K3220" s="1" t="s">
        <v>181</v>
      </c>
    </row>
    <row r="3221" spans="1:11" x14ac:dyDescent="0.25">
      <c r="A3221" s="1" t="s">
        <v>10309</v>
      </c>
      <c r="B3221" s="1" t="s">
        <v>10310</v>
      </c>
      <c r="D3221" s="1" t="s">
        <v>10311</v>
      </c>
      <c r="E3221" s="1" t="s">
        <v>209</v>
      </c>
      <c r="F3221" s="1" t="s">
        <v>5017</v>
      </c>
      <c r="G3221" s="1" t="s">
        <v>5018</v>
      </c>
      <c r="H3221" s="1">
        <v>0.1</v>
      </c>
      <c r="I3221" s="1">
        <v>0.1</v>
      </c>
      <c r="J3221" s="1">
        <v>0.70587941829739154</v>
      </c>
      <c r="K3221" s="1" t="s">
        <v>181</v>
      </c>
    </row>
    <row r="3222" spans="1:11" x14ac:dyDescent="0.25">
      <c r="A3222" s="1" t="s">
        <v>10312</v>
      </c>
      <c r="B3222" s="1" t="s">
        <v>10313</v>
      </c>
      <c r="D3222" s="1" t="s">
        <v>10314</v>
      </c>
      <c r="E3222" s="1" t="s">
        <v>209</v>
      </c>
      <c r="F3222" s="1" t="s">
        <v>5017</v>
      </c>
      <c r="G3222" s="1" t="s">
        <v>5018</v>
      </c>
      <c r="H3222" s="1">
        <v>0.1</v>
      </c>
      <c r="I3222" s="1">
        <v>0.1</v>
      </c>
      <c r="J3222" s="1">
        <v>0.44551916369013544</v>
      </c>
      <c r="K3222" s="1" t="s">
        <v>181</v>
      </c>
    </row>
    <row r="3223" spans="1:11" x14ac:dyDescent="0.25">
      <c r="A3223" s="1" t="s">
        <v>10315</v>
      </c>
      <c r="B3223" s="1" t="s">
        <v>10316</v>
      </c>
      <c r="D3223" s="1" t="s">
        <v>10317</v>
      </c>
      <c r="E3223" s="1" t="s">
        <v>209</v>
      </c>
      <c r="F3223" s="1" t="s">
        <v>5017</v>
      </c>
      <c r="G3223" s="1" t="s">
        <v>5018</v>
      </c>
      <c r="H3223" s="1">
        <v>0.1</v>
      </c>
      <c r="I3223" s="1">
        <v>0.1</v>
      </c>
      <c r="J3223" s="1">
        <v>0.5258037976219242</v>
      </c>
      <c r="K3223" s="1" t="s">
        <v>181</v>
      </c>
    </row>
    <row r="3224" spans="1:11" x14ac:dyDescent="0.25">
      <c r="A3224" s="1" t="s">
        <v>10318</v>
      </c>
      <c r="B3224" s="1" t="s">
        <v>10319</v>
      </c>
      <c r="D3224" s="1" t="s">
        <v>10320</v>
      </c>
      <c r="E3224" s="1" t="s">
        <v>209</v>
      </c>
      <c r="F3224" s="1" t="s">
        <v>5017</v>
      </c>
      <c r="G3224" s="1" t="s">
        <v>5018</v>
      </c>
      <c r="H3224" s="1">
        <v>0.1</v>
      </c>
      <c r="I3224" s="1">
        <v>0.1</v>
      </c>
      <c r="J3224" s="1">
        <v>0.71920548834403752</v>
      </c>
      <c r="K3224" s="1" t="s">
        <v>181</v>
      </c>
    </row>
    <row r="3225" spans="1:11" x14ac:dyDescent="0.25">
      <c r="A3225" s="1" t="s">
        <v>10321</v>
      </c>
      <c r="B3225" s="1" t="s">
        <v>10322</v>
      </c>
      <c r="D3225" s="1" t="s">
        <v>10323</v>
      </c>
      <c r="E3225" s="1" t="s">
        <v>209</v>
      </c>
      <c r="F3225" s="1" t="s">
        <v>5017</v>
      </c>
      <c r="G3225" s="1" t="s">
        <v>5018</v>
      </c>
      <c r="H3225" s="1">
        <v>0.1</v>
      </c>
      <c r="I3225" s="1">
        <v>0.1</v>
      </c>
      <c r="J3225" s="1">
        <v>0.37242215609150203</v>
      </c>
      <c r="K3225" s="1" t="s">
        <v>181</v>
      </c>
    </row>
    <row r="3226" spans="1:11" x14ac:dyDescent="0.25">
      <c r="A3226" s="1" t="s">
        <v>10324</v>
      </c>
      <c r="B3226" s="1" t="s">
        <v>10325</v>
      </c>
      <c r="D3226" s="1" t="s">
        <v>10326</v>
      </c>
      <c r="E3226" s="1" t="s">
        <v>209</v>
      </c>
      <c r="F3226" s="1" t="s">
        <v>5017</v>
      </c>
      <c r="G3226" s="1" t="s">
        <v>5018</v>
      </c>
      <c r="H3226" s="1">
        <v>0.1</v>
      </c>
      <c r="I3226" s="1">
        <v>0.1</v>
      </c>
      <c r="J3226" s="1">
        <v>0.68039486056358944</v>
      </c>
      <c r="K3226" s="1" t="s">
        <v>181</v>
      </c>
    </row>
    <row r="3227" spans="1:11" x14ac:dyDescent="0.25">
      <c r="A3227" s="1" t="s">
        <v>10327</v>
      </c>
      <c r="B3227" s="1" t="s">
        <v>10328</v>
      </c>
      <c r="D3227" s="1" t="s">
        <v>10329</v>
      </c>
      <c r="E3227" s="1" t="s">
        <v>209</v>
      </c>
      <c r="F3227" s="1" t="s">
        <v>5017</v>
      </c>
      <c r="G3227" s="1" t="s">
        <v>5018</v>
      </c>
      <c r="H3227" s="1">
        <v>0.1</v>
      </c>
      <c r="I3227" s="1">
        <v>0.1</v>
      </c>
      <c r="J3227" s="1">
        <v>0.60782314666401038</v>
      </c>
      <c r="K3227" s="1" t="s">
        <v>181</v>
      </c>
    </row>
    <row r="3228" spans="1:11" x14ac:dyDescent="0.25">
      <c r="A3228" s="1" t="s">
        <v>10330</v>
      </c>
      <c r="B3228" s="1" t="s">
        <v>10331</v>
      </c>
      <c r="D3228" s="1" t="s">
        <v>10332</v>
      </c>
      <c r="E3228" s="1" t="s">
        <v>209</v>
      </c>
      <c r="F3228" s="1" t="s">
        <v>5017</v>
      </c>
      <c r="G3228" s="1" t="s">
        <v>5018</v>
      </c>
      <c r="H3228" s="1">
        <v>0.1</v>
      </c>
      <c r="I3228" s="1">
        <v>0.1</v>
      </c>
      <c r="J3228" s="1">
        <v>0.49315087522875262</v>
      </c>
      <c r="K3228" s="1" t="s">
        <v>181</v>
      </c>
    </row>
    <row r="3229" spans="1:11" x14ac:dyDescent="0.25">
      <c r="A3229" s="1" t="s">
        <v>10333</v>
      </c>
      <c r="B3229" s="1" t="s">
        <v>10334</v>
      </c>
      <c r="D3229" s="1" t="s">
        <v>10335</v>
      </c>
      <c r="E3229" s="1" t="s">
        <v>209</v>
      </c>
      <c r="F3229" s="1" t="s">
        <v>5017</v>
      </c>
      <c r="G3229" s="1" t="s">
        <v>5018</v>
      </c>
      <c r="H3229" s="1">
        <v>0.1</v>
      </c>
      <c r="I3229" s="1">
        <v>0.1</v>
      </c>
      <c r="J3229" s="1">
        <v>0.73789717449662984</v>
      </c>
      <c r="K3229" s="1" t="s">
        <v>181</v>
      </c>
    </row>
    <row r="3230" spans="1:11" x14ac:dyDescent="0.25">
      <c r="A3230" s="1" t="s">
        <v>10336</v>
      </c>
      <c r="B3230" s="1" t="s">
        <v>10337</v>
      </c>
      <c r="D3230" s="1" t="s">
        <v>10338</v>
      </c>
      <c r="E3230" s="1" t="s">
        <v>209</v>
      </c>
      <c r="F3230" s="1" t="s">
        <v>5017</v>
      </c>
      <c r="G3230" s="1" t="s">
        <v>5018</v>
      </c>
      <c r="H3230" s="1">
        <v>0.1</v>
      </c>
      <c r="I3230" s="1">
        <v>0.1</v>
      </c>
      <c r="J3230" s="1">
        <v>0.92865002124064566</v>
      </c>
      <c r="K3230" s="1" t="s">
        <v>181</v>
      </c>
    </row>
    <row r="3231" spans="1:11" x14ac:dyDescent="0.25">
      <c r="A3231" s="1" t="s">
        <v>10339</v>
      </c>
      <c r="B3231" s="1" t="s">
        <v>10340</v>
      </c>
      <c r="D3231" s="1" t="s">
        <v>10341</v>
      </c>
      <c r="E3231" s="1" t="s">
        <v>209</v>
      </c>
      <c r="F3231" s="1" t="s">
        <v>5017</v>
      </c>
      <c r="G3231" s="1" t="s">
        <v>5018</v>
      </c>
      <c r="H3231" s="1">
        <v>0.1</v>
      </c>
      <c r="I3231" s="1">
        <v>0.1</v>
      </c>
      <c r="J3231" s="1">
        <v>0.64763262065236715</v>
      </c>
      <c r="K3231" s="1" t="s">
        <v>181</v>
      </c>
    </row>
    <row r="3232" spans="1:11" x14ac:dyDescent="0.25">
      <c r="A3232" s="1" t="s">
        <v>10342</v>
      </c>
      <c r="B3232" s="1" t="s">
        <v>10343</v>
      </c>
      <c r="D3232" s="1" t="s">
        <v>10344</v>
      </c>
      <c r="E3232" s="1" t="s">
        <v>209</v>
      </c>
      <c r="F3232" s="1" t="s">
        <v>5017</v>
      </c>
      <c r="G3232" s="1" t="s">
        <v>5018</v>
      </c>
      <c r="H3232" s="1">
        <v>0.1</v>
      </c>
      <c r="I3232" s="1">
        <v>0.1</v>
      </c>
      <c r="J3232" s="1">
        <v>0.95292644112162184</v>
      </c>
      <c r="K3232" s="1" t="s">
        <v>181</v>
      </c>
    </row>
    <row r="3233" spans="1:11" x14ac:dyDescent="0.25">
      <c r="A3233" s="1" t="s">
        <v>10345</v>
      </c>
      <c r="B3233" s="1" t="s">
        <v>10346</v>
      </c>
      <c r="D3233" s="1" t="s">
        <v>10347</v>
      </c>
      <c r="E3233" s="1" t="s">
        <v>209</v>
      </c>
      <c r="F3233" s="1" t="s">
        <v>5017</v>
      </c>
      <c r="G3233" s="1" t="s">
        <v>5018</v>
      </c>
      <c r="H3233" s="1">
        <v>0.1</v>
      </c>
      <c r="I3233" s="1">
        <v>0.1</v>
      </c>
      <c r="J3233" s="1">
        <v>0.95822937785096773</v>
      </c>
      <c r="K3233" s="1" t="s">
        <v>181</v>
      </c>
    </row>
    <row r="3234" spans="1:11" x14ac:dyDescent="0.25">
      <c r="A3234" s="1" t="s">
        <v>10348</v>
      </c>
      <c r="B3234" s="1" t="s">
        <v>10349</v>
      </c>
      <c r="D3234" s="1" t="s">
        <v>10350</v>
      </c>
      <c r="E3234" s="1" t="s">
        <v>209</v>
      </c>
      <c r="F3234" s="1" t="s">
        <v>5017</v>
      </c>
      <c r="G3234" s="1" t="s">
        <v>5018</v>
      </c>
      <c r="H3234" s="1">
        <v>0.1</v>
      </c>
      <c r="I3234" s="1">
        <v>0.1</v>
      </c>
      <c r="J3234" s="1">
        <v>0.4675927862386568</v>
      </c>
      <c r="K3234" s="1" t="s">
        <v>181</v>
      </c>
    </row>
    <row r="3235" spans="1:11" x14ac:dyDescent="0.25">
      <c r="A3235" s="1" t="s">
        <v>10351</v>
      </c>
      <c r="B3235" s="1" t="s">
        <v>10352</v>
      </c>
      <c r="D3235" s="1" t="s">
        <v>10353</v>
      </c>
      <c r="E3235" s="1" t="s">
        <v>209</v>
      </c>
      <c r="F3235" s="1" t="s">
        <v>5017</v>
      </c>
      <c r="G3235" s="1" t="s">
        <v>5018</v>
      </c>
      <c r="H3235" s="1">
        <v>0.1</v>
      </c>
      <c r="I3235" s="1">
        <v>0.1</v>
      </c>
      <c r="J3235" s="1">
        <v>0.38876173459668273</v>
      </c>
      <c r="K3235" s="1" t="s">
        <v>181</v>
      </c>
    </row>
    <row r="3236" spans="1:11" x14ac:dyDescent="0.25">
      <c r="A3236" s="1" t="s">
        <v>10354</v>
      </c>
      <c r="B3236" s="1" t="s">
        <v>10355</v>
      </c>
      <c r="D3236" s="1" t="s">
        <v>10356</v>
      </c>
      <c r="E3236" s="1" t="s">
        <v>209</v>
      </c>
      <c r="F3236" s="1" t="s">
        <v>5017</v>
      </c>
      <c r="G3236" s="1" t="s">
        <v>5018</v>
      </c>
      <c r="H3236" s="1">
        <v>0.1</v>
      </c>
      <c r="I3236" s="1">
        <v>0.1</v>
      </c>
      <c r="J3236" s="1">
        <v>0.5024721654582649</v>
      </c>
      <c r="K3236" s="1" t="s">
        <v>181</v>
      </c>
    </row>
    <row r="3237" spans="1:11" x14ac:dyDescent="0.25">
      <c r="A3237" s="1" t="s">
        <v>10357</v>
      </c>
      <c r="B3237" s="1" t="s">
        <v>10358</v>
      </c>
      <c r="D3237" s="1" t="s">
        <v>10359</v>
      </c>
      <c r="E3237" s="1" t="s">
        <v>209</v>
      </c>
      <c r="F3237" s="1" t="s">
        <v>5017</v>
      </c>
      <c r="G3237" s="1" t="s">
        <v>5018</v>
      </c>
      <c r="H3237" s="1">
        <v>0.1</v>
      </c>
      <c r="I3237" s="1">
        <v>0.1</v>
      </c>
      <c r="J3237" s="1">
        <v>1.1584764977249555</v>
      </c>
      <c r="K3237" s="1" t="s">
        <v>181</v>
      </c>
    </row>
    <row r="3238" spans="1:11" x14ac:dyDescent="0.25">
      <c r="A3238" s="1" t="s">
        <v>106</v>
      </c>
      <c r="B3238" s="1" t="s">
        <v>10360</v>
      </c>
      <c r="D3238" s="1" t="s">
        <v>10361</v>
      </c>
      <c r="E3238" s="1" t="s">
        <v>209</v>
      </c>
      <c r="F3238" s="1" t="s">
        <v>5017</v>
      </c>
      <c r="G3238" s="1" t="s">
        <v>5018</v>
      </c>
      <c r="H3238" s="1">
        <v>0.1</v>
      </c>
      <c r="I3238" s="1">
        <v>0.1</v>
      </c>
      <c r="J3238" s="1">
        <v>0.60041917359136232</v>
      </c>
      <c r="K3238" s="1" t="s">
        <v>181</v>
      </c>
    </row>
    <row r="3239" spans="1:11" x14ac:dyDescent="0.25">
      <c r="A3239" s="1" t="s">
        <v>10362</v>
      </c>
      <c r="B3239" s="1" t="s">
        <v>10363</v>
      </c>
      <c r="D3239" s="1" t="s">
        <v>10364</v>
      </c>
      <c r="E3239" s="1" t="s">
        <v>209</v>
      </c>
      <c r="F3239" s="1" t="s">
        <v>5017</v>
      </c>
      <c r="G3239" s="1" t="s">
        <v>5018</v>
      </c>
      <c r="H3239" s="1">
        <v>0.1</v>
      </c>
      <c r="I3239" s="1">
        <v>0.1</v>
      </c>
      <c r="J3239" s="1">
        <v>0.93932056238624118</v>
      </c>
      <c r="K3239" s="1" t="s">
        <v>181</v>
      </c>
    </row>
    <row r="3240" spans="1:11" x14ac:dyDescent="0.25">
      <c r="A3240" s="1" t="s">
        <v>10365</v>
      </c>
      <c r="B3240" s="1" t="s">
        <v>10366</v>
      </c>
      <c r="D3240" s="1" t="s">
        <v>10367</v>
      </c>
      <c r="E3240" s="1" t="s">
        <v>209</v>
      </c>
      <c r="F3240" s="1" t="s">
        <v>5017</v>
      </c>
      <c r="G3240" s="1" t="s">
        <v>5018</v>
      </c>
      <c r="H3240" s="1">
        <v>0.1</v>
      </c>
      <c r="I3240" s="1">
        <v>0.1</v>
      </c>
      <c r="J3240" s="1">
        <v>0.63744661976674111</v>
      </c>
      <c r="K3240" s="1" t="s">
        <v>181</v>
      </c>
    </row>
    <row r="3241" spans="1:11" x14ac:dyDescent="0.25">
      <c r="A3241" s="1" t="s">
        <v>146</v>
      </c>
      <c r="B3241" s="1" t="s">
        <v>10368</v>
      </c>
      <c r="D3241" s="1" t="s">
        <v>10369</v>
      </c>
      <c r="E3241" s="1" t="s">
        <v>209</v>
      </c>
      <c r="F3241" s="1" t="s">
        <v>5017</v>
      </c>
      <c r="G3241" s="1" t="s">
        <v>5018</v>
      </c>
      <c r="H3241" s="1">
        <v>0.1</v>
      </c>
      <c r="I3241" s="1">
        <v>0.1</v>
      </c>
      <c r="J3241" s="1">
        <v>0.70355168291368719</v>
      </c>
      <c r="K3241" s="1" t="s">
        <v>181</v>
      </c>
    </row>
    <row r="3242" spans="1:11" x14ac:dyDescent="0.25">
      <c r="A3242" s="1" t="s">
        <v>10370</v>
      </c>
      <c r="B3242" s="1" t="s">
        <v>10371</v>
      </c>
      <c r="D3242" s="1" t="s">
        <v>10372</v>
      </c>
      <c r="E3242" s="1" t="s">
        <v>209</v>
      </c>
      <c r="F3242" s="1" t="s">
        <v>5017</v>
      </c>
      <c r="G3242" s="1" t="s">
        <v>5018</v>
      </c>
      <c r="H3242" s="1">
        <v>0.1</v>
      </c>
      <c r="I3242" s="1">
        <v>0.1</v>
      </c>
      <c r="J3242" s="1">
        <v>0.56011802647664033</v>
      </c>
      <c r="K3242" s="1" t="s">
        <v>181</v>
      </c>
    </row>
    <row r="3243" spans="1:11" x14ac:dyDescent="0.25">
      <c r="A3243" s="1" t="s">
        <v>10373</v>
      </c>
      <c r="B3243" s="1" t="s">
        <v>10374</v>
      </c>
      <c r="D3243" s="1" t="s">
        <v>10375</v>
      </c>
      <c r="E3243" s="1" t="s">
        <v>209</v>
      </c>
      <c r="F3243" s="1" t="s">
        <v>5017</v>
      </c>
      <c r="G3243" s="1" t="s">
        <v>5018</v>
      </c>
      <c r="H3243" s="1">
        <v>0.1</v>
      </c>
      <c r="I3243" s="1">
        <v>0.1</v>
      </c>
      <c r="J3243" s="1">
        <v>0.68815506953401484</v>
      </c>
      <c r="K3243" s="1" t="s">
        <v>181</v>
      </c>
    </row>
    <row r="3244" spans="1:11" x14ac:dyDescent="0.25">
      <c r="A3244" s="1" t="s">
        <v>10376</v>
      </c>
      <c r="B3244" s="1" t="s">
        <v>10377</v>
      </c>
      <c r="D3244" s="1" t="s">
        <v>10378</v>
      </c>
      <c r="E3244" s="1" t="s">
        <v>209</v>
      </c>
      <c r="F3244" s="1" t="s">
        <v>5017</v>
      </c>
      <c r="G3244" s="1" t="s">
        <v>5018</v>
      </c>
      <c r="H3244" s="1">
        <v>0.1</v>
      </c>
      <c r="I3244" s="1">
        <v>0.1</v>
      </c>
      <c r="J3244" s="1">
        <v>0.75495674474907271</v>
      </c>
      <c r="K3244" s="1" t="s">
        <v>181</v>
      </c>
    </row>
    <row r="3245" spans="1:11" x14ac:dyDescent="0.25">
      <c r="A3245" s="1" t="s">
        <v>10379</v>
      </c>
      <c r="B3245" s="1" t="s">
        <v>10380</v>
      </c>
      <c r="D3245" s="1" t="s">
        <v>10381</v>
      </c>
      <c r="E3245" s="1" t="s">
        <v>209</v>
      </c>
      <c r="F3245" s="1" t="s">
        <v>5017</v>
      </c>
      <c r="G3245" s="1" t="s">
        <v>5018</v>
      </c>
      <c r="H3245" s="1">
        <v>0.1</v>
      </c>
      <c r="I3245" s="1">
        <v>0.1</v>
      </c>
      <c r="J3245" s="1">
        <v>0.46450250446930935</v>
      </c>
      <c r="K3245" s="1" t="s">
        <v>181</v>
      </c>
    </row>
    <row r="3246" spans="1:11" x14ac:dyDescent="0.25">
      <c r="A3246" s="1" t="s">
        <v>10382</v>
      </c>
      <c r="B3246" s="1" t="s">
        <v>10383</v>
      </c>
      <c r="D3246" s="1" t="s">
        <v>10384</v>
      </c>
      <c r="E3246" s="1" t="s">
        <v>209</v>
      </c>
      <c r="F3246" s="1" t="s">
        <v>5017</v>
      </c>
      <c r="G3246" s="1" t="s">
        <v>5018</v>
      </c>
      <c r="H3246" s="1">
        <v>0.1</v>
      </c>
      <c r="I3246" s="1">
        <v>0.1</v>
      </c>
      <c r="J3246" s="1">
        <v>0.59763447474102271</v>
      </c>
      <c r="K3246" s="1" t="s">
        <v>181</v>
      </c>
    </row>
    <row r="3247" spans="1:11" x14ac:dyDescent="0.25">
      <c r="A3247" s="1" t="s">
        <v>10385</v>
      </c>
      <c r="B3247" s="1" t="s">
        <v>10386</v>
      </c>
      <c r="D3247" s="1" t="s">
        <v>10387</v>
      </c>
      <c r="E3247" s="1" t="s">
        <v>209</v>
      </c>
      <c r="F3247" s="1" t="s">
        <v>5017</v>
      </c>
      <c r="G3247" s="1" t="s">
        <v>5018</v>
      </c>
      <c r="H3247" s="1">
        <v>0.1</v>
      </c>
      <c r="I3247" s="1">
        <v>0.1</v>
      </c>
      <c r="J3247" s="1">
        <v>0.94037127756273153</v>
      </c>
      <c r="K3247" s="1" t="s">
        <v>181</v>
      </c>
    </row>
    <row r="3248" spans="1:11" x14ac:dyDescent="0.25">
      <c r="A3248" s="1" t="s">
        <v>10388</v>
      </c>
      <c r="B3248" s="1" t="s">
        <v>10389</v>
      </c>
      <c r="D3248" s="1" t="s">
        <v>10390</v>
      </c>
      <c r="E3248" s="1" t="s">
        <v>209</v>
      </c>
      <c r="F3248" s="1" t="s">
        <v>5017</v>
      </c>
      <c r="G3248" s="1" t="s">
        <v>5018</v>
      </c>
      <c r="H3248" s="1">
        <v>0.1</v>
      </c>
      <c r="I3248" s="1">
        <v>0.1</v>
      </c>
      <c r="J3248" s="1">
        <v>0.82533926879962105</v>
      </c>
      <c r="K3248" s="1" t="s">
        <v>181</v>
      </c>
    </row>
    <row r="3249" spans="1:11" x14ac:dyDescent="0.25">
      <c r="A3249" s="1" t="s">
        <v>10391</v>
      </c>
      <c r="B3249" s="1" t="s">
        <v>10392</v>
      </c>
      <c r="D3249" s="1" t="s">
        <v>10393</v>
      </c>
      <c r="E3249" s="1" t="s">
        <v>209</v>
      </c>
      <c r="F3249" s="1" t="s">
        <v>5017</v>
      </c>
      <c r="G3249" s="1" t="s">
        <v>5018</v>
      </c>
      <c r="H3249" s="1">
        <v>0.1</v>
      </c>
      <c r="I3249" s="1">
        <v>0.1</v>
      </c>
      <c r="J3249" s="1">
        <v>0.79763492605255071</v>
      </c>
      <c r="K3249" s="1" t="s">
        <v>181</v>
      </c>
    </row>
    <row r="3250" spans="1:11" x14ac:dyDescent="0.25">
      <c r="A3250" s="1" t="s">
        <v>10394</v>
      </c>
      <c r="B3250" s="1" t="s">
        <v>10395</v>
      </c>
      <c r="D3250" s="1" t="s">
        <v>10396</v>
      </c>
      <c r="E3250" s="1" t="s">
        <v>209</v>
      </c>
      <c r="F3250" s="1" t="s">
        <v>5017</v>
      </c>
      <c r="G3250" s="1" t="s">
        <v>5018</v>
      </c>
      <c r="H3250" s="1">
        <v>0.1</v>
      </c>
      <c r="I3250" s="1">
        <v>0.1</v>
      </c>
      <c r="J3250" s="1">
        <v>0.73267342620389064</v>
      </c>
      <c r="K3250" s="1" t="s">
        <v>181</v>
      </c>
    </row>
    <row r="3251" spans="1:11" x14ac:dyDescent="0.25">
      <c r="A3251" s="1" t="s">
        <v>10397</v>
      </c>
      <c r="B3251" s="1" t="s">
        <v>10398</v>
      </c>
      <c r="D3251" s="1" t="s">
        <v>10399</v>
      </c>
      <c r="E3251" s="1" t="s">
        <v>209</v>
      </c>
      <c r="F3251" s="1" t="s">
        <v>5017</v>
      </c>
      <c r="G3251" s="1" t="s">
        <v>5018</v>
      </c>
      <c r="H3251" s="1">
        <v>0.1</v>
      </c>
      <c r="I3251" s="1">
        <v>0.1</v>
      </c>
      <c r="J3251" s="1">
        <v>0.71199757316098988</v>
      </c>
      <c r="K3251" s="1" t="s">
        <v>181</v>
      </c>
    </row>
    <row r="3252" spans="1:11" x14ac:dyDescent="0.25">
      <c r="A3252" s="1" t="s">
        <v>10400</v>
      </c>
      <c r="B3252" s="1" t="s">
        <v>10401</v>
      </c>
      <c r="D3252" s="1" t="s">
        <v>10402</v>
      </c>
      <c r="E3252" s="1" t="s">
        <v>209</v>
      </c>
      <c r="F3252" s="1" t="s">
        <v>5017</v>
      </c>
      <c r="G3252" s="1" t="s">
        <v>5018</v>
      </c>
      <c r="H3252" s="1">
        <v>0.1</v>
      </c>
      <c r="I3252" s="1">
        <v>0.1</v>
      </c>
      <c r="J3252" s="1">
        <v>0.61798475168994249</v>
      </c>
      <c r="K3252" s="1" t="s">
        <v>181</v>
      </c>
    </row>
    <row r="3253" spans="1:11" x14ac:dyDescent="0.25">
      <c r="A3253" s="1" t="s">
        <v>10403</v>
      </c>
      <c r="B3253" s="1" t="s">
        <v>10404</v>
      </c>
      <c r="D3253" s="1" t="s">
        <v>10405</v>
      </c>
      <c r="E3253" s="1" t="s">
        <v>209</v>
      </c>
      <c r="F3253" s="1" t="s">
        <v>5017</v>
      </c>
      <c r="G3253" s="1" t="s">
        <v>5018</v>
      </c>
      <c r="H3253" s="1">
        <v>0.1</v>
      </c>
      <c r="I3253" s="1">
        <v>0.1</v>
      </c>
      <c r="J3253" s="1">
        <v>0.64732538157684261</v>
      </c>
      <c r="K3253" s="1" t="s">
        <v>181</v>
      </c>
    </row>
    <row r="3254" spans="1:11" x14ac:dyDescent="0.25">
      <c r="A3254" s="1" t="s">
        <v>10406</v>
      </c>
      <c r="B3254" s="1" t="s">
        <v>10407</v>
      </c>
      <c r="D3254" s="1" t="s">
        <v>10408</v>
      </c>
      <c r="E3254" s="1" t="s">
        <v>209</v>
      </c>
      <c r="F3254" s="1" t="s">
        <v>5017</v>
      </c>
      <c r="G3254" s="1" t="s">
        <v>5018</v>
      </c>
      <c r="H3254" s="1">
        <v>0.1</v>
      </c>
      <c r="I3254" s="1">
        <v>0.1</v>
      </c>
      <c r="J3254" s="1">
        <v>0.75760664306424674</v>
      </c>
      <c r="K3254" s="1" t="s">
        <v>181</v>
      </c>
    </row>
    <row r="3255" spans="1:11" x14ac:dyDescent="0.25">
      <c r="A3255" s="1" t="s">
        <v>10409</v>
      </c>
      <c r="B3255" s="1" t="s">
        <v>10410</v>
      </c>
      <c r="D3255" s="1" t="s">
        <v>10411</v>
      </c>
      <c r="E3255" s="1" t="s">
        <v>209</v>
      </c>
      <c r="F3255" s="1" t="s">
        <v>5017</v>
      </c>
      <c r="G3255" s="1" t="s">
        <v>5018</v>
      </c>
      <c r="H3255" s="1">
        <v>0.1</v>
      </c>
      <c r="I3255" s="1">
        <v>0.1</v>
      </c>
      <c r="J3255" s="1">
        <v>0.56100890732742525</v>
      </c>
      <c r="K3255" s="1" t="s">
        <v>181</v>
      </c>
    </row>
    <row r="3256" spans="1:11" x14ac:dyDescent="0.25">
      <c r="A3256" s="1" t="s">
        <v>10412</v>
      </c>
      <c r="B3256" s="1" t="s">
        <v>10413</v>
      </c>
      <c r="D3256" s="1" t="s">
        <v>10414</v>
      </c>
      <c r="E3256" s="1" t="s">
        <v>209</v>
      </c>
      <c r="F3256" s="1" t="s">
        <v>5017</v>
      </c>
      <c r="G3256" s="1" t="s">
        <v>5018</v>
      </c>
      <c r="H3256" s="1">
        <v>0.1</v>
      </c>
      <c r="I3256" s="1">
        <v>0.1</v>
      </c>
      <c r="J3256" s="1">
        <v>0.82470998540170881</v>
      </c>
      <c r="K3256" s="1" t="s">
        <v>181</v>
      </c>
    </row>
    <row r="3257" spans="1:11" x14ac:dyDescent="0.25">
      <c r="A3257" s="1" t="s">
        <v>10415</v>
      </c>
      <c r="B3257" s="1" t="s">
        <v>10416</v>
      </c>
      <c r="D3257" s="1" t="s">
        <v>10417</v>
      </c>
      <c r="E3257" s="1" t="s">
        <v>209</v>
      </c>
      <c r="F3257" s="1" t="s">
        <v>5017</v>
      </c>
      <c r="G3257" s="1" t="s">
        <v>5018</v>
      </c>
      <c r="H3257" s="1">
        <v>0.1</v>
      </c>
      <c r="I3257" s="1">
        <v>0.1</v>
      </c>
      <c r="J3257" s="1">
        <v>0.48837024475406637</v>
      </c>
      <c r="K3257" s="1" t="s">
        <v>181</v>
      </c>
    </row>
    <row r="3258" spans="1:11" x14ac:dyDescent="0.25">
      <c r="A3258" s="1" t="s">
        <v>10418</v>
      </c>
      <c r="B3258" s="1" t="s">
        <v>10419</v>
      </c>
      <c r="D3258" s="1" t="s">
        <v>10420</v>
      </c>
      <c r="E3258" s="1" t="s">
        <v>209</v>
      </c>
      <c r="F3258" s="1" t="s">
        <v>5017</v>
      </c>
      <c r="G3258" s="1" t="s">
        <v>5018</v>
      </c>
      <c r="H3258" s="1">
        <v>0.1</v>
      </c>
      <c r="I3258" s="1">
        <v>0.1</v>
      </c>
      <c r="J3258" s="1">
        <v>0.89394515436760025</v>
      </c>
      <c r="K3258" s="1" t="s">
        <v>181</v>
      </c>
    </row>
    <row r="3259" spans="1:11" x14ac:dyDescent="0.25">
      <c r="A3259" s="1" t="s">
        <v>10421</v>
      </c>
      <c r="B3259" s="1" t="s">
        <v>10422</v>
      </c>
      <c r="D3259" s="1" t="s">
        <v>10423</v>
      </c>
      <c r="E3259" s="1" t="s">
        <v>209</v>
      </c>
      <c r="F3259" s="1" t="s">
        <v>5017</v>
      </c>
      <c r="G3259" s="1" t="s">
        <v>5018</v>
      </c>
      <c r="H3259" s="1">
        <v>0.1</v>
      </c>
      <c r="I3259" s="1">
        <v>0.1</v>
      </c>
      <c r="J3259" s="1">
        <v>1.0976324261396284</v>
      </c>
      <c r="K3259" s="1" t="s">
        <v>181</v>
      </c>
    </row>
    <row r="3260" spans="1:11" x14ac:dyDescent="0.25">
      <c r="A3260" s="1" t="s">
        <v>10424</v>
      </c>
      <c r="B3260" s="1" t="s">
        <v>10425</v>
      </c>
      <c r="D3260" s="1" t="s">
        <v>10426</v>
      </c>
      <c r="E3260" s="1" t="s">
        <v>209</v>
      </c>
      <c r="F3260" s="1" t="s">
        <v>5017</v>
      </c>
      <c r="G3260" s="1" t="s">
        <v>5018</v>
      </c>
      <c r="H3260" s="1">
        <v>0.1</v>
      </c>
      <c r="I3260" s="1">
        <v>0.1</v>
      </c>
      <c r="J3260" s="1">
        <v>0.85563663123553002</v>
      </c>
      <c r="K3260" s="1" t="s">
        <v>181</v>
      </c>
    </row>
    <row r="3261" spans="1:11" x14ac:dyDescent="0.25">
      <c r="A3261" s="1" t="s">
        <v>10427</v>
      </c>
      <c r="B3261" s="1" t="s">
        <v>10428</v>
      </c>
      <c r="D3261" s="1" t="s">
        <v>10429</v>
      </c>
      <c r="E3261" s="1" t="s">
        <v>209</v>
      </c>
      <c r="F3261" s="1" t="s">
        <v>5017</v>
      </c>
      <c r="G3261" s="1" t="s">
        <v>5018</v>
      </c>
      <c r="H3261" s="1">
        <v>0.1</v>
      </c>
      <c r="I3261" s="1">
        <v>0.1</v>
      </c>
      <c r="J3261" s="1">
        <v>0.5458865680259678</v>
      </c>
      <c r="K3261" s="1" t="s">
        <v>181</v>
      </c>
    </row>
    <row r="3262" spans="1:11" x14ac:dyDescent="0.25">
      <c r="A3262" s="1" t="s">
        <v>10430</v>
      </c>
      <c r="B3262" s="1" t="s">
        <v>10431</v>
      </c>
      <c r="D3262" s="1" t="s">
        <v>10432</v>
      </c>
      <c r="E3262" s="1" t="s">
        <v>209</v>
      </c>
      <c r="F3262" s="1" t="s">
        <v>5017</v>
      </c>
      <c r="G3262" s="1" t="s">
        <v>5018</v>
      </c>
      <c r="H3262" s="1">
        <v>0.1</v>
      </c>
      <c r="I3262" s="1">
        <v>0.1</v>
      </c>
      <c r="J3262" s="1">
        <v>0.73125177075205994</v>
      </c>
      <c r="K3262" s="1" t="s">
        <v>181</v>
      </c>
    </row>
    <row r="3263" spans="1:11" x14ac:dyDescent="0.25">
      <c r="A3263" s="1" t="s">
        <v>10433</v>
      </c>
      <c r="B3263" s="1" t="s">
        <v>10434</v>
      </c>
      <c r="D3263" s="1" t="s">
        <v>10435</v>
      </c>
      <c r="E3263" s="1" t="s">
        <v>209</v>
      </c>
      <c r="F3263" s="1" t="s">
        <v>5017</v>
      </c>
      <c r="G3263" s="1" t="s">
        <v>5018</v>
      </c>
      <c r="H3263" s="1">
        <v>0.1</v>
      </c>
      <c r="I3263" s="1">
        <v>0.1</v>
      </c>
      <c r="J3263" s="1">
        <v>0.80356971040545122</v>
      </c>
      <c r="K3263" s="1" t="s">
        <v>181</v>
      </c>
    </row>
    <row r="3264" spans="1:11" x14ac:dyDescent="0.25">
      <c r="A3264" s="1" t="s">
        <v>10436</v>
      </c>
      <c r="B3264" s="1" t="s">
        <v>10437</v>
      </c>
      <c r="D3264" s="1" t="s">
        <v>10438</v>
      </c>
      <c r="E3264" s="1" t="s">
        <v>209</v>
      </c>
      <c r="F3264" s="1" t="s">
        <v>5017</v>
      </c>
      <c r="G3264" s="1" t="s">
        <v>5018</v>
      </c>
      <c r="H3264" s="1">
        <v>0.1</v>
      </c>
      <c r="I3264" s="1">
        <v>0.1</v>
      </c>
      <c r="J3264" s="1">
        <v>0.81895679070248406</v>
      </c>
      <c r="K3264" s="1" t="s">
        <v>181</v>
      </c>
    </row>
    <row r="3265" spans="1:11" x14ac:dyDescent="0.25">
      <c r="A3265" s="1" t="s">
        <v>10439</v>
      </c>
      <c r="B3265" s="1" t="s">
        <v>10440</v>
      </c>
      <c r="D3265" s="1" t="s">
        <v>10441</v>
      </c>
      <c r="E3265" s="1" t="s">
        <v>209</v>
      </c>
      <c r="F3265" s="1" t="s">
        <v>5017</v>
      </c>
      <c r="G3265" s="1" t="s">
        <v>5018</v>
      </c>
      <c r="H3265" s="1">
        <v>0.1</v>
      </c>
      <c r="I3265" s="1">
        <v>0.1</v>
      </c>
      <c r="J3265" s="1">
        <v>0.5805136501948126</v>
      </c>
      <c r="K3265" s="1" t="s">
        <v>181</v>
      </c>
    </row>
    <row r="3266" spans="1:11" x14ac:dyDescent="0.25">
      <c r="A3266" s="1" t="s">
        <v>10442</v>
      </c>
      <c r="B3266" s="1" t="s">
        <v>10443</v>
      </c>
      <c r="D3266" s="1" t="s">
        <v>10444</v>
      </c>
      <c r="E3266" s="1" t="s">
        <v>209</v>
      </c>
      <c r="F3266" s="1" t="s">
        <v>5017</v>
      </c>
      <c r="G3266" s="1" t="s">
        <v>5018</v>
      </c>
      <c r="H3266" s="1">
        <v>0.1</v>
      </c>
      <c r="I3266" s="1">
        <v>0.1</v>
      </c>
      <c r="J3266" s="1">
        <v>0.64097804153853477</v>
      </c>
      <c r="K3266" s="1" t="s">
        <v>181</v>
      </c>
    </row>
    <row r="3267" spans="1:11" x14ac:dyDescent="0.25">
      <c r="A3267" s="1" t="s">
        <v>10445</v>
      </c>
      <c r="B3267" s="1" t="s">
        <v>10446</v>
      </c>
      <c r="D3267" s="1" t="s">
        <v>10447</v>
      </c>
      <c r="E3267" s="1" t="s">
        <v>209</v>
      </c>
      <c r="F3267" s="1" t="s">
        <v>5017</v>
      </c>
      <c r="G3267" s="1" t="s">
        <v>5018</v>
      </c>
      <c r="H3267" s="1">
        <v>0.1</v>
      </c>
      <c r="I3267" s="1">
        <v>0.1</v>
      </c>
      <c r="J3267" s="1">
        <v>0.62771599806794343</v>
      </c>
      <c r="K3267" s="1" t="s">
        <v>181</v>
      </c>
    </row>
    <row r="3268" spans="1:11" x14ac:dyDescent="0.25">
      <c r="A3268" s="1" t="s">
        <v>10448</v>
      </c>
      <c r="B3268" s="1" t="s">
        <v>10449</v>
      </c>
      <c r="D3268" s="1" t="s">
        <v>10450</v>
      </c>
      <c r="E3268" s="1" t="s">
        <v>209</v>
      </c>
      <c r="F3268" s="1" t="s">
        <v>5017</v>
      </c>
      <c r="G3268" s="1" t="s">
        <v>5018</v>
      </c>
      <c r="H3268" s="1">
        <v>0.1</v>
      </c>
      <c r="I3268" s="1">
        <v>0.1</v>
      </c>
      <c r="J3268" s="1">
        <v>0.6129647021888962</v>
      </c>
      <c r="K3268" s="1" t="s">
        <v>181</v>
      </c>
    </row>
    <row r="3269" spans="1:11" x14ac:dyDescent="0.25">
      <c r="A3269" s="1" t="s">
        <v>10451</v>
      </c>
      <c r="B3269" s="1" t="s">
        <v>10452</v>
      </c>
      <c r="D3269" s="1" t="s">
        <v>10453</v>
      </c>
      <c r="E3269" s="1" t="s">
        <v>209</v>
      </c>
      <c r="F3269" s="1" t="s">
        <v>5017</v>
      </c>
      <c r="G3269" s="1" t="s">
        <v>5018</v>
      </c>
      <c r="H3269" s="1">
        <v>0.1</v>
      </c>
      <c r="I3269" s="1">
        <v>0.1</v>
      </c>
      <c r="J3269" s="1">
        <v>0.75138267778374424</v>
      </c>
      <c r="K3269" s="1" t="s">
        <v>181</v>
      </c>
    </row>
    <row r="3270" spans="1:11" x14ac:dyDescent="0.25">
      <c r="A3270" s="1" t="s">
        <v>10454</v>
      </c>
      <c r="B3270" s="1" t="s">
        <v>10455</v>
      </c>
      <c r="D3270" s="1" t="s">
        <v>10456</v>
      </c>
      <c r="E3270" s="1" t="s">
        <v>209</v>
      </c>
      <c r="F3270" s="1" t="s">
        <v>5017</v>
      </c>
      <c r="G3270" s="1" t="s">
        <v>5018</v>
      </c>
      <c r="H3270" s="1">
        <v>0.1</v>
      </c>
      <c r="I3270" s="1">
        <v>0.1</v>
      </c>
      <c r="J3270" s="1">
        <v>0.80676288461911139</v>
      </c>
      <c r="K3270" s="1" t="s">
        <v>181</v>
      </c>
    </row>
    <row r="3271" spans="1:11" x14ac:dyDescent="0.25">
      <c r="A3271" s="1" t="s">
        <v>10457</v>
      </c>
      <c r="B3271" s="1" t="s">
        <v>10458</v>
      </c>
      <c r="D3271" s="1" t="s">
        <v>10459</v>
      </c>
      <c r="E3271" s="1" t="s">
        <v>209</v>
      </c>
      <c r="F3271" s="1" t="s">
        <v>5017</v>
      </c>
      <c r="G3271" s="1" t="s">
        <v>5018</v>
      </c>
      <c r="H3271" s="1">
        <v>0.1</v>
      </c>
      <c r="I3271" s="1">
        <v>0.1</v>
      </c>
      <c r="J3271" s="1">
        <v>0.59240972447591023</v>
      </c>
      <c r="K3271" s="1" t="s">
        <v>181</v>
      </c>
    </row>
    <row r="3272" spans="1:11" x14ac:dyDescent="0.25">
      <c r="A3272" s="1" t="s">
        <v>10460</v>
      </c>
      <c r="B3272" s="1" t="s">
        <v>10461</v>
      </c>
      <c r="D3272" s="1" t="s">
        <v>10462</v>
      </c>
      <c r="E3272" s="1" t="s">
        <v>209</v>
      </c>
      <c r="F3272" s="1" t="s">
        <v>5017</v>
      </c>
      <c r="G3272" s="1" t="s">
        <v>5018</v>
      </c>
      <c r="H3272" s="1">
        <v>0.1</v>
      </c>
      <c r="I3272" s="1">
        <v>0.1</v>
      </c>
      <c r="J3272" s="1">
        <v>0.40055618750709154</v>
      </c>
      <c r="K3272" s="1" t="s">
        <v>181</v>
      </c>
    </row>
    <row r="3273" spans="1:11" x14ac:dyDescent="0.25">
      <c r="A3273" s="1" t="s">
        <v>10463</v>
      </c>
      <c r="B3273" s="1" t="s">
        <v>10464</v>
      </c>
      <c r="D3273" s="1" t="s">
        <v>10465</v>
      </c>
      <c r="E3273" s="1" t="s">
        <v>209</v>
      </c>
      <c r="F3273" s="1" t="s">
        <v>5017</v>
      </c>
      <c r="G3273" s="1" t="s">
        <v>5018</v>
      </c>
      <c r="H3273" s="1">
        <v>0.1</v>
      </c>
      <c r="I3273" s="1">
        <v>0.1</v>
      </c>
      <c r="J3273" s="1">
        <v>0.69855235116424252</v>
      </c>
      <c r="K3273" s="1" t="s">
        <v>181</v>
      </c>
    </row>
    <row r="3274" spans="1:11" x14ac:dyDescent="0.25">
      <c r="A3274" s="1" t="s">
        <v>10466</v>
      </c>
      <c r="B3274" s="1" t="s">
        <v>10467</v>
      </c>
      <c r="C3274" s="1" t="s">
        <v>7515</v>
      </c>
      <c r="D3274" s="1" t="s">
        <v>10468</v>
      </c>
      <c r="E3274" s="1" t="s">
        <v>209</v>
      </c>
      <c r="F3274" s="1" t="s">
        <v>5017</v>
      </c>
      <c r="G3274" s="1" t="s">
        <v>5018</v>
      </c>
      <c r="H3274" s="1">
        <v>0.1</v>
      </c>
      <c r="I3274" s="1">
        <v>0.1</v>
      </c>
      <c r="J3274" s="1">
        <v>0.67641335531725355</v>
      </c>
      <c r="K3274" s="1" t="s">
        <v>181</v>
      </c>
    </row>
    <row r="3275" spans="1:11" x14ac:dyDescent="0.25">
      <c r="A3275" s="1" t="s">
        <v>10469</v>
      </c>
      <c r="B3275" s="1" t="s">
        <v>10470</v>
      </c>
      <c r="D3275" s="1" t="s">
        <v>10471</v>
      </c>
      <c r="E3275" s="1" t="s">
        <v>209</v>
      </c>
      <c r="F3275" s="1" t="s">
        <v>5017</v>
      </c>
      <c r="G3275" s="1" t="s">
        <v>5018</v>
      </c>
      <c r="H3275" s="1">
        <v>0.1</v>
      </c>
      <c r="I3275" s="1">
        <v>0.1</v>
      </c>
      <c r="J3275" s="1">
        <v>0.84449158393060997</v>
      </c>
      <c r="K3275" s="1" t="s">
        <v>181</v>
      </c>
    </row>
    <row r="3276" spans="1:11" x14ac:dyDescent="0.25">
      <c r="A3276" s="1" t="s">
        <v>10472</v>
      </c>
      <c r="B3276" s="1" t="s">
        <v>10473</v>
      </c>
      <c r="D3276" s="1" t="s">
        <v>10474</v>
      </c>
      <c r="E3276" s="1" t="s">
        <v>209</v>
      </c>
      <c r="F3276" s="1" t="s">
        <v>5017</v>
      </c>
      <c r="G3276" s="1" t="s">
        <v>5018</v>
      </c>
      <c r="H3276" s="1">
        <v>0.1</v>
      </c>
      <c r="I3276" s="1">
        <v>0.1</v>
      </c>
      <c r="J3276" s="1">
        <v>0.64002867727857915</v>
      </c>
      <c r="K3276" s="1" t="s">
        <v>181</v>
      </c>
    </row>
    <row r="3277" spans="1:11" x14ac:dyDescent="0.25">
      <c r="A3277" s="1" t="s">
        <v>10475</v>
      </c>
      <c r="B3277" s="1" t="s">
        <v>10476</v>
      </c>
      <c r="D3277" s="1" t="s">
        <v>10477</v>
      </c>
      <c r="E3277" s="1" t="s">
        <v>209</v>
      </c>
      <c r="F3277" s="1" t="s">
        <v>5017</v>
      </c>
      <c r="G3277" s="1" t="s">
        <v>5018</v>
      </c>
      <c r="H3277" s="1">
        <v>0.1</v>
      </c>
      <c r="I3277" s="1">
        <v>0.1</v>
      </c>
      <c r="J3277" s="1">
        <v>0.83229402252481588</v>
      </c>
      <c r="K3277" s="1" t="s">
        <v>181</v>
      </c>
    </row>
    <row r="3278" spans="1:11" x14ac:dyDescent="0.25">
      <c r="A3278" s="1" t="s">
        <v>10478</v>
      </c>
      <c r="B3278" s="1" t="s">
        <v>10479</v>
      </c>
      <c r="D3278" s="1" t="s">
        <v>10480</v>
      </c>
      <c r="E3278" s="1" t="s">
        <v>209</v>
      </c>
      <c r="F3278" s="1" t="s">
        <v>5017</v>
      </c>
      <c r="G3278" s="1" t="s">
        <v>5018</v>
      </c>
      <c r="H3278" s="1">
        <v>0.1</v>
      </c>
      <c r="I3278" s="1">
        <v>0.1</v>
      </c>
      <c r="J3278" s="1">
        <v>0.54155261328253979</v>
      </c>
      <c r="K3278" s="1" t="s">
        <v>181</v>
      </c>
    </row>
    <row r="3279" spans="1:11" x14ac:dyDescent="0.25">
      <c r="A3279" s="1" t="s">
        <v>10481</v>
      </c>
      <c r="B3279" s="1" t="s">
        <v>10482</v>
      </c>
      <c r="D3279" s="1" t="s">
        <v>10483</v>
      </c>
      <c r="E3279" s="1" t="s">
        <v>209</v>
      </c>
      <c r="F3279" s="1" t="s">
        <v>5017</v>
      </c>
      <c r="G3279" s="1" t="s">
        <v>5018</v>
      </c>
      <c r="H3279" s="1">
        <v>0.1</v>
      </c>
      <c r="I3279" s="1">
        <v>0.1</v>
      </c>
      <c r="J3279" s="1">
        <v>0.58762979665286152</v>
      </c>
      <c r="K3279" s="1" t="s">
        <v>181</v>
      </c>
    </row>
    <row r="3280" spans="1:11" x14ac:dyDescent="0.25">
      <c r="A3280" s="1" t="s">
        <v>10484</v>
      </c>
      <c r="B3280" s="1" t="s">
        <v>10485</v>
      </c>
      <c r="D3280" s="1" t="s">
        <v>10486</v>
      </c>
      <c r="E3280" s="1" t="s">
        <v>209</v>
      </c>
      <c r="F3280" s="1" t="s">
        <v>5017</v>
      </c>
      <c r="G3280" s="1" t="s">
        <v>5018</v>
      </c>
      <c r="H3280" s="1">
        <v>0.1</v>
      </c>
      <c r="I3280" s="1">
        <v>0.1</v>
      </c>
      <c r="J3280" s="1">
        <v>0.53541519667454884</v>
      </c>
      <c r="K3280" s="1" t="s">
        <v>181</v>
      </c>
    </row>
    <row r="3281" spans="1:11" x14ac:dyDescent="0.25">
      <c r="A3281" s="1" t="s">
        <v>10487</v>
      </c>
      <c r="B3281" s="1" t="s">
        <v>10488</v>
      </c>
      <c r="D3281" s="1" t="s">
        <v>10489</v>
      </c>
      <c r="E3281" s="1" t="s">
        <v>209</v>
      </c>
      <c r="F3281" s="1" t="s">
        <v>5017</v>
      </c>
      <c r="G3281" s="1" t="s">
        <v>5018</v>
      </c>
      <c r="H3281" s="1">
        <v>0.1</v>
      </c>
      <c r="I3281" s="1">
        <v>0.1</v>
      </c>
      <c r="J3281" s="1">
        <v>0.44678785392025638</v>
      </c>
      <c r="K3281" s="1" t="s">
        <v>181</v>
      </c>
    </row>
    <row r="3282" spans="1:11" x14ac:dyDescent="0.25">
      <c r="A3282" s="1" t="s">
        <v>10490</v>
      </c>
      <c r="B3282" s="1" t="s">
        <v>10491</v>
      </c>
      <c r="D3282" s="1" t="s">
        <v>10492</v>
      </c>
      <c r="E3282" s="1" t="s">
        <v>209</v>
      </c>
      <c r="F3282" s="1" t="s">
        <v>5017</v>
      </c>
      <c r="G3282" s="1" t="s">
        <v>5018</v>
      </c>
      <c r="H3282" s="1">
        <v>0.1</v>
      </c>
      <c r="I3282" s="1">
        <v>0.1</v>
      </c>
      <c r="J3282" s="1">
        <v>0.84162353091030084</v>
      </c>
      <c r="K3282" s="1" t="s">
        <v>181</v>
      </c>
    </row>
    <row r="3283" spans="1:11" x14ac:dyDescent="0.25">
      <c r="A3283" s="1" t="s">
        <v>10493</v>
      </c>
      <c r="B3283" s="1" t="s">
        <v>10494</v>
      </c>
      <c r="D3283" s="1" t="s">
        <v>10495</v>
      </c>
      <c r="E3283" s="1" t="s">
        <v>209</v>
      </c>
      <c r="F3283" s="1" t="s">
        <v>5017</v>
      </c>
      <c r="G3283" s="1" t="s">
        <v>5018</v>
      </c>
      <c r="H3283" s="1">
        <v>0.1</v>
      </c>
      <c r="I3283" s="1">
        <v>0.1</v>
      </c>
      <c r="J3283" s="1">
        <v>0.67005629917103715</v>
      </c>
      <c r="K3283" s="1" t="s">
        <v>181</v>
      </c>
    </row>
    <row r="3284" spans="1:11" x14ac:dyDescent="0.25">
      <c r="A3284" s="1" t="s">
        <v>10496</v>
      </c>
      <c r="B3284" s="1" t="s">
        <v>10497</v>
      </c>
      <c r="D3284" s="1" t="s">
        <v>10498</v>
      </c>
      <c r="E3284" s="1" t="s">
        <v>209</v>
      </c>
      <c r="F3284" s="1" t="s">
        <v>5017</v>
      </c>
      <c r="G3284" s="1" t="s">
        <v>5018</v>
      </c>
      <c r="H3284" s="1">
        <v>0.1</v>
      </c>
      <c r="I3284" s="1">
        <v>0.1</v>
      </c>
      <c r="J3284" s="1">
        <v>0.72810512793827908</v>
      </c>
      <c r="K3284" s="1" t="s">
        <v>181</v>
      </c>
    </row>
    <row r="3285" spans="1:11" x14ac:dyDescent="0.25">
      <c r="A3285" s="1" t="s">
        <v>10499</v>
      </c>
      <c r="B3285" s="1" t="s">
        <v>10500</v>
      </c>
      <c r="D3285" s="1" t="s">
        <v>10501</v>
      </c>
      <c r="E3285" s="1" t="s">
        <v>209</v>
      </c>
      <c r="F3285" s="1" t="s">
        <v>5017</v>
      </c>
      <c r="G3285" s="1" t="s">
        <v>5018</v>
      </c>
      <c r="H3285" s="1">
        <v>0.1</v>
      </c>
      <c r="I3285" s="1">
        <v>0.1</v>
      </c>
      <c r="J3285" s="1">
        <v>0.66916339195405661</v>
      </c>
      <c r="K3285" s="1" t="s">
        <v>181</v>
      </c>
    </row>
    <row r="3286" spans="1:11" x14ac:dyDescent="0.25">
      <c r="A3286" s="1" t="s">
        <v>10502</v>
      </c>
      <c r="B3286" s="1" t="s">
        <v>10503</v>
      </c>
      <c r="D3286" s="1" t="s">
        <v>10504</v>
      </c>
      <c r="E3286" s="1" t="s">
        <v>209</v>
      </c>
      <c r="F3286" s="1" t="s">
        <v>5017</v>
      </c>
      <c r="G3286" s="1" t="s">
        <v>5018</v>
      </c>
      <c r="H3286" s="1">
        <v>0.1</v>
      </c>
      <c r="I3286" s="1">
        <v>0.1</v>
      </c>
      <c r="J3286" s="1">
        <v>0.67088340134332203</v>
      </c>
      <c r="K3286" s="1" t="s">
        <v>181</v>
      </c>
    </row>
    <row r="3287" spans="1:11" x14ac:dyDescent="0.25">
      <c r="A3287" s="1" t="s">
        <v>10505</v>
      </c>
      <c r="B3287" s="1" t="s">
        <v>10506</v>
      </c>
      <c r="D3287" s="1" t="s">
        <v>10507</v>
      </c>
      <c r="E3287" s="1" t="s">
        <v>209</v>
      </c>
      <c r="F3287" s="1" t="s">
        <v>5017</v>
      </c>
      <c r="G3287" s="1" t="s">
        <v>5018</v>
      </c>
      <c r="H3287" s="1">
        <v>0.1</v>
      </c>
      <c r="I3287" s="1">
        <v>0.1</v>
      </c>
      <c r="J3287" s="1">
        <v>0.7626459379306243</v>
      </c>
      <c r="K3287" s="1" t="s">
        <v>181</v>
      </c>
    </row>
    <row r="3288" spans="1:11" x14ac:dyDescent="0.25">
      <c r="A3288" s="1" t="s">
        <v>10508</v>
      </c>
      <c r="B3288" s="1" t="s">
        <v>10509</v>
      </c>
      <c r="D3288" s="1" t="s">
        <v>10510</v>
      </c>
      <c r="E3288" s="1" t="s">
        <v>209</v>
      </c>
      <c r="F3288" s="1" t="s">
        <v>5017</v>
      </c>
      <c r="G3288" s="1" t="s">
        <v>5018</v>
      </c>
      <c r="H3288" s="1">
        <v>0.1</v>
      </c>
      <c r="I3288" s="1">
        <v>0.1</v>
      </c>
      <c r="J3288" s="1">
        <v>0.83953270628735299</v>
      </c>
      <c r="K3288" s="1" t="s">
        <v>181</v>
      </c>
    </row>
    <row r="3289" spans="1:11" x14ac:dyDescent="0.25">
      <c r="A3289" s="1" t="s">
        <v>10511</v>
      </c>
      <c r="B3289" s="1" t="s">
        <v>10512</v>
      </c>
      <c r="D3289" s="1" t="s">
        <v>10513</v>
      </c>
      <c r="E3289" s="1" t="s">
        <v>209</v>
      </c>
      <c r="F3289" s="1" t="s">
        <v>5017</v>
      </c>
      <c r="G3289" s="1" t="s">
        <v>5018</v>
      </c>
      <c r="H3289" s="1">
        <v>0.1</v>
      </c>
      <c r="I3289" s="1">
        <v>0.1</v>
      </c>
      <c r="J3289" s="1">
        <v>0.40273058764435232</v>
      </c>
      <c r="K3289" s="1" t="s">
        <v>181</v>
      </c>
    </row>
    <row r="3290" spans="1:11" x14ac:dyDescent="0.25">
      <c r="A3290" s="1" t="s">
        <v>110</v>
      </c>
      <c r="B3290" s="1" t="s">
        <v>10514</v>
      </c>
      <c r="D3290" s="1" t="s">
        <v>10515</v>
      </c>
      <c r="E3290" s="1" t="s">
        <v>209</v>
      </c>
      <c r="F3290" s="1" t="s">
        <v>5017</v>
      </c>
      <c r="G3290" s="1" t="s">
        <v>5018</v>
      </c>
      <c r="H3290" s="1">
        <v>0.1</v>
      </c>
      <c r="I3290" s="1">
        <v>0.1</v>
      </c>
      <c r="J3290" s="1">
        <v>0.9232365136126639</v>
      </c>
      <c r="K3290" s="1" t="s">
        <v>181</v>
      </c>
    </row>
    <row r="3291" spans="1:11" x14ac:dyDescent="0.25">
      <c r="A3291" s="1" t="s">
        <v>10516</v>
      </c>
      <c r="B3291" s="1" t="s">
        <v>10517</v>
      </c>
      <c r="D3291" s="1" t="s">
        <v>10518</v>
      </c>
      <c r="E3291" s="1" t="s">
        <v>209</v>
      </c>
      <c r="F3291" s="1" t="s">
        <v>5017</v>
      </c>
      <c r="G3291" s="1" t="s">
        <v>5018</v>
      </c>
      <c r="H3291" s="1">
        <v>0.1</v>
      </c>
      <c r="I3291" s="1">
        <v>0.1</v>
      </c>
      <c r="J3291" s="1">
        <v>0.67824332207431692</v>
      </c>
      <c r="K3291" s="1" t="s">
        <v>181</v>
      </c>
    </row>
    <row r="3292" spans="1:11" x14ac:dyDescent="0.25">
      <c r="A3292" s="1" t="s">
        <v>10519</v>
      </c>
      <c r="B3292" s="1" t="s">
        <v>10520</v>
      </c>
      <c r="D3292" s="1" t="s">
        <v>10521</v>
      </c>
      <c r="E3292" s="1" t="s">
        <v>209</v>
      </c>
      <c r="F3292" s="1" t="s">
        <v>5017</v>
      </c>
      <c r="G3292" s="1" t="s">
        <v>5018</v>
      </c>
      <c r="H3292" s="1">
        <v>0.1</v>
      </c>
      <c r="I3292" s="1">
        <v>0.1</v>
      </c>
      <c r="J3292" s="1">
        <v>0.88282932411799842</v>
      </c>
      <c r="K3292" s="1" t="s">
        <v>181</v>
      </c>
    </row>
    <row r="3293" spans="1:11" x14ac:dyDescent="0.25">
      <c r="A3293" s="1" t="s">
        <v>10522</v>
      </c>
      <c r="B3293" s="1" t="s">
        <v>10523</v>
      </c>
      <c r="D3293" s="1" t="s">
        <v>10524</v>
      </c>
      <c r="E3293" s="1" t="s">
        <v>209</v>
      </c>
      <c r="F3293" s="1" t="s">
        <v>5017</v>
      </c>
      <c r="G3293" s="1" t="s">
        <v>5018</v>
      </c>
      <c r="H3293" s="1">
        <v>0.1</v>
      </c>
      <c r="I3293" s="1">
        <v>0.1</v>
      </c>
      <c r="J3293" s="1">
        <v>0.80593326072059213</v>
      </c>
      <c r="K3293" s="1" t="s">
        <v>181</v>
      </c>
    </row>
    <row r="3294" spans="1:11" x14ac:dyDescent="0.25">
      <c r="A3294" s="1" t="s">
        <v>10525</v>
      </c>
      <c r="B3294" s="1" t="s">
        <v>10526</v>
      </c>
      <c r="D3294" s="1" t="s">
        <v>10527</v>
      </c>
      <c r="E3294" s="1" t="s">
        <v>209</v>
      </c>
      <c r="F3294" s="1" t="s">
        <v>5017</v>
      </c>
      <c r="G3294" s="1" t="s">
        <v>5018</v>
      </c>
      <c r="H3294" s="1">
        <v>0.1</v>
      </c>
      <c r="I3294" s="1">
        <v>0.1</v>
      </c>
      <c r="J3294" s="1">
        <v>0.77998830819081533</v>
      </c>
      <c r="K3294" s="1" t="s">
        <v>181</v>
      </c>
    </row>
    <row r="3295" spans="1:11" x14ac:dyDescent="0.25">
      <c r="A3295" s="1" t="s">
        <v>10528</v>
      </c>
      <c r="B3295" s="1" t="s">
        <v>10529</v>
      </c>
      <c r="D3295" s="1" t="s">
        <v>10530</v>
      </c>
      <c r="E3295" s="1" t="s">
        <v>209</v>
      </c>
      <c r="F3295" s="1" t="s">
        <v>5017</v>
      </c>
      <c r="G3295" s="1" t="s">
        <v>5018</v>
      </c>
      <c r="H3295" s="1">
        <v>0.1</v>
      </c>
      <c r="I3295" s="1">
        <v>0.1</v>
      </c>
      <c r="J3295" s="1">
        <v>0.59973029530890554</v>
      </c>
      <c r="K3295" s="1" t="s">
        <v>181</v>
      </c>
    </row>
    <row r="3296" spans="1:11" x14ac:dyDescent="0.25">
      <c r="A3296" s="1" t="s">
        <v>10531</v>
      </c>
      <c r="B3296" s="1" t="s">
        <v>10532</v>
      </c>
      <c r="D3296" s="1" t="s">
        <v>10533</v>
      </c>
      <c r="E3296" s="1" t="s">
        <v>209</v>
      </c>
      <c r="F3296" s="1" t="s">
        <v>5017</v>
      </c>
      <c r="G3296" s="1" t="s">
        <v>5018</v>
      </c>
      <c r="H3296" s="1">
        <v>0.1</v>
      </c>
      <c r="I3296" s="1">
        <v>0.1</v>
      </c>
      <c r="J3296" s="1">
        <v>0.75109206596109346</v>
      </c>
      <c r="K3296" s="1" t="s">
        <v>181</v>
      </c>
    </row>
    <row r="3297" spans="1:11" x14ac:dyDescent="0.25">
      <c r="A3297" s="1" t="s">
        <v>10534</v>
      </c>
      <c r="B3297" s="1" t="s">
        <v>10535</v>
      </c>
      <c r="D3297" s="1" t="s">
        <v>10536</v>
      </c>
      <c r="E3297" s="1" t="s">
        <v>209</v>
      </c>
      <c r="F3297" s="1" t="s">
        <v>5017</v>
      </c>
      <c r="G3297" s="1" t="s">
        <v>5018</v>
      </c>
      <c r="H3297" s="1">
        <v>0.1</v>
      </c>
      <c r="I3297" s="1">
        <v>0.1</v>
      </c>
      <c r="J3297" s="1">
        <v>0.57831937139601464</v>
      </c>
      <c r="K3297" s="1" t="s">
        <v>181</v>
      </c>
    </row>
    <row r="3298" spans="1:11" x14ac:dyDescent="0.25">
      <c r="A3298" s="1" t="s">
        <v>10537</v>
      </c>
      <c r="B3298" s="1" t="s">
        <v>10538</v>
      </c>
      <c r="D3298" s="1" t="s">
        <v>10539</v>
      </c>
      <c r="E3298" s="1" t="s">
        <v>209</v>
      </c>
      <c r="F3298" s="1" t="s">
        <v>5017</v>
      </c>
      <c r="G3298" s="1" t="s">
        <v>5018</v>
      </c>
      <c r="H3298" s="1">
        <v>0.1</v>
      </c>
      <c r="I3298" s="1">
        <v>0.1</v>
      </c>
      <c r="J3298" s="1">
        <v>0.50490232932530132</v>
      </c>
      <c r="K3298" s="1" t="s">
        <v>181</v>
      </c>
    </row>
    <row r="3299" spans="1:11" x14ac:dyDescent="0.25">
      <c r="A3299" s="1" t="s">
        <v>10540</v>
      </c>
      <c r="B3299" s="1" t="s">
        <v>10541</v>
      </c>
      <c r="D3299" s="1" t="s">
        <v>10542</v>
      </c>
      <c r="E3299" s="1" t="s">
        <v>209</v>
      </c>
      <c r="F3299" s="1" t="s">
        <v>5017</v>
      </c>
      <c r="G3299" s="1" t="s">
        <v>5018</v>
      </c>
      <c r="H3299" s="1">
        <v>0.1</v>
      </c>
      <c r="I3299" s="1">
        <v>0.1</v>
      </c>
      <c r="J3299" s="1">
        <v>0.7082207711786298</v>
      </c>
      <c r="K3299" s="1" t="s">
        <v>181</v>
      </c>
    </row>
    <row r="3300" spans="1:11" x14ac:dyDescent="0.25">
      <c r="A3300" s="1" t="s">
        <v>10543</v>
      </c>
      <c r="B3300" s="1" t="s">
        <v>10544</v>
      </c>
      <c r="D3300" s="1" t="s">
        <v>10545</v>
      </c>
      <c r="E3300" s="1" t="s">
        <v>209</v>
      </c>
      <c r="F3300" s="1" t="s">
        <v>5017</v>
      </c>
      <c r="G3300" s="1" t="s">
        <v>5018</v>
      </c>
      <c r="H3300" s="1">
        <v>0.1</v>
      </c>
      <c r="I3300" s="1">
        <v>0.1</v>
      </c>
      <c r="J3300" s="1">
        <v>1.0513667804419018</v>
      </c>
      <c r="K3300" s="1" t="s">
        <v>181</v>
      </c>
    </row>
    <row r="3301" spans="1:11" x14ac:dyDescent="0.25">
      <c r="A3301" s="1" t="s">
        <v>10546</v>
      </c>
      <c r="B3301" s="1" t="s">
        <v>10547</v>
      </c>
      <c r="D3301" s="1" t="s">
        <v>10548</v>
      </c>
      <c r="E3301" s="1" t="s">
        <v>209</v>
      </c>
      <c r="F3301" s="1" t="s">
        <v>5017</v>
      </c>
      <c r="G3301" s="1" t="s">
        <v>5018</v>
      </c>
      <c r="H3301" s="1">
        <v>0.1</v>
      </c>
      <c r="I3301" s="1">
        <v>0.1</v>
      </c>
      <c r="J3301" s="1">
        <v>0.61493445714307526</v>
      </c>
      <c r="K3301" s="1" t="s">
        <v>181</v>
      </c>
    </row>
    <row r="3302" spans="1:11" x14ac:dyDescent="0.25">
      <c r="A3302" s="1" t="s">
        <v>10549</v>
      </c>
      <c r="B3302" s="1" t="s">
        <v>10550</v>
      </c>
      <c r="D3302" s="1" t="s">
        <v>10551</v>
      </c>
      <c r="E3302" s="1" t="s">
        <v>209</v>
      </c>
      <c r="F3302" s="1" t="s">
        <v>5017</v>
      </c>
      <c r="G3302" s="1" t="s">
        <v>5018</v>
      </c>
      <c r="H3302" s="1">
        <v>0.1</v>
      </c>
      <c r="I3302" s="1">
        <v>0.1</v>
      </c>
      <c r="J3302" s="1">
        <v>0.7163959954182938</v>
      </c>
      <c r="K3302" s="1" t="s">
        <v>181</v>
      </c>
    </row>
    <row r="3303" spans="1:11" x14ac:dyDescent="0.25">
      <c r="A3303" s="1" t="s">
        <v>10552</v>
      </c>
      <c r="B3303" s="1" t="s">
        <v>10553</v>
      </c>
      <c r="D3303" s="1" t="s">
        <v>10554</v>
      </c>
      <c r="E3303" s="1" t="s">
        <v>209</v>
      </c>
      <c r="F3303" s="1" t="s">
        <v>5017</v>
      </c>
      <c r="G3303" s="1" t="s">
        <v>5018</v>
      </c>
      <c r="H3303" s="1">
        <v>0.1</v>
      </c>
      <c r="I3303" s="1">
        <v>0.1</v>
      </c>
      <c r="J3303" s="1">
        <v>0.53132937264145774</v>
      </c>
      <c r="K3303" s="1" t="s">
        <v>181</v>
      </c>
    </row>
    <row r="3304" spans="1:11" x14ac:dyDescent="0.25">
      <c r="A3304" s="1" t="s">
        <v>10555</v>
      </c>
      <c r="B3304" s="1" t="s">
        <v>10556</v>
      </c>
      <c r="D3304" s="1" t="s">
        <v>10557</v>
      </c>
      <c r="E3304" s="1" t="s">
        <v>209</v>
      </c>
      <c r="F3304" s="1" t="s">
        <v>5017</v>
      </c>
      <c r="G3304" s="1" t="s">
        <v>5018</v>
      </c>
      <c r="H3304" s="1">
        <v>0.1</v>
      </c>
      <c r="I3304" s="1">
        <v>0.1</v>
      </c>
      <c r="J3304" s="1">
        <v>0.68079482565364891</v>
      </c>
      <c r="K3304" s="1" t="s">
        <v>181</v>
      </c>
    </row>
    <row r="3305" spans="1:11" x14ac:dyDescent="0.25">
      <c r="A3305" s="1" t="s">
        <v>10558</v>
      </c>
      <c r="B3305" s="1" t="s">
        <v>10559</v>
      </c>
      <c r="D3305" s="1" t="s">
        <v>10560</v>
      </c>
      <c r="E3305" s="1" t="s">
        <v>209</v>
      </c>
      <c r="F3305" s="1" t="s">
        <v>5017</v>
      </c>
      <c r="G3305" s="1" t="s">
        <v>5018</v>
      </c>
      <c r="H3305" s="1">
        <v>0.1</v>
      </c>
      <c r="I3305" s="1">
        <v>0.1</v>
      </c>
      <c r="J3305" s="1">
        <v>0.84540166671407668</v>
      </c>
      <c r="K3305" s="1" t="s">
        <v>181</v>
      </c>
    </row>
    <row r="3306" spans="1:11" x14ac:dyDescent="0.25">
      <c r="A3306" s="1" t="s">
        <v>115</v>
      </c>
      <c r="B3306" s="1" t="s">
        <v>10561</v>
      </c>
      <c r="D3306" s="1" t="s">
        <v>10562</v>
      </c>
      <c r="E3306" s="1" t="s">
        <v>209</v>
      </c>
      <c r="F3306" s="1" t="s">
        <v>5017</v>
      </c>
      <c r="G3306" s="1" t="s">
        <v>5018</v>
      </c>
      <c r="H3306" s="1">
        <v>0.1</v>
      </c>
      <c r="I3306" s="1">
        <v>0.1</v>
      </c>
      <c r="J3306" s="1">
        <v>0.51820913583111572</v>
      </c>
      <c r="K3306" s="1" t="s">
        <v>181</v>
      </c>
    </row>
    <row r="3307" spans="1:11" x14ac:dyDescent="0.25">
      <c r="A3307" s="1" t="s">
        <v>10563</v>
      </c>
      <c r="B3307" s="1" t="s">
        <v>10564</v>
      </c>
      <c r="D3307" s="1" t="s">
        <v>10565</v>
      </c>
      <c r="E3307" s="1" t="s">
        <v>209</v>
      </c>
      <c r="F3307" s="1" t="s">
        <v>5017</v>
      </c>
      <c r="G3307" s="1" t="s">
        <v>5018</v>
      </c>
      <c r="H3307" s="1">
        <v>0.1</v>
      </c>
      <c r="I3307" s="1">
        <v>0.1</v>
      </c>
      <c r="J3307" s="1">
        <v>0.65388355829898115</v>
      </c>
      <c r="K3307" s="1" t="s">
        <v>181</v>
      </c>
    </row>
    <row r="3308" spans="1:11" x14ac:dyDescent="0.25">
      <c r="A3308" s="1" t="s">
        <v>10566</v>
      </c>
      <c r="B3308" s="1" t="s">
        <v>10567</v>
      </c>
      <c r="D3308" s="1" t="s">
        <v>10568</v>
      </c>
      <c r="E3308" s="1" t="s">
        <v>209</v>
      </c>
      <c r="F3308" s="1" t="s">
        <v>5017</v>
      </c>
      <c r="G3308" s="1" t="s">
        <v>5018</v>
      </c>
      <c r="H3308" s="1">
        <v>0.1</v>
      </c>
      <c r="I3308" s="1">
        <v>0.1</v>
      </c>
      <c r="J3308" s="1">
        <v>0.67068691102909073</v>
      </c>
      <c r="K3308" s="1" t="s">
        <v>181</v>
      </c>
    </row>
    <row r="3309" spans="1:11" x14ac:dyDescent="0.25">
      <c r="A3309" s="1" t="s">
        <v>10569</v>
      </c>
      <c r="B3309" s="1" t="s">
        <v>10570</v>
      </c>
      <c r="D3309" s="1" t="s">
        <v>10571</v>
      </c>
      <c r="E3309" s="1" t="s">
        <v>209</v>
      </c>
      <c r="F3309" s="1" t="s">
        <v>5017</v>
      </c>
      <c r="G3309" s="1" t="s">
        <v>5018</v>
      </c>
      <c r="H3309" s="1">
        <v>0.1</v>
      </c>
      <c r="I3309" s="1">
        <v>0.1</v>
      </c>
      <c r="J3309" s="1">
        <v>0.65800627664714684</v>
      </c>
      <c r="K3309" s="1" t="s">
        <v>181</v>
      </c>
    </row>
    <row r="3310" spans="1:11" x14ac:dyDescent="0.25">
      <c r="A3310" s="1" t="s">
        <v>10572</v>
      </c>
      <c r="B3310" s="1" t="s">
        <v>10573</v>
      </c>
      <c r="D3310" s="1" t="s">
        <v>10574</v>
      </c>
      <c r="E3310" s="1" t="s">
        <v>209</v>
      </c>
      <c r="F3310" s="1" t="s">
        <v>5017</v>
      </c>
      <c r="G3310" s="1" t="s">
        <v>5018</v>
      </c>
      <c r="H3310" s="1">
        <v>0.1</v>
      </c>
      <c r="I3310" s="1">
        <v>0.1</v>
      </c>
      <c r="J3310" s="1">
        <v>0.83665580460281341</v>
      </c>
      <c r="K3310" s="1" t="s">
        <v>181</v>
      </c>
    </row>
    <row r="3311" spans="1:11" x14ac:dyDescent="0.25">
      <c r="A3311" s="1" t="s">
        <v>10575</v>
      </c>
      <c r="B3311" s="1" t="s">
        <v>10576</v>
      </c>
      <c r="D3311" s="1" t="s">
        <v>10577</v>
      </c>
      <c r="E3311" s="1" t="s">
        <v>209</v>
      </c>
      <c r="F3311" s="1" t="s">
        <v>5017</v>
      </c>
      <c r="G3311" s="1" t="s">
        <v>5018</v>
      </c>
      <c r="H3311" s="1">
        <v>0.1</v>
      </c>
      <c r="I3311" s="1">
        <v>0.1</v>
      </c>
      <c r="J3311" s="1">
        <v>0.86114015363041707</v>
      </c>
      <c r="K3311" s="1" t="s">
        <v>181</v>
      </c>
    </row>
    <row r="3312" spans="1:11" x14ac:dyDescent="0.25">
      <c r="A3312" s="1" t="s">
        <v>10578</v>
      </c>
      <c r="B3312" s="1" t="s">
        <v>10579</v>
      </c>
      <c r="D3312" s="1" t="s">
        <v>10580</v>
      </c>
      <c r="E3312" s="1" t="s">
        <v>209</v>
      </c>
      <c r="F3312" s="1" t="s">
        <v>5017</v>
      </c>
      <c r="G3312" s="1" t="s">
        <v>5018</v>
      </c>
      <c r="H3312" s="1">
        <v>0.1</v>
      </c>
      <c r="I3312" s="1">
        <v>0.1</v>
      </c>
      <c r="J3312" s="1">
        <v>0.67608900664853366</v>
      </c>
      <c r="K3312" s="1" t="s">
        <v>181</v>
      </c>
    </row>
    <row r="3313" spans="1:11" x14ac:dyDescent="0.25">
      <c r="A3313" s="1" t="s">
        <v>10581</v>
      </c>
      <c r="B3313" s="1" t="s">
        <v>10582</v>
      </c>
      <c r="D3313" s="1" t="s">
        <v>10583</v>
      </c>
      <c r="E3313" s="1" t="s">
        <v>209</v>
      </c>
      <c r="F3313" s="1" t="s">
        <v>5017</v>
      </c>
      <c r="G3313" s="1" t="s">
        <v>5018</v>
      </c>
      <c r="H3313" s="1">
        <v>0.1</v>
      </c>
      <c r="I3313" s="1">
        <v>0.1</v>
      </c>
      <c r="J3313" s="1">
        <v>0.6507778878776217</v>
      </c>
      <c r="K3313" s="1" t="s">
        <v>181</v>
      </c>
    </row>
    <row r="3314" spans="1:11" x14ac:dyDescent="0.25">
      <c r="A3314" s="1" t="s">
        <v>10584</v>
      </c>
      <c r="B3314" s="1" t="s">
        <v>10585</v>
      </c>
      <c r="D3314" s="1" t="s">
        <v>10586</v>
      </c>
      <c r="E3314" s="1" t="s">
        <v>209</v>
      </c>
      <c r="F3314" s="1" t="s">
        <v>5017</v>
      </c>
      <c r="G3314" s="1" t="s">
        <v>5018</v>
      </c>
      <c r="H3314" s="1">
        <v>0.1</v>
      </c>
      <c r="I3314" s="1">
        <v>0.1</v>
      </c>
      <c r="J3314" s="1">
        <v>0.81353911840793913</v>
      </c>
      <c r="K3314" s="1" t="s">
        <v>181</v>
      </c>
    </row>
    <row r="3315" spans="1:11" x14ac:dyDescent="0.25">
      <c r="A3315" s="1" t="s">
        <v>10587</v>
      </c>
      <c r="B3315" s="1" t="s">
        <v>10588</v>
      </c>
      <c r="D3315" s="1" t="s">
        <v>10589</v>
      </c>
      <c r="E3315" s="1" t="s">
        <v>209</v>
      </c>
      <c r="F3315" s="1" t="s">
        <v>5017</v>
      </c>
      <c r="G3315" s="1" t="s">
        <v>5018</v>
      </c>
      <c r="H3315" s="1">
        <v>0.1</v>
      </c>
      <c r="I3315" s="1">
        <v>0.1</v>
      </c>
      <c r="J3315" s="1">
        <v>0.83033158288905029</v>
      </c>
      <c r="K3315" s="1" t="s">
        <v>181</v>
      </c>
    </row>
    <row r="3316" spans="1:11" x14ac:dyDescent="0.25">
      <c r="A3316" s="1" t="s">
        <v>10590</v>
      </c>
      <c r="B3316" s="1" t="s">
        <v>10591</v>
      </c>
      <c r="D3316" s="1" t="s">
        <v>10592</v>
      </c>
      <c r="E3316" s="1" t="s">
        <v>209</v>
      </c>
      <c r="F3316" s="1" t="s">
        <v>5017</v>
      </c>
      <c r="G3316" s="1" t="s">
        <v>5018</v>
      </c>
      <c r="H3316" s="1">
        <v>0.1</v>
      </c>
      <c r="I3316" s="1">
        <v>0.1</v>
      </c>
      <c r="J3316" s="1">
        <v>0.52183554294821088</v>
      </c>
      <c r="K3316" s="1" t="s">
        <v>181</v>
      </c>
    </row>
    <row r="3317" spans="1:11" x14ac:dyDescent="0.25">
      <c r="A3317" s="1" t="s">
        <v>10593</v>
      </c>
      <c r="B3317" s="1" t="s">
        <v>10594</v>
      </c>
      <c r="D3317" s="1" t="s">
        <v>10595</v>
      </c>
      <c r="E3317" s="1" t="s">
        <v>209</v>
      </c>
      <c r="F3317" s="1" t="s">
        <v>5017</v>
      </c>
      <c r="G3317" s="1" t="s">
        <v>5018</v>
      </c>
      <c r="H3317" s="1">
        <v>0.1</v>
      </c>
      <c r="I3317" s="1">
        <v>0.1</v>
      </c>
      <c r="J3317" s="1">
        <v>0.49257750803064465</v>
      </c>
      <c r="K3317" s="1" t="s">
        <v>181</v>
      </c>
    </row>
    <row r="3318" spans="1:11" x14ac:dyDescent="0.25">
      <c r="A3318" s="1" t="s">
        <v>10596</v>
      </c>
      <c r="B3318" s="1" t="s">
        <v>10597</v>
      </c>
      <c r="D3318" s="1" t="s">
        <v>10598</v>
      </c>
      <c r="E3318" s="1" t="s">
        <v>209</v>
      </c>
      <c r="F3318" s="1" t="s">
        <v>5017</v>
      </c>
      <c r="G3318" s="1" t="s">
        <v>5018</v>
      </c>
      <c r="H3318" s="1">
        <v>0.1</v>
      </c>
      <c r="I3318" s="1">
        <v>0.1</v>
      </c>
      <c r="J3318" s="1">
        <v>0.72330441235728671</v>
      </c>
      <c r="K3318" s="1" t="s">
        <v>181</v>
      </c>
    </row>
    <row r="3319" spans="1:11" x14ac:dyDescent="0.25">
      <c r="A3319" s="1" t="s">
        <v>10599</v>
      </c>
      <c r="B3319" s="1" t="s">
        <v>10600</v>
      </c>
      <c r="D3319" s="1" t="s">
        <v>10601</v>
      </c>
      <c r="E3319" s="1" t="s">
        <v>209</v>
      </c>
      <c r="F3319" s="1" t="s">
        <v>5017</v>
      </c>
      <c r="G3319" s="1" t="s">
        <v>5018</v>
      </c>
      <c r="H3319" s="1">
        <v>0.1</v>
      </c>
      <c r="I3319" s="1">
        <v>0.1</v>
      </c>
      <c r="J3319" s="1">
        <v>0.63887457839155837</v>
      </c>
      <c r="K3319" s="1" t="s">
        <v>181</v>
      </c>
    </row>
    <row r="3320" spans="1:11" x14ac:dyDescent="0.25">
      <c r="A3320" s="1" t="s">
        <v>10602</v>
      </c>
      <c r="B3320" s="1" t="s">
        <v>10603</v>
      </c>
      <c r="D3320" s="1" t="s">
        <v>10604</v>
      </c>
      <c r="E3320" s="1" t="s">
        <v>209</v>
      </c>
      <c r="F3320" s="1" t="s">
        <v>5017</v>
      </c>
      <c r="G3320" s="1" t="s">
        <v>5018</v>
      </c>
      <c r="H3320" s="1">
        <v>0.1</v>
      </c>
      <c r="I3320" s="1">
        <v>0.1</v>
      </c>
      <c r="J3320" s="1">
        <v>0.62225332327280158</v>
      </c>
      <c r="K3320" s="1" t="s">
        <v>181</v>
      </c>
    </row>
    <row r="3321" spans="1:11" x14ac:dyDescent="0.25">
      <c r="A3321" s="1" t="s">
        <v>10605</v>
      </c>
      <c r="B3321" s="1" t="s">
        <v>10606</v>
      </c>
      <c r="D3321" s="1" t="s">
        <v>10607</v>
      </c>
      <c r="E3321" s="1" t="s">
        <v>209</v>
      </c>
      <c r="F3321" s="1" t="s">
        <v>5017</v>
      </c>
      <c r="G3321" s="1" t="s">
        <v>5018</v>
      </c>
      <c r="H3321" s="1">
        <v>0.1</v>
      </c>
      <c r="I3321" s="1">
        <v>0.1</v>
      </c>
      <c r="J3321" s="1">
        <v>0.70314237082429654</v>
      </c>
      <c r="K3321" s="1" t="s">
        <v>181</v>
      </c>
    </row>
    <row r="3322" spans="1:11" x14ac:dyDescent="0.25">
      <c r="A3322" s="1" t="s">
        <v>10608</v>
      </c>
      <c r="B3322" s="1" t="s">
        <v>10609</v>
      </c>
      <c r="D3322" s="1" t="s">
        <v>10610</v>
      </c>
      <c r="E3322" s="1" t="s">
        <v>209</v>
      </c>
      <c r="F3322" s="1" t="s">
        <v>5017</v>
      </c>
      <c r="G3322" s="1" t="s">
        <v>5018</v>
      </c>
      <c r="H3322" s="1">
        <v>0.1</v>
      </c>
      <c r="I3322" s="1">
        <v>0.1</v>
      </c>
      <c r="J3322" s="1">
        <v>0.62501543328723996</v>
      </c>
      <c r="K3322" s="1" t="s">
        <v>181</v>
      </c>
    </row>
    <row r="3323" spans="1:11" x14ac:dyDescent="0.25">
      <c r="A3323" s="1" t="s">
        <v>10611</v>
      </c>
      <c r="B3323" s="1" t="s">
        <v>10609</v>
      </c>
      <c r="D3323" s="1" t="s">
        <v>10610</v>
      </c>
      <c r="E3323" s="1" t="s">
        <v>209</v>
      </c>
      <c r="F3323" s="1" t="s">
        <v>5017</v>
      </c>
      <c r="G3323" s="1" t="s">
        <v>5018</v>
      </c>
      <c r="H3323" s="1">
        <v>0.1</v>
      </c>
      <c r="I3323" s="1">
        <v>0.1</v>
      </c>
      <c r="J3323" s="1">
        <v>0.75417979259547885</v>
      </c>
      <c r="K3323" s="1" t="s">
        <v>181</v>
      </c>
    </row>
    <row r="3324" spans="1:11" x14ac:dyDescent="0.25">
      <c r="A3324" s="1" t="s">
        <v>10612</v>
      </c>
      <c r="B3324" s="1" t="s">
        <v>10613</v>
      </c>
      <c r="D3324" s="1" t="s">
        <v>10614</v>
      </c>
      <c r="E3324" s="1" t="s">
        <v>209</v>
      </c>
      <c r="F3324" s="1" t="s">
        <v>5017</v>
      </c>
      <c r="G3324" s="1" t="s">
        <v>5018</v>
      </c>
      <c r="H3324" s="1">
        <v>0.1</v>
      </c>
      <c r="I3324" s="1">
        <v>0.1</v>
      </c>
      <c r="K3324" s="1" t="s">
        <v>181</v>
      </c>
    </row>
    <row r="3325" spans="1:11" x14ac:dyDescent="0.25">
      <c r="A3325" s="1" t="s">
        <v>10615</v>
      </c>
      <c r="B3325" s="1" t="s">
        <v>10616</v>
      </c>
      <c r="D3325" s="1" t="s">
        <v>10617</v>
      </c>
      <c r="E3325" s="1" t="s">
        <v>209</v>
      </c>
      <c r="F3325" s="1" t="s">
        <v>5017</v>
      </c>
      <c r="G3325" s="1" t="s">
        <v>5018</v>
      </c>
      <c r="H3325" s="1">
        <v>0.1</v>
      </c>
      <c r="I3325" s="1">
        <v>0.1</v>
      </c>
      <c r="J3325" s="1">
        <v>0.66160346945538673</v>
      </c>
      <c r="K3325" s="1" t="s">
        <v>181</v>
      </c>
    </row>
    <row r="3326" spans="1:11" x14ac:dyDescent="0.25">
      <c r="A3326" s="1" t="s">
        <v>10618</v>
      </c>
      <c r="B3326" s="1" t="s">
        <v>10619</v>
      </c>
      <c r="D3326" s="1" t="s">
        <v>10620</v>
      </c>
      <c r="E3326" s="1" t="s">
        <v>209</v>
      </c>
      <c r="F3326" s="1" t="s">
        <v>5017</v>
      </c>
      <c r="G3326" s="1" t="s">
        <v>5018</v>
      </c>
      <c r="H3326" s="1">
        <v>0.1</v>
      </c>
      <c r="I3326" s="1">
        <v>0.1</v>
      </c>
      <c r="J3326" s="1">
        <v>0.64578209402890907</v>
      </c>
      <c r="K3326" s="1" t="s">
        <v>181</v>
      </c>
    </row>
    <row r="3327" spans="1:11" x14ac:dyDescent="0.25">
      <c r="A3327" s="1" t="s">
        <v>10621</v>
      </c>
      <c r="B3327" s="1" t="s">
        <v>10622</v>
      </c>
      <c r="D3327" s="1" t="s">
        <v>10623</v>
      </c>
      <c r="E3327" s="1" t="s">
        <v>209</v>
      </c>
      <c r="F3327" s="1" t="s">
        <v>5017</v>
      </c>
      <c r="G3327" s="1" t="s">
        <v>5018</v>
      </c>
      <c r="H3327" s="1">
        <v>0.1</v>
      </c>
      <c r="I3327" s="1">
        <v>0.1</v>
      </c>
      <c r="J3327" s="1">
        <v>0.70498891383392326</v>
      </c>
      <c r="K3327" s="1" t="s">
        <v>181</v>
      </c>
    </row>
    <row r="3328" spans="1:11" x14ac:dyDescent="0.25">
      <c r="A3328" s="1" t="s">
        <v>10624</v>
      </c>
      <c r="B3328" s="1" t="s">
        <v>10625</v>
      </c>
      <c r="D3328" s="1" t="s">
        <v>10626</v>
      </c>
      <c r="E3328" s="1" t="s">
        <v>209</v>
      </c>
      <c r="F3328" s="1" t="s">
        <v>5017</v>
      </c>
      <c r="G3328" s="1" t="s">
        <v>5018</v>
      </c>
      <c r="H3328" s="1">
        <v>0.1</v>
      </c>
      <c r="I3328" s="1">
        <v>0.1</v>
      </c>
      <c r="J3328" s="1">
        <v>0.7904368283117208</v>
      </c>
      <c r="K3328" s="1" t="s">
        <v>181</v>
      </c>
    </row>
    <row r="3329" spans="1:11" x14ac:dyDescent="0.25">
      <c r="A3329" s="1" t="s">
        <v>10627</v>
      </c>
      <c r="B3329" s="1" t="s">
        <v>10628</v>
      </c>
      <c r="D3329" s="1" t="s">
        <v>10629</v>
      </c>
      <c r="E3329" s="1" t="s">
        <v>209</v>
      </c>
      <c r="F3329" s="1" t="s">
        <v>5017</v>
      </c>
      <c r="G3329" s="1" t="s">
        <v>5018</v>
      </c>
      <c r="H3329" s="1">
        <v>0.1</v>
      </c>
      <c r="I3329" s="1">
        <v>0.1</v>
      </c>
      <c r="J3329" s="1">
        <v>0.61347963872847255</v>
      </c>
      <c r="K3329" s="1" t="s">
        <v>181</v>
      </c>
    </row>
    <row r="3330" spans="1:11" x14ac:dyDescent="0.25">
      <c r="A3330" s="1" t="s">
        <v>10630</v>
      </c>
      <c r="B3330" s="1" t="s">
        <v>10631</v>
      </c>
      <c r="D3330" s="1" t="s">
        <v>10632</v>
      </c>
      <c r="E3330" s="1" t="s">
        <v>209</v>
      </c>
      <c r="F3330" s="1" t="s">
        <v>5017</v>
      </c>
      <c r="G3330" s="1" t="s">
        <v>5018</v>
      </c>
      <c r="H3330" s="1">
        <v>0.1</v>
      </c>
      <c r="I3330" s="1">
        <v>0.1</v>
      </c>
      <c r="J3330" s="1">
        <v>0.59608835831709339</v>
      </c>
      <c r="K3330" s="1" t="s">
        <v>181</v>
      </c>
    </row>
    <row r="3331" spans="1:11" x14ac:dyDescent="0.25">
      <c r="A3331" s="1" t="s">
        <v>10633</v>
      </c>
      <c r="B3331" s="1" t="s">
        <v>10634</v>
      </c>
      <c r="D3331" s="1" t="s">
        <v>10635</v>
      </c>
      <c r="E3331" s="1" t="s">
        <v>209</v>
      </c>
      <c r="F3331" s="1" t="s">
        <v>5017</v>
      </c>
      <c r="G3331" s="1" t="s">
        <v>5018</v>
      </c>
      <c r="H3331" s="1">
        <v>0.1</v>
      </c>
      <c r="I3331" s="1">
        <v>0.1</v>
      </c>
      <c r="J3331" s="1">
        <v>0.61070022744285146</v>
      </c>
      <c r="K3331" s="1" t="s">
        <v>181</v>
      </c>
    </row>
    <row r="3332" spans="1:11" x14ac:dyDescent="0.25">
      <c r="A3332" s="1" t="s">
        <v>10636</v>
      </c>
      <c r="B3332" s="1" t="s">
        <v>10637</v>
      </c>
      <c r="D3332" s="1" t="s">
        <v>10638</v>
      </c>
      <c r="E3332" s="1" t="s">
        <v>209</v>
      </c>
      <c r="F3332" s="1" t="s">
        <v>5017</v>
      </c>
      <c r="G3332" s="1" t="s">
        <v>5018</v>
      </c>
      <c r="H3332" s="1">
        <v>0.1</v>
      </c>
      <c r="I3332" s="1">
        <v>0.1</v>
      </c>
      <c r="J3332" s="1">
        <v>0.53961656117220436</v>
      </c>
      <c r="K3332" s="1" t="s">
        <v>181</v>
      </c>
    </row>
    <row r="3333" spans="1:11" x14ac:dyDescent="0.25">
      <c r="A3333" s="1" t="s">
        <v>10639</v>
      </c>
      <c r="B3333" s="1" t="s">
        <v>10640</v>
      </c>
      <c r="D3333" s="1" t="s">
        <v>10641</v>
      </c>
      <c r="E3333" s="1" t="s">
        <v>209</v>
      </c>
      <c r="F3333" s="1" t="s">
        <v>5017</v>
      </c>
      <c r="G3333" s="1" t="s">
        <v>5018</v>
      </c>
      <c r="H3333" s="1">
        <v>0.1</v>
      </c>
      <c r="I3333" s="1">
        <v>0.1</v>
      </c>
      <c r="J3333" s="1">
        <v>0.63583851454424956</v>
      </c>
      <c r="K3333" s="1" t="s">
        <v>181</v>
      </c>
    </row>
    <row r="3334" spans="1:11" x14ac:dyDescent="0.25">
      <c r="A3334" s="1" t="s">
        <v>10642</v>
      </c>
      <c r="B3334" s="1" t="s">
        <v>10643</v>
      </c>
      <c r="D3334" s="1" t="s">
        <v>10644</v>
      </c>
      <c r="E3334" s="1" t="s">
        <v>209</v>
      </c>
      <c r="F3334" s="1" t="s">
        <v>5017</v>
      </c>
      <c r="G3334" s="1" t="s">
        <v>5018</v>
      </c>
      <c r="H3334" s="1">
        <v>0.1</v>
      </c>
      <c r="I3334" s="1">
        <v>0.1</v>
      </c>
      <c r="J3334" s="1">
        <v>0.88775551294346911</v>
      </c>
      <c r="K3334" s="1" t="s">
        <v>181</v>
      </c>
    </row>
    <row r="3335" spans="1:11" x14ac:dyDescent="0.25">
      <c r="A3335" s="1" t="s">
        <v>10645</v>
      </c>
      <c r="B3335" s="1" t="s">
        <v>10646</v>
      </c>
      <c r="D3335" s="1" t="s">
        <v>10647</v>
      </c>
      <c r="E3335" s="1" t="s">
        <v>209</v>
      </c>
      <c r="F3335" s="1" t="s">
        <v>5017</v>
      </c>
      <c r="G3335" s="1" t="s">
        <v>5018</v>
      </c>
      <c r="H3335" s="1">
        <v>0.1</v>
      </c>
      <c r="I3335" s="1">
        <v>0.1</v>
      </c>
      <c r="J3335" s="1">
        <v>0.8808455899280565</v>
      </c>
      <c r="K3335" s="1" t="s">
        <v>181</v>
      </c>
    </row>
    <row r="3336" spans="1:11" x14ac:dyDescent="0.25">
      <c r="A3336" s="1" t="s">
        <v>10648</v>
      </c>
      <c r="B3336" s="1" t="s">
        <v>10649</v>
      </c>
      <c r="D3336" s="1" t="s">
        <v>10650</v>
      </c>
      <c r="E3336" s="1" t="s">
        <v>209</v>
      </c>
      <c r="F3336" s="1" t="s">
        <v>5017</v>
      </c>
      <c r="G3336" s="1" t="s">
        <v>5018</v>
      </c>
      <c r="H3336" s="1">
        <v>0.1</v>
      </c>
      <c r="I3336" s="1">
        <v>0.1</v>
      </c>
      <c r="J3336" s="1">
        <v>0.65154348421948638</v>
      </c>
      <c r="K3336" s="1" t="s">
        <v>181</v>
      </c>
    </row>
    <row r="3337" spans="1:11" x14ac:dyDescent="0.25">
      <c r="A3337" s="1" t="s">
        <v>10651</v>
      </c>
      <c r="B3337" s="1" t="s">
        <v>10652</v>
      </c>
      <c r="D3337" s="1" t="s">
        <v>10653</v>
      </c>
      <c r="E3337" s="1" t="s">
        <v>209</v>
      </c>
      <c r="F3337" s="1" t="s">
        <v>5017</v>
      </c>
      <c r="G3337" s="1" t="s">
        <v>5018</v>
      </c>
      <c r="H3337" s="1">
        <v>0.1</v>
      </c>
      <c r="I3337" s="1">
        <v>0.1</v>
      </c>
      <c r="J3337" s="1">
        <v>0.75804985222832211</v>
      </c>
      <c r="K3337" s="1" t="s">
        <v>181</v>
      </c>
    </row>
    <row r="3338" spans="1:11" x14ac:dyDescent="0.25">
      <c r="A3338" s="1" t="s">
        <v>10654</v>
      </c>
      <c r="B3338" s="1" t="s">
        <v>10655</v>
      </c>
      <c r="D3338" s="1" t="s">
        <v>10656</v>
      </c>
      <c r="E3338" s="1" t="s">
        <v>209</v>
      </c>
      <c r="F3338" s="1" t="s">
        <v>5017</v>
      </c>
      <c r="G3338" s="1" t="s">
        <v>5018</v>
      </c>
      <c r="H3338" s="1">
        <v>0.1</v>
      </c>
      <c r="I3338" s="1">
        <v>0.1</v>
      </c>
      <c r="J3338" s="1">
        <v>0.71087082562321968</v>
      </c>
      <c r="K3338" s="1" t="s">
        <v>181</v>
      </c>
    </row>
    <row r="3339" spans="1:11" x14ac:dyDescent="0.25">
      <c r="A3339" s="1" t="s">
        <v>10657</v>
      </c>
      <c r="B3339" s="1" t="s">
        <v>10658</v>
      </c>
      <c r="D3339" s="1" t="s">
        <v>10659</v>
      </c>
      <c r="E3339" s="1" t="s">
        <v>209</v>
      </c>
      <c r="F3339" s="1" t="s">
        <v>5017</v>
      </c>
      <c r="G3339" s="1" t="s">
        <v>5018</v>
      </c>
      <c r="H3339" s="1">
        <v>0.1</v>
      </c>
      <c r="I3339" s="1">
        <v>0.1</v>
      </c>
      <c r="J3339" s="1">
        <v>0.61762253773719988</v>
      </c>
      <c r="K3339" s="1" t="s">
        <v>181</v>
      </c>
    </row>
    <row r="3340" spans="1:11" x14ac:dyDescent="0.25">
      <c r="A3340" s="1" t="s">
        <v>10660</v>
      </c>
      <c r="B3340" s="1" t="s">
        <v>10661</v>
      </c>
      <c r="D3340" s="1" t="s">
        <v>10662</v>
      </c>
      <c r="E3340" s="1" t="s">
        <v>209</v>
      </c>
      <c r="F3340" s="1" t="s">
        <v>5017</v>
      </c>
      <c r="G3340" s="1" t="s">
        <v>5018</v>
      </c>
      <c r="H3340" s="1">
        <v>0.1</v>
      </c>
      <c r="I3340" s="1">
        <v>0.1</v>
      </c>
      <c r="J3340" s="1">
        <v>0.69116954170308764</v>
      </c>
      <c r="K3340" s="1" t="s">
        <v>181</v>
      </c>
    </row>
    <row r="3341" spans="1:11" x14ac:dyDescent="0.25">
      <c r="A3341" s="1" t="s">
        <v>10663</v>
      </c>
      <c r="B3341" s="1" t="s">
        <v>10664</v>
      </c>
      <c r="D3341" s="1" t="s">
        <v>10665</v>
      </c>
      <c r="E3341" s="1" t="s">
        <v>209</v>
      </c>
      <c r="F3341" s="1" t="s">
        <v>5017</v>
      </c>
      <c r="G3341" s="1" t="s">
        <v>5018</v>
      </c>
      <c r="H3341" s="1">
        <v>0.1</v>
      </c>
      <c r="I3341" s="1">
        <v>0.1</v>
      </c>
      <c r="J3341" s="1">
        <v>0.62545553255298159</v>
      </c>
      <c r="K3341" s="1" t="s">
        <v>181</v>
      </c>
    </row>
    <row r="3342" spans="1:11" x14ac:dyDescent="0.25">
      <c r="A3342" s="1" t="s">
        <v>10666</v>
      </c>
      <c r="B3342" s="1" t="s">
        <v>10667</v>
      </c>
      <c r="D3342" s="1" t="s">
        <v>10668</v>
      </c>
      <c r="E3342" s="1" t="s">
        <v>209</v>
      </c>
      <c r="F3342" s="1" t="s">
        <v>5017</v>
      </c>
      <c r="G3342" s="1" t="s">
        <v>5018</v>
      </c>
      <c r="H3342" s="1">
        <v>0.1</v>
      </c>
      <c r="I3342" s="1">
        <v>0.1</v>
      </c>
      <c r="J3342" s="1">
        <v>0.73448618402338461</v>
      </c>
      <c r="K3342" s="1" t="s">
        <v>181</v>
      </c>
    </row>
    <row r="3343" spans="1:11" x14ac:dyDescent="0.25">
      <c r="A3343" s="1" t="s">
        <v>10669</v>
      </c>
      <c r="B3343" s="1" t="s">
        <v>10670</v>
      </c>
      <c r="D3343" s="1" t="s">
        <v>10671</v>
      </c>
      <c r="E3343" s="1" t="s">
        <v>209</v>
      </c>
      <c r="F3343" s="1" t="s">
        <v>5017</v>
      </c>
      <c r="G3343" s="1" t="s">
        <v>5018</v>
      </c>
      <c r="H3343" s="1">
        <v>0.1</v>
      </c>
      <c r="I3343" s="1">
        <v>0.1</v>
      </c>
      <c r="J3343" s="1">
        <v>0.62811171367645002</v>
      </c>
      <c r="K3343" s="1" t="s">
        <v>181</v>
      </c>
    </row>
    <row r="3344" spans="1:11" x14ac:dyDescent="0.25">
      <c r="A3344" s="1" t="s">
        <v>10672</v>
      </c>
      <c r="B3344" s="1" t="s">
        <v>10673</v>
      </c>
      <c r="D3344" s="1" t="s">
        <v>10674</v>
      </c>
      <c r="E3344" s="1" t="s">
        <v>209</v>
      </c>
      <c r="F3344" s="1" t="s">
        <v>5017</v>
      </c>
      <c r="G3344" s="1" t="s">
        <v>5018</v>
      </c>
      <c r="H3344" s="1">
        <v>0.1</v>
      </c>
      <c r="I3344" s="1">
        <v>0.1</v>
      </c>
      <c r="J3344" s="1">
        <v>0.79122833480550014</v>
      </c>
      <c r="K3344" s="1" t="s">
        <v>181</v>
      </c>
    </row>
    <row r="3345" spans="1:11" x14ac:dyDescent="0.25">
      <c r="A3345" s="1" t="s">
        <v>10675</v>
      </c>
      <c r="B3345" s="1" t="s">
        <v>10676</v>
      </c>
      <c r="D3345" s="1" t="s">
        <v>10677</v>
      </c>
      <c r="E3345" s="1" t="s">
        <v>209</v>
      </c>
      <c r="F3345" s="1" t="s">
        <v>5017</v>
      </c>
      <c r="G3345" s="1" t="s">
        <v>5018</v>
      </c>
      <c r="H3345" s="1">
        <v>0.1</v>
      </c>
      <c r="I3345" s="1">
        <v>0.1</v>
      </c>
      <c r="J3345" s="1">
        <v>0.78602979758797265</v>
      </c>
      <c r="K3345" s="1" t="s">
        <v>181</v>
      </c>
    </row>
    <row r="3346" spans="1:11" x14ac:dyDescent="0.25">
      <c r="A3346" s="1" t="s">
        <v>10678</v>
      </c>
      <c r="B3346" s="1" t="s">
        <v>10679</v>
      </c>
      <c r="D3346" s="1" t="s">
        <v>10680</v>
      </c>
      <c r="E3346" s="1" t="s">
        <v>209</v>
      </c>
      <c r="F3346" s="1" t="s">
        <v>5017</v>
      </c>
      <c r="G3346" s="1" t="s">
        <v>5018</v>
      </c>
      <c r="H3346" s="1">
        <v>0.1</v>
      </c>
      <c r="I3346" s="1">
        <v>0.1</v>
      </c>
      <c r="J3346" s="1">
        <v>0.70112310477323159</v>
      </c>
      <c r="K3346" s="1" t="s">
        <v>181</v>
      </c>
    </row>
    <row r="3347" spans="1:11" x14ac:dyDescent="0.25">
      <c r="A3347" s="1" t="s">
        <v>10681</v>
      </c>
      <c r="B3347" s="1" t="s">
        <v>10682</v>
      </c>
      <c r="D3347" s="1" t="s">
        <v>10683</v>
      </c>
      <c r="E3347" s="1" t="s">
        <v>209</v>
      </c>
      <c r="F3347" s="1" t="s">
        <v>5017</v>
      </c>
      <c r="G3347" s="1" t="s">
        <v>5018</v>
      </c>
      <c r="H3347" s="1">
        <v>0.1</v>
      </c>
      <c r="I3347" s="1">
        <v>0.1</v>
      </c>
      <c r="J3347" s="1">
        <v>0.674700945862451</v>
      </c>
      <c r="K3347" s="1" t="s">
        <v>181</v>
      </c>
    </row>
    <row r="3348" spans="1:11" x14ac:dyDescent="0.25">
      <c r="A3348" s="1" t="s">
        <v>10684</v>
      </c>
      <c r="B3348" s="1" t="s">
        <v>10685</v>
      </c>
      <c r="D3348" s="1" t="s">
        <v>10686</v>
      </c>
      <c r="E3348" s="1" t="s">
        <v>209</v>
      </c>
      <c r="F3348" s="1" t="s">
        <v>5017</v>
      </c>
      <c r="G3348" s="1" t="s">
        <v>5018</v>
      </c>
      <c r="H3348" s="1">
        <v>0.1</v>
      </c>
      <c r="I3348" s="1">
        <v>0.1</v>
      </c>
      <c r="J3348" s="1">
        <v>0.57160164563777893</v>
      </c>
      <c r="K3348" s="1" t="s">
        <v>181</v>
      </c>
    </row>
    <row r="3349" spans="1:11" x14ac:dyDescent="0.25">
      <c r="A3349" s="1" t="s">
        <v>10687</v>
      </c>
      <c r="B3349" s="1" t="s">
        <v>10688</v>
      </c>
      <c r="D3349" s="1" t="s">
        <v>10689</v>
      </c>
      <c r="E3349" s="1" t="s">
        <v>209</v>
      </c>
      <c r="F3349" s="1" t="s">
        <v>5017</v>
      </c>
      <c r="G3349" s="1" t="s">
        <v>5018</v>
      </c>
      <c r="H3349" s="1">
        <v>0.1</v>
      </c>
      <c r="I3349" s="1">
        <v>0.1</v>
      </c>
      <c r="J3349" s="1">
        <v>0.48226289558694119</v>
      </c>
      <c r="K3349" s="1" t="s">
        <v>181</v>
      </c>
    </row>
    <row r="3350" spans="1:11" x14ac:dyDescent="0.25">
      <c r="A3350" s="1" t="s">
        <v>10690</v>
      </c>
      <c r="B3350" s="1" t="s">
        <v>10691</v>
      </c>
      <c r="D3350" s="1" t="s">
        <v>10692</v>
      </c>
      <c r="E3350" s="1" t="s">
        <v>209</v>
      </c>
      <c r="F3350" s="1" t="s">
        <v>5017</v>
      </c>
      <c r="G3350" s="1" t="s">
        <v>5018</v>
      </c>
      <c r="H3350" s="1">
        <v>0.1</v>
      </c>
      <c r="I3350" s="1">
        <v>0.1</v>
      </c>
      <c r="J3350" s="1">
        <v>0.79549811019822614</v>
      </c>
      <c r="K3350" s="1" t="s">
        <v>181</v>
      </c>
    </row>
    <row r="3351" spans="1:11" x14ac:dyDescent="0.25">
      <c r="A3351" s="1" t="s">
        <v>10693</v>
      </c>
      <c r="B3351" s="1" t="s">
        <v>10694</v>
      </c>
      <c r="D3351" s="1" t="s">
        <v>10695</v>
      </c>
      <c r="E3351" s="1" t="s">
        <v>209</v>
      </c>
      <c r="F3351" s="1" t="s">
        <v>5017</v>
      </c>
      <c r="G3351" s="1" t="s">
        <v>5018</v>
      </c>
      <c r="H3351" s="1">
        <v>0.1</v>
      </c>
      <c r="I3351" s="1">
        <v>0.1</v>
      </c>
      <c r="J3351" s="1">
        <v>0.64498077964980771</v>
      </c>
      <c r="K3351" s="1" t="s">
        <v>181</v>
      </c>
    </row>
    <row r="3352" spans="1:11" x14ac:dyDescent="0.25">
      <c r="A3352" s="1" t="s">
        <v>10696</v>
      </c>
      <c r="B3352" s="1" t="s">
        <v>10697</v>
      </c>
      <c r="D3352" s="1" t="s">
        <v>10698</v>
      </c>
      <c r="E3352" s="1" t="s">
        <v>209</v>
      </c>
      <c r="F3352" s="1" t="s">
        <v>5017</v>
      </c>
      <c r="G3352" s="1" t="s">
        <v>5018</v>
      </c>
      <c r="H3352" s="1">
        <v>0.1</v>
      </c>
      <c r="I3352" s="1">
        <v>0.1</v>
      </c>
      <c r="J3352" s="1">
        <v>0.72961633150637817</v>
      </c>
      <c r="K3352" s="1" t="s">
        <v>181</v>
      </c>
    </row>
    <row r="3353" spans="1:11" x14ac:dyDescent="0.25">
      <c r="A3353" s="1" t="s">
        <v>10699</v>
      </c>
      <c r="B3353" s="1" t="s">
        <v>10700</v>
      </c>
      <c r="D3353" s="1" t="s">
        <v>10701</v>
      </c>
      <c r="E3353" s="1" t="s">
        <v>209</v>
      </c>
      <c r="F3353" s="1" t="s">
        <v>5017</v>
      </c>
      <c r="G3353" s="1" t="s">
        <v>5018</v>
      </c>
      <c r="H3353" s="1">
        <v>0.1</v>
      </c>
      <c r="I3353" s="1">
        <v>0.1</v>
      </c>
      <c r="J3353" s="1">
        <v>0.57871909884836803</v>
      </c>
      <c r="K3353" s="1" t="s">
        <v>181</v>
      </c>
    </row>
    <row r="3354" spans="1:11" x14ac:dyDescent="0.25">
      <c r="A3354" s="1" t="s">
        <v>10702</v>
      </c>
      <c r="B3354" s="1" t="s">
        <v>10703</v>
      </c>
      <c r="D3354" s="1" t="s">
        <v>10704</v>
      </c>
      <c r="E3354" s="1" t="s">
        <v>209</v>
      </c>
      <c r="F3354" s="1" t="s">
        <v>5017</v>
      </c>
      <c r="G3354" s="1" t="s">
        <v>5018</v>
      </c>
      <c r="H3354" s="1">
        <v>0.1</v>
      </c>
      <c r="I3354" s="1">
        <v>0.1</v>
      </c>
      <c r="J3354" s="1">
        <v>0.62808777872207822</v>
      </c>
      <c r="K3354" s="1" t="s">
        <v>181</v>
      </c>
    </row>
    <row r="3355" spans="1:11" x14ac:dyDescent="0.25">
      <c r="A3355" s="1" t="s">
        <v>10705</v>
      </c>
      <c r="B3355" s="1" t="s">
        <v>10706</v>
      </c>
      <c r="D3355" s="1" t="s">
        <v>10707</v>
      </c>
      <c r="E3355" s="1" t="s">
        <v>209</v>
      </c>
      <c r="F3355" s="1" t="s">
        <v>5017</v>
      </c>
      <c r="G3355" s="1" t="s">
        <v>5018</v>
      </c>
      <c r="H3355" s="1">
        <v>0.1</v>
      </c>
      <c r="I3355" s="1">
        <v>0.1</v>
      </c>
      <c r="J3355" s="1">
        <v>0.78666190356154497</v>
      </c>
      <c r="K3355" s="1" t="s">
        <v>181</v>
      </c>
    </row>
    <row r="3356" spans="1:11" x14ac:dyDescent="0.25">
      <c r="A3356" s="1" t="s">
        <v>10708</v>
      </c>
      <c r="B3356" s="1" t="s">
        <v>10709</v>
      </c>
      <c r="D3356" s="1" t="s">
        <v>10710</v>
      </c>
      <c r="E3356" s="1" t="s">
        <v>209</v>
      </c>
      <c r="F3356" s="1" t="s">
        <v>5017</v>
      </c>
      <c r="G3356" s="1" t="s">
        <v>5018</v>
      </c>
      <c r="H3356" s="1">
        <v>0.1</v>
      </c>
      <c r="I3356" s="1">
        <v>0.1</v>
      </c>
      <c r="J3356" s="1">
        <v>0.59939498140716929</v>
      </c>
      <c r="K3356" s="1" t="s">
        <v>181</v>
      </c>
    </row>
    <row r="3357" spans="1:11" x14ac:dyDescent="0.25">
      <c r="A3357" s="1" t="s">
        <v>10711</v>
      </c>
      <c r="B3357" s="1" t="s">
        <v>10712</v>
      </c>
      <c r="D3357" s="1" t="s">
        <v>10713</v>
      </c>
      <c r="E3357" s="1" t="s">
        <v>209</v>
      </c>
      <c r="F3357" s="1" t="s">
        <v>5017</v>
      </c>
      <c r="G3357" s="1" t="s">
        <v>5018</v>
      </c>
      <c r="H3357" s="1">
        <v>0.1</v>
      </c>
      <c r="I3357" s="1">
        <v>0.1</v>
      </c>
      <c r="J3357" s="1">
        <v>0.58563203098146011</v>
      </c>
      <c r="K3357" s="1" t="s">
        <v>181</v>
      </c>
    </row>
    <row r="3358" spans="1:11" x14ac:dyDescent="0.25">
      <c r="A3358" s="1" t="s">
        <v>10714</v>
      </c>
      <c r="B3358" s="1" t="s">
        <v>10715</v>
      </c>
      <c r="D3358" s="1" t="s">
        <v>10716</v>
      </c>
      <c r="E3358" s="1" t="s">
        <v>209</v>
      </c>
      <c r="F3358" s="1" t="s">
        <v>5017</v>
      </c>
      <c r="G3358" s="1" t="s">
        <v>5018</v>
      </c>
      <c r="H3358" s="1">
        <v>0.1</v>
      </c>
      <c r="I3358" s="1">
        <v>0.1</v>
      </c>
      <c r="J3358" s="1">
        <v>0.53742124031476701</v>
      </c>
      <c r="K3358" s="1" t="s">
        <v>181</v>
      </c>
    </row>
    <row r="3359" spans="1:11" x14ac:dyDescent="0.25">
      <c r="A3359" s="1" t="s">
        <v>10717</v>
      </c>
      <c r="B3359" s="1" t="s">
        <v>10718</v>
      </c>
      <c r="D3359" s="1" t="s">
        <v>10719</v>
      </c>
      <c r="E3359" s="1" t="s">
        <v>209</v>
      </c>
      <c r="F3359" s="1" t="s">
        <v>5017</v>
      </c>
      <c r="G3359" s="1" t="s">
        <v>5018</v>
      </c>
      <c r="H3359" s="1">
        <v>0.1</v>
      </c>
      <c r="I3359" s="1">
        <v>0.1</v>
      </c>
      <c r="J3359" s="1">
        <v>0.88832838710116224</v>
      </c>
      <c r="K3359" s="1" t="s">
        <v>181</v>
      </c>
    </row>
    <row r="3360" spans="1:11" x14ac:dyDescent="0.25">
      <c r="A3360" s="1" t="s">
        <v>10720</v>
      </c>
      <c r="B3360" s="1" t="s">
        <v>10721</v>
      </c>
      <c r="D3360" s="1" t="s">
        <v>10722</v>
      </c>
      <c r="E3360" s="1" t="s">
        <v>209</v>
      </c>
      <c r="F3360" s="1" t="s">
        <v>5017</v>
      </c>
      <c r="G3360" s="1" t="s">
        <v>5018</v>
      </c>
      <c r="H3360" s="1">
        <v>0.1</v>
      </c>
      <c r="I3360" s="1">
        <v>0.1</v>
      </c>
      <c r="J3360" s="1">
        <v>0.87793597617295505</v>
      </c>
      <c r="K3360" s="1" t="s">
        <v>181</v>
      </c>
    </row>
    <row r="3361" spans="1:11" x14ac:dyDescent="0.25">
      <c r="A3361" s="1" t="s">
        <v>10723</v>
      </c>
      <c r="B3361" s="1" t="s">
        <v>10724</v>
      </c>
      <c r="D3361" s="1" t="s">
        <v>10725</v>
      </c>
      <c r="E3361" s="1" t="s">
        <v>209</v>
      </c>
      <c r="F3361" s="1" t="s">
        <v>5017</v>
      </c>
      <c r="G3361" s="1" t="s">
        <v>5018</v>
      </c>
      <c r="H3361" s="1">
        <v>0.1</v>
      </c>
      <c r="I3361" s="1">
        <v>0.1</v>
      </c>
      <c r="J3361" s="1">
        <v>0.88315052133877403</v>
      </c>
      <c r="K3361" s="1" t="s">
        <v>181</v>
      </c>
    </row>
    <row r="3362" spans="1:11" x14ac:dyDescent="0.25">
      <c r="A3362" s="1" t="s">
        <v>10726</v>
      </c>
      <c r="B3362" s="1" t="s">
        <v>10727</v>
      </c>
      <c r="D3362" s="1" t="s">
        <v>10728</v>
      </c>
      <c r="E3362" s="1" t="s">
        <v>209</v>
      </c>
      <c r="F3362" s="1" t="s">
        <v>5017</v>
      </c>
      <c r="G3362" s="1" t="s">
        <v>5018</v>
      </c>
      <c r="H3362" s="1">
        <v>0.1</v>
      </c>
      <c r="I3362" s="1">
        <v>0.1</v>
      </c>
      <c r="J3362" s="1">
        <v>0.87724566890233679</v>
      </c>
      <c r="K3362" s="1" t="s">
        <v>181</v>
      </c>
    </row>
    <row r="3363" spans="1:11" x14ac:dyDescent="0.25">
      <c r="A3363" s="1" t="s">
        <v>10729</v>
      </c>
      <c r="B3363" s="1" t="s">
        <v>10730</v>
      </c>
      <c r="D3363" s="1" t="s">
        <v>10731</v>
      </c>
      <c r="E3363" s="1" t="s">
        <v>209</v>
      </c>
      <c r="F3363" s="1" t="s">
        <v>5017</v>
      </c>
      <c r="G3363" s="1" t="s">
        <v>5018</v>
      </c>
      <c r="H3363" s="1">
        <v>0.1</v>
      </c>
      <c r="I3363" s="1">
        <v>0.1</v>
      </c>
      <c r="J3363" s="1">
        <v>0.87286027365799623</v>
      </c>
      <c r="K3363" s="1" t="s">
        <v>181</v>
      </c>
    </row>
    <row r="3364" spans="1:11" x14ac:dyDescent="0.25">
      <c r="A3364" s="1" t="s">
        <v>10732</v>
      </c>
      <c r="B3364" s="1" t="s">
        <v>10733</v>
      </c>
      <c r="D3364" s="1" t="s">
        <v>10734</v>
      </c>
      <c r="E3364" s="1" t="s">
        <v>209</v>
      </c>
      <c r="F3364" s="1" t="s">
        <v>5017</v>
      </c>
      <c r="G3364" s="1" t="s">
        <v>5018</v>
      </c>
      <c r="H3364" s="1">
        <v>0.1</v>
      </c>
      <c r="I3364" s="1">
        <v>0.1</v>
      </c>
      <c r="J3364" s="1">
        <v>0.81320033859014973</v>
      </c>
      <c r="K3364" s="1" t="s">
        <v>181</v>
      </c>
    </row>
    <row r="3365" spans="1:11" x14ac:dyDescent="0.25">
      <c r="A3365" s="1" t="s">
        <v>10735</v>
      </c>
      <c r="B3365" s="1" t="s">
        <v>10736</v>
      </c>
      <c r="D3365" s="1" t="s">
        <v>10737</v>
      </c>
      <c r="E3365" s="1" t="s">
        <v>209</v>
      </c>
      <c r="F3365" s="1" t="s">
        <v>5017</v>
      </c>
      <c r="G3365" s="1" t="s">
        <v>5018</v>
      </c>
      <c r="H3365" s="1">
        <v>0.1</v>
      </c>
      <c r="I3365" s="1">
        <v>0.1</v>
      </c>
      <c r="J3365" s="1">
        <v>0.78954104940796965</v>
      </c>
      <c r="K3365" s="1" t="s">
        <v>181</v>
      </c>
    </row>
    <row r="3366" spans="1:11" x14ac:dyDescent="0.25">
      <c r="A3366" s="1" t="s">
        <v>10738</v>
      </c>
      <c r="B3366" s="1" t="s">
        <v>10739</v>
      </c>
      <c r="D3366" s="1" t="s">
        <v>10740</v>
      </c>
      <c r="E3366" s="1" t="s">
        <v>209</v>
      </c>
      <c r="F3366" s="1" t="s">
        <v>5017</v>
      </c>
      <c r="G3366" s="1" t="s">
        <v>5018</v>
      </c>
      <c r="H3366" s="1">
        <v>0.1</v>
      </c>
      <c r="I3366" s="1">
        <v>0.1</v>
      </c>
      <c r="J3366" s="1">
        <v>0.89354064511051901</v>
      </c>
      <c r="K3366" s="1" t="s">
        <v>181</v>
      </c>
    </row>
    <row r="3367" spans="1:11" x14ac:dyDescent="0.25">
      <c r="A3367" s="1" t="s">
        <v>10741</v>
      </c>
      <c r="B3367" s="1" t="s">
        <v>10742</v>
      </c>
      <c r="D3367" s="1" t="s">
        <v>10743</v>
      </c>
      <c r="E3367" s="1" t="s">
        <v>209</v>
      </c>
      <c r="F3367" s="1" t="s">
        <v>5017</v>
      </c>
      <c r="G3367" s="1" t="s">
        <v>5018</v>
      </c>
      <c r="H3367" s="1">
        <v>0.1</v>
      </c>
      <c r="I3367" s="1">
        <v>0.1</v>
      </c>
      <c r="J3367" s="1">
        <v>0.89218868595009571</v>
      </c>
      <c r="K3367" s="1" t="s">
        <v>181</v>
      </c>
    </row>
    <row r="3368" spans="1:11" x14ac:dyDescent="0.25">
      <c r="A3368" s="1" t="s">
        <v>10744</v>
      </c>
      <c r="B3368" s="1" t="s">
        <v>10745</v>
      </c>
      <c r="D3368" s="1" t="s">
        <v>10746</v>
      </c>
      <c r="E3368" s="1" t="s">
        <v>209</v>
      </c>
      <c r="F3368" s="1" t="s">
        <v>5017</v>
      </c>
      <c r="G3368" s="1" t="s">
        <v>5018</v>
      </c>
      <c r="H3368" s="1">
        <v>0.1</v>
      </c>
      <c r="I3368" s="1">
        <v>0.1</v>
      </c>
      <c r="J3368" s="1">
        <v>0.89018726913794743</v>
      </c>
      <c r="K3368" s="1" t="s">
        <v>181</v>
      </c>
    </row>
    <row r="3369" spans="1:11" x14ac:dyDescent="0.25">
      <c r="A3369" s="1" t="s">
        <v>10747</v>
      </c>
      <c r="B3369" s="1" t="s">
        <v>10748</v>
      </c>
      <c r="D3369" s="1" t="s">
        <v>10749</v>
      </c>
      <c r="E3369" s="1" t="s">
        <v>209</v>
      </c>
      <c r="F3369" s="1" t="s">
        <v>5017</v>
      </c>
      <c r="G3369" s="1" t="s">
        <v>5018</v>
      </c>
      <c r="H3369" s="1">
        <v>0.1</v>
      </c>
      <c r="I3369" s="1">
        <v>0.1</v>
      </c>
      <c r="J3369" s="1">
        <v>0.84304162962718121</v>
      </c>
      <c r="K3369" s="1" t="s">
        <v>181</v>
      </c>
    </row>
    <row r="3370" spans="1:11" x14ac:dyDescent="0.25">
      <c r="A3370" s="1" t="s">
        <v>10750</v>
      </c>
      <c r="B3370" s="1" t="s">
        <v>10751</v>
      </c>
      <c r="D3370" s="1" t="s">
        <v>10752</v>
      </c>
      <c r="E3370" s="1" t="s">
        <v>209</v>
      </c>
      <c r="F3370" s="1" t="s">
        <v>5017</v>
      </c>
      <c r="G3370" s="1" t="s">
        <v>5018</v>
      </c>
      <c r="H3370" s="1">
        <v>0.1</v>
      </c>
      <c r="I3370" s="1">
        <v>0.1</v>
      </c>
      <c r="J3370" s="1">
        <v>0.79931634458892842</v>
      </c>
      <c r="K3370" s="1" t="s">
        <v>181</v>
      </c>
    </row>
    <row r="3371" spans="1:11" x14ac:dyDescent="0.25">
      <c r="A3371" s="1" t="s">
        <v>10753</v>
      </c>
      <c r="B3371" s="1" t="s">
        <v>10754</v>
      </c>
      <c r="D3371" s="1" t="s">
        <v>10755</v>
      </c>
      <c r="E3371" s="1" t="s">
        <v>209</v>
      </c>
      <c r="F3371" s="1" t="s">
        <v>5017</v>
      </c>
      <c r="G3371" s="1" t="s">
        <v>5018</v>
      </c>
      <c r="H3371" s="1">
        <v>0.1</v>
      </c>
      <c r="I3371" s="1">
        <v>0.1</v>
      </c>
      <c r="J3371" s="1">
        <v>0.72425027537543119</v>
      </c>
      <c r="K3371" s="1" t="s">
        <v>181</v>
      </c>
    </row>
    <row r="3372" spans="1:11" x14ac:dyDescent="0.25">
      <c r="A3372" s="1" t="s">
        <v>10756</v>
      </c>
      <c r="B3372" s="1" t="s">
        <v>10757</v>
      </c>
      <c r="D3372" s="1" t="s">
        <v>10758</v>
      </c>
      <c r="E3372" s="1" t="s">
        <v>209</v>
      </c>
      <c r="F3372" s="1" t="s">
        <v>5017</v>
      </c>
      <c r="G3372" s="1" t="s">
        <v>5018</v>
      </c>
      <c r="H3372" s="1">
        <v>0.1</v>
      </c>
      <c r="I3372" s="1">
        <v>0.1</v>
      </c>
      <c r="J3372" s="1">
        <v>0.72337234851496446</v>
      </c>
      <c r="K3372" s="1" t="s">
        <v>181</v>
      </c>
    </row>
    <row r="3373" spans="1:11" x14ac:dyDescent="0.25">
      <c r="A3373" s="1" t="s">
        <v>10759</v>
      </c>
      <c r="B3373" s="1" t="s">
        <v>10760</v>
      </c>
      <c r="D3373" s="1" t="s">
        <v>10761</v>
      </c>
      <c r="E3373" s="1" t="s">
        <v>209</v>
      </c>
      <c r="F3373" s="1" t="s">
        <v>5017</v>
      </c>
      <c r="G3373" s="1" t="s">
        <v>5018</v>
      </c>
      <c r="H3373" s="1">
        <v>0.1</v>
      </c>
      <c r="I3373" s="1">
        <v>0.1</v>
      </c>
      <c r="J3373" s="1">
        <v>0.81585677580706739</v>
      </c>
      <c r="K3373" s="1" t="s">
        <v>181</v>
      </c>
    </row>
    <row r="3374" spans="1:11" x14ac:dyDescent="0.25">
      <c r="A3374" s="1" t="s">
        <v>10762</v>
      </c>
      <c r="B3374" s="1" t="s">
        <v>10763</v>
      </c>
      <c r="D3374" s="1" t="s">
        <v>10764</v>
      </c>
      <c r="E3374" s="1" t="s">
        <v>209</v>
      </c>
      <c r="F3374" s="1" t="s">
        <v>5017</v>
      </c>
      <c r="G3374" s="1" t="s">
        <v>5018</v>
      </c>
      <c r="H3374" s="1">
        <v>0.1</v>
      </c>
      <c r="I3374" s="1">
        <v>0.1</v>
      </c>
      <c r="J3374" s="1">
        <v>0.80371962998134305</v>
      </c>
      <c r="K3374" s="1" t="s">
        <v>181</v>
      </c>
    </row>
    <row r="3375" spans="1:11" x14ac:dyDescent="0.25">
      <c r="A3375" s="1" t="s">
        <v>10765</v>
      </c>
      <c r="B3375" s="1" t="s">
        <v>10766</v>
      </c>
      <c r="D3375" s="1" t="s">
        <v>10767</v>
      </c>
      <c r="E3375" s="1" t="s">
        <v>209</v>
      </c>
      <c r="F3375" s="1" t="s">
        <v>5017</v>
      </c>
      <c r="G3375" s="1" t="s">
        <v>5018</v>
      </c>
      <c r="H3375" s="1">
        <v>0.1</v>
      </c>
      <c r="I3375" s="1">
        <v>0.1</v>
      </c>
      <c r="J3375" s="1">
        <v>0.67015577595358911</v>
      </c>
      <c r="K3375" s="1" t="s">
        <v>181</v>
      </c>
    </row>
    <row r="3376" spans="1:11" x14ac:dyDescent="0.25">
      <c r="A3376" s="1" t="s">
        <v>10768</v>
      </c>
      <c r="B3376" s="1" t="s">
        <v>10769</v>
      </c>
      <c r="D3376" s="1" t="s">
        <v>10770</v>
      </c>
      <c r="E3376" s="1" t="s">
        <v>209</v>
      </c>
      <c r="F3376" s="1" t="s">
        <v>5017</v>
      </c>
      <c r="G3376" s="1" t="s">
        <v>5018</v>
      </c>
      <c r="H3376" s="1">
        <v>0.1</v>
      </c>
      <c r="I3376" s="1">
        <v>0.1</v>
      </c>
      <c r="J3376" s="1">
        <v>0.70449739614577944</v>
      </c>
      <c r="K3376" s="1" t="s">
        <v>181</v>
      </c>
    </row>
    <row r="3377" spans="1:11" x14ac:dyDescent="0.25">
      <c r="A3377" s="1" t="s">
        <v>10771</v>
      </c>
      <c r="B3377" s="1" t="s">
        <v>10772</v>
      </c>
      <c r="D3377" s="1" t="s">
        <v>10773</v>
      </c>
      <c r="E3377" s="1" t="s">
        <v>209</v>
      </c>
      <c r="F3377" s="1" t="s">
        <v>5017</v>
      </c>
      <c r="G3377" s="1" t="s">
        <v>5018</v>
      </c>
      <c r="H3377" s="1">
        <v>0.1</v>
      </c>
      <c r="I3377" s="1">
        <v>0.1</v>
      </c>
      <c r="J3377" s="1">
        <v>0.53287024650242654</v>
      </c>
      <c r="K3377" s="1" t="s">
        <v>181</v>
      </c>
    </row>
    <row r="3378" spans="1:11" x14ac:dyDescent="0.25">
      <c r="A3378" s="1" t="s">
        <v>10774</v>
      </c>
      <c r="B3378" s="1" t="s">
        <v>10775</v>
      </c>
      <c r="D3378" s="1" t="s">
        <v>10776</v>
      </c>
      <c r="E3378" s="1" t="s">
        <v>209</v>
      </c>
      <c r="F3378" s="1" t="s">
        <v>5017</v>
      </c>
      <c r="G3378" s="1" t="s">
        <v>5018</v>
      </c>
      <c r="H3378" s="1">
        <v>0.1</v>
      </c>
      <c r="I3378" s="1">
        <v>0.1</v>
      </c>
      <c r="J3378" s="1">
        <v>0.5977322251199132</v>
      </c>
      <c r="K3378" s="1" t="s">
        <v>181</v>
      </c>
    </row>
    <row r="3379" spans="1:11" x14ac:dyDescent="0.25">
      <c r="A3379" s="1" t="s">
        <v>10777</v>
      </c>
      <c r="B3379" s="1" t="s">
        <v>10778</v>
      </c>
      <c r="D3379" s="1" t="s">
        <v>10779</v>
      </c>
      <c r="E3379" s="1" t="s">
        <v>209</v>
      </c>
      <c r="F3379" s="1" t="s">
        <v>5017</v>
      </c>
      <c r="G3379" s="1" t="s">
        <v>5018</v>
      </c>
      <c r="H3379" s="1">
        <v>0.1</v>
      </c>
      <c r="I3379" s="1">
        <v>0.1</v>
      </c>
      <c r="J3379" s="1">
        <v>0.53941431618151969</v>
      </c>
      <c r="K3379" s="1" t="s">
        <v>181</v>
      </c>
    </row>
    <row r="3380" spans="1:11" x14ac:dyDescent="0.25">
      <c r="A3380" s="1" t="s">
        <v>10780</v>
      </c>
      <c r="B3380" s="1" t="s">
        <v>10781</v>
      </c>
      <c r="D3380" s="1" t="s">
        <v>10782</v>
      </c>
      <c r="E3380" s="1" t="s">
        <v>209</v>
      </c>
      <c r="F3380" s="1" t="s">
        <v>5017</v>
      </c>
      <c r="G3380" s="1" t="s">
        <v>5018</v>
      </c>
      <c r="H3380" s="1">
        <v>0.1</v>
      </c>
      <c r="I3380" s="1">
        <v>0.1</v>
      </c>
      <c r="J3380" s="1">
        <v>0.72252464062787192</v>
      </c>
      <c r="K3380" s="1" t="s">
        <v>181</v>
      </c>
    </row>
    <row r="3381" spans="1:11" x14ac:dyDescent="0.25">
      <c r="A3381" s="1" t="s">
        <v>10783</v>
      </c>
      <c r="B3381" s="1" t="s">
        <v>10784</v>
      </c>
      <c r="D3381" s="1" t="s">
        <v>10785</v>
      </c>
      <c r="E3381" s="1" t="s">
        <v>209</v>
      </c>
      <c r="F3381" s="1" t="s">
        <v>5017</v>
      </c>
      <c r="G3381" s="1" t="s">
        <v>5018</v>
      </c>
      <c r="H3381" s="1">
        <v>0.1</v>
      </c>
      <c r="I3381" s="1">
        <v>0.1</v>
      </c>
      <c r="J3381" s="1">
        <v>0.42400645957108796</v>
      </c>
      <c r="K3381" s="1" t="s">
        <v>181</v>
      </c>
    </row>
    <row r="3382" spans="1:11" x14ac:dyDescent="0.25">
      <c r="A3382" s="1" t="s">
        <v>10786</v>
      </c>
      <c r="B3382" s="1" t="s">
        <v>10787</v>
      </c>
      <c r="D3382" s="1" t="s">
        <v>10788</v>
      </c>
      <c r="E3382" s="1" t="s">
        <v>209</v>
      </c>
      <c r="F3382" s="1" t="s">
        <v>5017</v>
      </c>
      <c r="G3382" s="1" t="s">
        <v>5018</v>
      </c>
      <c r="H3382" s="1">
        <v>0.1</v>
      </c>
      <c r="I3382" s="1">
        <v>0.1</v>
      </c>
      <c r="J3382" s="1">
        <v>0.41945655326950032</v>
      </c>
      <c r="K3382" s="1" t="s">
        <v>181</v>
      </c>
    </row>
    <row r="3383" spans="1:11" x14ac:dyDescent="0.25">
      <c r="A3383" s="1" t="s">
        <v>10789</v>
      </c>
      <c r="B3383" s="1" t="s">
        <v>10790</v>
      </c>
      <c r="D3383" s="1" t="s">
        <v>10791</v>
      </c>
      <c r="E3383" s="1" t="s">
        <v>209</v>
      </c>
      <c r="F3383" s="1" t="s">
        <v>5017</v>
      </c>
      <c r="G3383" s="1" t="s">
        <v>5018</v>
      </c>
      <c r="H3383" s="1">
        <v>0.1</v>
      </c>
      <c r="I3383" s="1">
        <v>0.1</v>
      </c>
      <c r="J3383" s="1">
        <v>1.1330322454397292</v>
      </c>
      <c r="K3383" s="1" t="s">
        <v>181</v>
      </c>
    </row>
    <row r="3384" spans="1:11" x14ac:dyDescent="0.25">
      <c r="A3384" s="1" t="s">
        <v>10792</v>
      </c>
      <c r="B3384" s="1" t="s">
        <v>10793</v>
      </c>
      <c r="D3384" s="1" t="s">
        <v>10794</v>
      </c>
      <c r="E3384" s="1" t="s">
        <v>209</v>
      </c>
      <c r="F3384" s="1" t="s">
        <v>5017</v>
      </c>
      <c r="G3384" s="1" t="s">
        <v>5018</v>
      </c>
      <c r="H3384" s="1">
        <v>0.1</v>
      </c>
      <c r="I3384" s="1">
        <v>0.1</v>
      </c>
      <c r="J3384" s="1">
        <v>0.74413180478322238</v>
      </c>
      <c r="K3384" s="1" t="s">
        <v>181</v>
      </c>
    </row>
    <row r="3385" spans="1:11" x14ac:dyDescent="0.25">
      <c r="A3385" s="1" t="s">
        <v>10795</v>
      </c>
      <c r="B3385" s="1" t="s">
        <v>10796</v>
      </c>
      <c r="D3385" s="1" t="s">
        <v>10797</v>
      </c>
      <c r="E3385" s="1" t="s">
        <v>209</v>
      </c>
      <c r="F3385" s="1" t="s">
        <v>5017</v>
      </c>
      <c r="G3385" s="1" t="s">
        <v>5018</v>
      </c>
      <c r="H3385" s="1">
        <v>0.1</v>
      </c>
      <c r="I3385" s="1">
        <v>0.1</v>
      </c>
      <c r="J3385" s="1">
        <v>0.71509652035171312</v>
      </c>
      <c r="K3385" s="1" t="s">
        <v>181</v>
      </c>
    </row>
    <row r="3386" spans="1:11" x14ac:dyDescent="0.25">
      <c r="A3386" s="1" t="s">
        <v>10798</v>
      </c>
      <c r="B3386" s="1" t="s">
        <v>10799</v>
      </c>
      <c r="D3386" s="1" t="s">
        <v>10800</v>
      </c>
      <c r="E3386" s="1" t="s">
        <v>209</v>
      </c>
      <c r="F3386" s="1" t="s">
        <v>5017</v>
      </c>
      <c r="G3386" s="1" t="s">
        <v>5018</v>
      </c>
      <c r="H3386" s="1">
        <v>0.1</v>
      </c>
      <c r="I3386" s="1">
        <v>0.1</v>
      </c>
      <c r="J3386" s="1">
        <v>0.56653285672464304</v>
      </c>
      <c r="K3386" s="1" t="s">
        <v>181</v>
      </c>
    </row>
    <row r="3387" spans="1:11" x14ac:dyDescent="0.25">
      <c r="A3387" s="1" t="s">
        <v>10801</v>
      </c>
      <c r="B3387" s="1" t="s">
        <v>10802</v>
      </c>
      <c r="D3387" s="1" t="s">
        <v>10803</v>
      </c>
      <c r="E3387" s="1" t="s">
        <v>209</v>
      </c>
      <c r="F3387" s="1" t="s">
        <v>5017</v>
      </c>
      <c r="G3387" s="1" t="s">
        <v>5018</v>
      </c>
      <c r="H3387" s="1">
        <v>0.1</v>
      </c>
      <c r="I3387" s="1">
        <v>0.1</v>
      </c>
      <c r="J3387" s="1">
        <v>0.54985109284592204</v>
      </c>
      <c r="K3387" s="1" t="s">
        <v>181</v>
      </c>
    </row>
    <row r="3388" spans="1:11" x14ac:dyDescent="0.25">
      <c r="A3388" s="1" t="s">
        <v>10804</v>
      </c>
      <c r="B3388" s="1" t="s">
        <v>10805</v>
      </c>
      <c r="D3388" s="1" t="s">
        <v>10806</v>
      </c>
      <c r="E3388" s="1" t="s">
        <v>209</v>
      </c>
      <c r="F3388" s="1" t="s">
        <v>5017</v>
      </c>
      <c r="G3388" s="1" t="s">
        <v>5018</v>
      </c>
      <c r="H3388" s="1">
        <v>0.1</v>
      </c>
      <c r="I3388" s="1">
        <v>0.1</v>
      </c>
      <c r="J3388" s="1">
        <v>0.77722508508196486</v>
      </c>
      <c r="K3388" s="1" t="s">
        <v>181</v>
      </c>
    </row>
    <row r="3389" spans="1:11" x14ac:dyDescent="0.25">
      <c r="A3389" s="1" t="s">
        <v>10807</v>
      </c>
      <c r="B3389" s="1" t="s">
        <v>10808</v>
      </c>
      <c r="D3389" s="1" t="s">
        <v>10809</v>
      </c>
      <c r="E3389" s="1" t="s">
        <v>209</v>
      </c>
      <c r="F3389" s="1" t="s">
        <v>5017</v>
      </c>
      <c r="G3389" s="1" t="s">
        <v>5018</v>
      </c>
      <c r="H3389" s="1">
        <v>0.1</v>
      </c>
      <c r="I3389" s="1">
        <v>0.1</v>
      </c>
      <c r="J3389" s="1">
        <v>0.65693845867944012</v>
      </c>
      <c r="K3389" s="1" t="s">
        <v>181</v>
      </c>
    </row>
    <row r="3390" spans="1:11" x14ac:dyDescent="0.25">
      <c r="A3390" s="1" t="s">
        <v>10810</v>
      </c>
      <c r="B3390" s="1" t="s">
        <v>10811</v>
      </c>
      <c r="D3390" s="1" t="s">
        <v>10812</v>
      </c>
      <c r="E3390" s="1" t="s">
        <v>209</v>
      </c>
      <c r="F3390" s="1" t="s">
        <v>5017</v>
      </c>
      <c r="G3390" s="1" t="s">
        <v>5018</v>
      </c>
      <c r="H3390" s="1">
        <v>0.1</v>
      </c>
      <c r="I3390" s="1">
        <v>0.1</v>
      </c>
      <c r="J3390" s="1">
        <v>0.84747982650298381</v>
      </c>
      <c r="K3390" s="1" t="s">
        <v>181</v>
      </c>
    </row>
    <row r="3391" spans="1:11" x14ac:dyDescent="0.25">
      <c r="A3391" s="1" t="s">
        <v>10813</v>
      </c>
      <c r="B3391" s="1" t="s">
        <v>10814</v>
      </c>
      <c r="D3391" s="1" t="s">
        <v>10815</v>
      </c>
      <c r="E3391" s="1" t="s">
        <v>209</v>
      </c>
      <c r="F3391" s="1" t="s">
        <v>5017</v>
      </c>
      <c r="G3391" s="1" t="s">
        <v>5018</v>
      </c>
      <c r="H3391" s="1">
        <v>0.1</v>
      </c>
      <c r="I3391" s="1">
        <v>0.1</v>
      </c>
      <c r="J3391" s="1">
        <v>0.6096207408296106</v>
      </c>
      <c r="K3391" s="1" t="s">
        <v>181</v>
      </c>
    </row>
    <row r="3392" spans="1:11" x14ac:dyDescent="0.25">
      <c r="A3392" s="1" t="s">
        <v>10816</v>
      </c>
      <c r="B3392" s="1" t="s">
        <v>10817</v>
      </c>
      <c r="D3392" s="1" t="s">
        <v>10818</v>
      </c>
      <c r="E3392" s="1" t="s">
        <v>209</v>
      </c>
      <c r="F3392" s="1" t="s">
        <v>5017</v>
      </c>
      <c r="G3392" s="1" t="s">
        <v>5018</v>
      </c>
      <c r="H3392" s="1">
        <v>0.1</v>
      </c>
      <c r="I3392" s="1">
        <v>0.1</v>
      </c>
      <c r="J3392" s="1">
        <v>0.72196874483506635</v>
      </c>
      <c r="K3392" s="1" t="s">
        <v>181</v>
      </c>
    </row>
    <row r="3393" spans="1:11" x14ac:dyDescent="0.25">
      <c r="A3393" s="1" t="s">
        <v>10819</v>
      </c>
      <c r="B3393" s="1" t="s">
        <v>10820</v>
      </c>
      <c r="D3393" s="1" t="s">
        <v>10821</v>
      </c>
      <c r="E3393" s="1" t="s">
        <v>209</v>
      </c>
      <c r="F3393" s="1" t="s">
        <v>5017</v>
      </c>
      <c r="G3393" s="1" t="s">
        <v>5018</v>
      </c>
      <c r="H3393" s="1">
        <v>0.1</v>
      </c>
      <c r="I3393" s="1">
        <v>0.1</v>
      </c>
      <c r="J3393" s="1">
        <v>0.74747508657778539</v>
      </c>
      <c r="K3393" s="1" t="s">
        <v>181</v>
      </c>
    </row>
    <row r="3394" spans="1:11" x14ac:dyDescent="0.25">
      <c r="A3394" s="1" t="s">
        <v>10822</v>
      </c>
      <c r="B3394" s="1" t="s">
        <v>10823</v>
      </c>
      <c r="D3394" s="1" t="s">
        <v>10824</v>
      </c>
      <c r="E3394" s="1" t="s">
        <v>209</v>
      </c>
      <c r="F3394" s="1" t="s">
        <v>5017</v>
      </c>
      <c r="G3394" s="1" t="s">
        <v>5018</v>
      </c>
      <c r="H3394" s="1">
        <v>0.1</v>
      </c>
      <c r="I3394" s="1">
        <v>0.1</v>
      </c>
      <c r="J3394" s="1">
        <v>0.5220161844236525</v>
      </c>
      <c r="K3394" s="1" t="s">
        <v>181</v>
      </c>
    </row>
    <row r="3395" spans="1:11" x14ac:dyDescent="0.25">
      <c r="A3395" s="1" t="s">
        <v>10825</v>
      </c>
      <c r="B3395" s="1" t="s">
        <v>10826</v>
      </c>
      <c r="D3395" s="1" t="s">
        <v>10827</v>
      </c>
      <c r="E3395" s="1" t="s">
        <v>209</v>
      </c>
      <c r="F3395" s="1" t="s">
        <v>5017</v>
      </c>
      <c r="G3395" s="1" t="s">
        <v>5018</v>
      </c>
      <c r="H3395" s="1">
        <v>0.1</v>
      </c>
      <c r="I3395" s="1">
        <v>0.1</v>
      </c>
      <c r="J3395" s="1">
        <v>0.83658943148258813</v>
      </c>
      <c r="K3395" s="1" t="s">
        <v>181</v>
      </c>
    </row>
    <row r="3396" spans="1:11" x14ac:dyDescent="0.25">
      <c r="A3396" s="1" t="s">
        <v>10828</v>
      </c>
      <c r="B3396" s="1" t="s">
        <v>10829</v>
      </c>
      <c r="D3396" s="1" t="s">
        <v>10830</v>
      </c>
      <c r="E3396" s="1" t="s">
        <v>209</v>
      </c>
      <c r="F3396" s="1" t="s">
        <v>5017</v>
      </c>
      <c r="G3396" s="1" t="s">
        <v>5018</v>
      </c>
      <c r="H3396" s="1">
        <v>0.1</v>
      </c>
      <c r="I3396" s="1">
        <v>0.1</v>
      </c>
      <c r="J3396" s="1">
        <v>0.76128409280938358</v>
      </c>
      <c r="K3396" s="1" t="s">
        <v>181</v>
      </c>
    </row>
    <row r="3397" spans="1:11" x14ac:dyDescent="0.25">
      <c r="A3397" s="1" t="s">
        <v>10831</v>
      </c>
      <c r="B3397" s="1" t="s">
        <v>10832</v>
      </c>
      <c r="D3397" s="1" t="s">
        <v>10833</v>
      </c>
      <c r="E3397" s="1" t="s">
        <v>209</v>
      </c>
      <c r="F3397" s="1" t="s">
        <v>5017</v>
      </c>
      <c r="G3397" s="1" t="s">
        <v>5018</v>
      </c>
      <c r="H3397" s="1">
        <v>0.1</v>
      </c>
      <c r="I3397" s="1">
        <v>0.1</v>
      </c>
      <c r="J3397" s="1">
        <v>0.53581775280388466</v>
      </c>
      <c r="K3397" s="1" t="s">
        <v>181</v>
      </c>
    </row>
    <row r="3398" spans="1:11" x14ac:dyDescent="0.25">
      <c r="A3398" s="1" t="s">
        <v>10834</v>
      </c>
      <c r="B3398" s="1" t="s">
        <v>10835</v>
      </c>
      <c r="D3398" s="1" t="s">
        <v>10836</v>
      </c>
      <c r="E3398" s="1" t="s">
        <v>209</v>
      </c>
      <c r="F3398" s="1" t="s">
        <v>5017</v>
      </c>
      <c r="G3398" s="1" t="s">
        <v>5018</v>
      </c>
      <c r="H3398" s="1">
        <v>0.1</v>
      </c>
      <c r="I3398" s="1">
        <v>0.1</v>
      </c>
      <c r="J3398" s="1">
        <v>0.84925608297091981</v>
      </c>
      <c r="K3398" s="1" t="s">
        <v>181</v>
      </c>
    </row>
    <row r="3399" spans="1:11" x14ac:dyDescent="0.25">
      <c r="A3399" s="1" t="s">
        <v>10837</v>
      </c>
      <c r="B3399" s="1" t="s">
        <v>10838</v>
      </c>
      <c r="D3399" s="1" t="s">
        <v>10839</v>
      </c>
      <c r="E3399" s="1" t="s">
        <v>209</v>
      </c>
      <c r="F3399" s="1" t="s">
        <v>5017</v>
      </c>
      <c r="G3399" s="1" t="s">
        <v>5018</v>
      </c>
      <c r="H3399" s="1">
        <v>0.1</v>
      </c>
      <c r="I3399" s="1">
        <v>0.1</v>
      </c>
      <c r="J3399" s="1">
        <v>0.66039119083397024</v>
      </c>
      <c r="K3399" s="1" t="s">
        <v>181</v>
      </c>
    </row>
    <row r="3400" spans="1:11" x14ac:dyDescent="0.25">
      <c r="A3400" s="1" t="s">
        <v>10840</v>
      </c>
      <c r="B3400" s="1" t="s">
        <v>10841</v>
      </c>
      <c r="D3400" s="1" t="s">
        <v>10842</v>
      </c>
      <c r="E3400" s="1" t="s">
        <v>209</v>
      </c>
      <c r="F3400" s="1" t="s">
        <v>5017</v>
      </c>
      <c r="G3400" s="1" t="s">
        <v>5018</v>
      </c>
      <c r="H3400" s="1">
        <v>0.1</v>
      </c>
      <c r="I3400" s="1">
        <v>0.1</v>
      </c>
      <c r="J3400" s="1">
        <v>0.99254959666864562</v>
      </c>
      <c r="K3400" s="1" t="s">
        <v>181</v>
      </c>
    </row>
    <row r="3401" spans="1:11" x14ac:dyDescent="0.25">
      <c r="A3401" s="1" t="s">
        <v>10843</v>
      </c>
      <c r="B3401" s="1" t="s">
        <v>10844</v>
      </c>
      <c r="D3401" s="1" t="s">
        <v>10845</v>
      </c>
      <c r="E3401" s="1" t="s">
        <v>209</v>
      </c>
      <c r="F3401" s="1" t="s">
        <v>5017</v>
      </c>
      <c r="G3401" s="1" t="s">
        <v>5018</v>
      </c>
      <c r="H3401" s="1">
        <v>0.1</v>
      </c>
      <c r="I3401" s="1">
        <v>0.1</v>
      </c>
      <c r="J3401" s="1">
        <v>0.79899470128264471</v>
      </c>
      <c r="K3401" s="1" t="s">
        <v>181</v>
      </c>
    </row>
    <row r="3402" spans="1:11" x14ac:dyDescent="0.25">
      <c r="A3402" s="1" t="s">
        <v>10846</v>
      </c>
      <c r="B3402" s="1" t="s">
        <v>10847</v>
      </c>
      <c r="D3402" s="1" t="s">
        <v>10848</v>
      </c>
      <c r="E3402" s="1" t="s">
        <v>209</v>
      </c>
      <c r="F3402" s="1" t="s">
        <v>5017</v>
      </c>
      <c r="G3402" s="1" t="s">
        <v>5018</v>
      </c>
      <c r="H3402" s="1">
        <v>0.1</v>
      </c>
      <c r="I3402" s="1">
        <v>0.1</v>
      </c>
      <c r="J3402" s="1">
        <v>0.64827169007099272</v>
      </c>
      <c r="K3402" s="1" t="s">
        <v>181</v>
      </c>
    </row>
    <row r="3403" spans="1:11" x14ac:dyDescent="0.25">
      <c r="A3403" s="1" t="s">
        <v>10849</v>
      </c>
      <c r="B3403" s="1" t="s">
        <v>10850</v>
      </c>
      <c r="D3403" s="1" t="s">
        <v>10851</v>
      </c>
      <c r="E3403" s="1" t="s">
        <v>209</v>
      </c>
      <c r="F3403" s="1" t="s">
        <v>5017</v>
      </c>
      <c r="G3403" s="1" t="s">
        <v>5018</v>
      </c>
      <c r="H3403" s="1">
        <v>0.1</v>
      </c>
      <c r="I3403" s="1">
        <v>0.1</v>
      </c>
      <c r="J3403" s="1">
        <v>0.88194193306213153</v>
      </c>
      <c r="K3403" s="1" t="s">
        <v>181</v>
      </c>
    </row>
    <row r="3404" spans="1:11" x14ac:dyDescent="0.25">
      <c r="A3404" s="1" t="s">
        <v>10852</v>
      </c>
      <c r="B3404" s="1" t="s">
        <v>10853</v>
      </c>
      <c r="D3404" s="1" t="s">
        <v>10854</v>
      </c>
      <c r="E3404" s="1" t="s">
        <v>209</v>
      </c>
      <c r="F3404" s="1" t="s">
        <v>5017</v>
      </c>
      <c r="G3404" s="1" t="s">
        <v>5018</v>
      </c>
      <c r="H3404" s="1">
        <v>0.1</v>
      </c>
      <c r="I3404" s="1">
        <v>0.1</v>
      </c>
      <c r="J3404" s="1">
        <v>0.78274546904083786</v>
      </c>
      <c r="K3404" s="1" t="s">
        <v>181</v>
      </c>
    </row>
    <row r="3405" spans="1:11" x14ac:dyDescent="0.25">
      <c r="A3405" s="1" t="s">
        <v>10855</v>
      </c>
      <c r="B3405" s="1" t="s">
        <v>10856</v>
      </c>
      <c r="D3405" s="1" t="s">
        <v>10857</v>
      </c>
      <c r="E3405" s="1" t="s">
        <v>209</v>
      </c>
      <c r="F3405" s="1" t="s">
        <v>5017</v>
      </c>
      <c r="G3405" s="1" t="s">
        <v>5018</v>
      </c>
      <c r="H3405" s="1">
        <v>0.1</v>
      </c>
      <c r="I3405" s="1">
        <v>0.1</v>
      </c>
      <c r="J3405" s="1">
        <v>0.50833344242116385</v>
      </c>
      <c r="K3405" s="1" t="s">
        <v>181</v>
      </c>
    </row>
    <row r="3406" spans="1:11" x14ac:dyDescent="0.25">
      <c r="A3406" s="1" t="s">
        <v>10858</v>
      </c>
      <c r="B3406" s="1" t="s">
        <v>10859</v>
      </c>
      <c r="D3406" s="1" t="s">
        <v>10860</v>
      </c>
      <c r="E3406" s="1" t="s">
        <v>209</v>
      </c>
      <c r="F3406" s="1" t="s">
        <v>5017</v>
      </c>
      <c r="G3406" s="1" t="s">
        <v>5018</v>
      </c>
      <c r="H3406" s="1">
        <v>0.1</v>
      </c>
      <c r="I3406" s="1">
        <v>0.1</v>
      </c>
      <c r="J3406" s="1">
        <v>0.43903673478473876</v>
      </c>
      <c r="K3406" s="1" t="s">
        <v>181</v>
      </c>
    </row>
    <row r="3407" spans="1:11" x14ac:dyDescent="0.25">
      <c r="A3407" s="1" t="s">
        <v>10861</v>
      </c>
      <c r="B3407" s="1" t="s">
        <v>10862</v>
      </c>
      <c r="D3407" s="1" t="s">
        <v>10863</v>
      </c>
      <c r="E3407" s="1" t="s">
        <v>209</v>
      </c>
      <c r="F3407" s="1" t="s">
        <v>5017</v>
      </c>
      <c r="G3407" s="1" t="s">
        <v>5018</v>
      </c>
      <c r="H3407" s="1">
        <v>0.1</v>
      </c>
      <c r="I3407" s="1">
        <v>0.1</v>
      </c>
      <c r="J3407" s="1">
        <v>0.55845303273884983</v>
      </c>
      <c r="K3407" s="1" t="s">
        <v>181</v>
      </c>
    </row>
    <row r="3408" spans="1:11" x14ac:dyDescent="0.25">
      <c r="A3408" s="1" t="s">
        <v>10864</v>
      </c>
      <c r="B3408" s="1" t="s">
        <v>10865</v>
      </c>
      <c r="D3408" s="1" t="s">
        <v>10866</v>
      </c>
      <c r="E3408" s="1" t="s">
        <v>209</v>
      </c>
      <c r="F3408" s="1" t="s">
        <v>5017</v>
      </c>
      <c r="G3408" s="1" t="s">
        <v>5018</v>
      </c>
      <c r="H3408" s="1">
        <v>0.1</v>
      </c>
      <c r="I3408" s="1">
        <v>0.1</v>
      </c>
      <c r="J3408" s="1">
        <v>0.55522908142793659</v>
      </c>
      <c r="K3408" s="1" t="s">
        <v>181</v>
      </c>
    </row>
    <row r="3409" spans="1:11" x14ac:dyDescent="0.25">
      <c r="A3409" s="1" t="s">
        <v>10867</v>
      </c>
      <c r="B3409" s="1" t="s">
        <v>10868</v>
      </c>
      <c r="D3409" s="1" t="s">
        <v>10869</v>
      </c>
      <c r="E3409" s="1" t="s">
        <v>209</v>
      </c>
      <c r="F3409" s="1" t="s">
        <v>5017</v>
      </c>
      <c r="G3409" s="1" t="s">
        <v>5018</v>
      </c>
      <c r="H3409" s="1">
        <v>0.1</v>
      </c>
      <c r="I3409" s="1">
        <v>0.1</v>
      </c>
      <c r="J3409" s="1">
        <v>0.53086447965896222</v>
      </c>
      <c r="K3409" s="1" t="s">
        <v>181</v>
      </c>
    </row>
    <row r="3410" spans="1:11" x14ac:dyDescent="0.25">
      <c r="A3410" s="1" t="s">
        <v>10870</v>
      </c>
      <c r="B3410" s="1" t="s">
        <v>10871</v>
      </c>
      <c r="D3410" s="1" t="s">
        <v>10872</v>
      </c>
      <c r="E3410" s="1" t="s">
        <v>209</v>
      </c>
      <c r="F3410" s="1" t="s">
        <v>5017</v>
      </c>
      <c r="G3410" s="1" t="s">
        <v>5018</v>
      </c>
      <c r="H3410" s="1">
        <v>0.1</v>
      </c>
      <c r="I3410" s="1">
        <v>0.1</v>
      </c>
      <c r="J3410" s="1">
        <v>0.48636885565375337</v>
      </c>
      <c r="K3410" s="1" t="s">
        <v>181</v>
      </c>
    </row>
    <row r="3411" spans="1:11" x14ac:dyDescent="0.25">
      <c r="A3411" s="1" t="s">
        <v>10873</v>
      </c>
      <c r="B3411" s="1" t="s">
        <v>10874</v>
      </c>
      <c r="D3411" s="1" t="s">
        <v>10875</v>
      </c>
      <c r="E3411" s="1" t="s">
        <v>209</v>
      </c>
      <c r="F3411" s="1" t="s">
        <v>5017</v>
      </c>
      <c r="G3411" s="1" t="s">
        <v>5018</v>
      </c>
      <c r="H3411" s="1">
        <v>0.1</v>
      </c>
      <c r="I3411" s="1">
        <v>0.1</v>
      </c>
      <c r="J3411" s="1">
        <v>0.48772005885916009</v>
      </c>
      <c r="K3411" s="1" t="s">
        <v>181</v>
      </c>
    </row>
    <row r="3412" spans="1:11" x14ac:dyDescent="0.25">
      <c r="A3412" s="1" t="s">
        <v>10876</v>
      </c>
      <c r="B3412" s="1" t="s">
        <v>10877</v>
      </c>
      <c r="D3412" s="1" t="s">
        <v>10878</v>
      </c>
      <c r="E3412" s="1" t="s">
        <v>209</v>
      </c>
      <c r="F3412" s="1" t="s">
        <v>5017</v>
      </c>
      <c r="G3412" s="1" t="s">
        <v>5018</v>
      </c>
      <c r="H3412" s="1">
        <v>0.1</v>
      </c>
      <c r="I3412" s="1">
        <v>0.1</v>
      </c>
      <c r="J3412" s="1">
        <v>0.74528278915870427</v>
      </c>
      <c r="K3412" s="1" t="s">
        <v>181</v>
      </c>
    </row>
    <row r="3413" spans="1:11" x14ac:dyDescent="0.25">
      <c r="A3413" s="1" t="s">
        <v>10879</v>
      </c>
      <c r="B3413" s="1" t="s">
        <v>10880</v>
      </c>
      <c r="D3413" s="1" t="s">
        <v>10881</v>
      </c>
      <c r="E3413" s="1" t="s">
        <v>209</v>
      </c>
      <c r="F3413" s="1" t="s">
        <v>5017</v>
      </c>
      <c r="G3413" s="1" t="s">
        <v>5018</v>
      </c>
      <c r="H3413" s="1">
        <v>0.1</v>
      </c>
      <c r="I3413" s="1">
        <v>0.1</v>
      </c>
      <c r="J3413" s="1">
        <v>0.5095121433309987</v>
      </c>
      <c r="K3413" s="1" t="s">
        <v>181</v>
      </c>
    </row>
    <row r="3414" spans="1:11" x14ac:dyDescent="0.25">
      <c r="A3414" s="1" t="s">
        <v>97</v>
      </c>
      <c r="B3414" s="1" t="s">
        <v>10882</v>
      </c>
      <c r="D3414" s="1" t="s">
        <v>10883</v>
      </c>
      <c r="E3414" s="1" t="s">
        <v>209</v>
      </c>
      <c r="F3414" s="1" t="s">
        <v>5017</v>
      </c>
      <c r="G3414" s="1" t="s">
        <v>5018</v>
      </c>
      <c r="H3414" s="1">
        <v>0.1</v>
      </c>
      <c r="I3414" s="1">
        <v>0.1</v>
      </c>
      <c r="J3414" s="1">
        <v>0.62813121935358984</v>
      </c>
      <c r="K3414" s="1" t="s">
        <v>181</v>
      </c>
    </row>
    <row r="3415" spans="1:11" x14ac:dyDescent="0.25">
      <c r="A3415" s="1" t="s">
        <v>10884</v>
      </c>
      <c r="B3415" s="1" t="s">
        <v>10885</v>
      </c>
      <c r="D3415" s="1" t="s">
        <v>10886</v>
      </c>
      <c r="E3415" s="1" t="s">
        <v>209</v>
      </c>
      <c r="F3415" s="1" t="s">
        <v>5017</v>
      </c>
      <c r="G3415" s="1" t="s">
        <v>5018</v>
      </c>
      <c r="H3415" s="1">
        <v>0.1</v>
      </c>
      <c r="I3415" s="1">
        <v>0.1</v>
      </c>
      <c r="J3415" s="1">
        <v>0.78603354606569842</v>
      </c>
      <c r="K3415" s="1" t="s">
        <v>181</v>
      </c>
    </row>
    <row r="3416" spans="1:11" x14ac:dyDescent="0.25">
      <c r="A3416" s="1" t="s">
        <v>10887</v>
      </c>
      <c r="B3416" s="1" t="s">
        <v>10888</v>
      </c>
      <c r="D3416" s="1" t="s">
        <v>10889</v>
      </c>
      <c r="E3416" s="1" t="s">
        <v>209</v>
      </c>
      <c r="F3416" s="1" t="s">
        <v>5017</v>
      </c>
      <c r="G3416" s="1" t="s">
        <v>5018</v>
      </c>
      <c r="H3416" s="1">
        <v>0.1</v>
      </c>
      <c r="I3416" s="1">
        <v>0.1</v>
      </c>
      <c r="J3416" s="1">
        <v>0.45934773584709171</v>
      </c>
      <c r="K3416" s="1" t="s">
        <v>181</v>
      </c>
    </row>
    <row r="3417" spans="1:11" x14ac:dyDescent="0.25">
      <c r="A3417" s="1" t="s">
        <v>10890</v>
      </c>
      <c r="B3417" s="1" t="s">
        <v>10891</v>
      </c>
      <c r="D3417" s="1" t="s">
        <v>10892</v>
      </c>
      <c r="E3417" s="1" t="s">
        <v>209</v>
      </c>
      <c r="F3417" s="1" t="s">
        <v>5017</v>
      </c>
      <c r="G3417" s="1" t="s">
        <v>5018</v>
      </c>
      <c r="H3417" s="1">
        <v>0.1</v>
      </c>
      <c r="I3417" s="1">
        <v>0.1</v>
      </c>
      <c r="J3417" s="1">
        <v>0.64988081717968471</v>
      </c>
      <c r="K3417" s="1" t="s">
        <v>181</v>
      </c>
    </row>
    <row r="3418" spans="1:11" x14ac:dyDescent="0.25">
      <c r="A3418" s="1" t="s">
        <v>10893</v>
      </c>
      <c r="B3418" s="1" t="s">
        <v>10894</v>
      </c>
      <c r="D3418" s="1" t="s">
        <v>10895</v>
      </c>
      <c r="E3418" s="1" t="s">
        <v>209</v>
      </c>
      <c r="F3418" s="1" t="s">
        <v>5017</v>
      </c>
      <c r="G3418" s="1" t="s">
        <v>5018</v>
      </c>
      <c r="H3418" s="1">
        <v>0.1</v>
      </c>
      <c r="I3418" s="1">
        <v>0.1</v>
      </c>
      <c r="J3418" s="1">
        <v>0.6280978329488025</v>
      </c>
      <c r="K3418" s="1" t="s">
        <v>181</v>
      </c>
    </row>
    <row r="3419" spans="1:11" x14ac:dyDescent="0.25">
      <c r="A3419" s="1" t="s">
        <v>10896</v>
      </c>
      <c r="B3419" s="1" t="s">
        <v>10897</v>
      </c>
      <c r="D3419" s="1" t="s">
        <v>10898</v>
      </c>
      <c r="E3419" s="1" t="s">
        <v>209</v>
      </c>
      <c r="F3419" s="1" t="s">
        <v>5017</v>
      </c>
      <c r="G3419" s="1" t="s">
        <v>5018</v>
      </c>
      <c r="H3419" s="1">
        <v>0.1</v>
      </c>
      <c r="I3419" s="1">
        <v>0.1</v>
      </c>
      <c r="J3419" s="1">
        <v>0.76290788185284397</v>
      </c>
      <c r="K3419" s="1" t="s">
        <v>181</v>
      </c>
    </row>
    <row r="3420" spans="1:11" x14ac:dyDescent="0.25">
      <c r="A3420" s="1" t="s">
        <v>10899</v>
      </c>
      <c r="B3420" s="1" t="s">
        <v>10900</v>
      </c>
      <c r="D3420" s="1" t="s">
        <v>10901</v>
      </c>
      <c r="E3420" s="1" t="s">
        <v>209</v>
      </c>
      <c r="F3420" s="1" t="s">
        <v>5017</v>
      </c>
      <c r="G3420" s="1" t="s">
        <v>5018</v>
      </c>
      <c r="H3420" s="1">
        <v>0.1</v>
      </c>
      <c r="I3420" s="1">
        <v>0.1</v>
      </c>
      <c r="J3420" s="1">
        <v>0.64826495123326988</v>
      </c>
      <c r="K3420" s="1" t="s">
        <v>181</v>
      </c>
    </row>
    <row r="3421" spans="1:11" x14ac:dyDescent="0.25">
      <c r="A3421" s="1" t="s">
        <v>10902</v>
      </c>
      <c r="B3421" s="1" t="s">
        <v>10903</v>
      </c>
      <c r="D3421" s="1" t="s">
        <v>10904</v>
      </c>
      <c r="E3421" s="1" t="s">
        <v>209</v>
      </c>
      <c r="F3421" s="1" t="s">
        <v>5017</v>
      </c>
      <c r="G3421" s="1" t="s">
        <v>5018</v>
      </c>
      <c r="H3421" s="1">
        <v>0.1</v>
      </c>
      <c r="I3421" s="1">
        <v>0.1</v>
      </c>
      <c r="J3421" s="1">
        <v>0.72047158417999591</v>
      </c>
      <c r="K3421" s="1" t="s">
        <v>181</v>
      </c>
    </row>
    <row r="3422" spans="1:11" x14ac:dyDescent="0.25">
      <c r="A3422" s="1" t="s">
        <v>10905</v>
      </c>
      <c r="B3422" s="1" t="s">
        <v>10906</v>
      </c>
      <c r="D3422" s="1" t="s">
        <v>10907</v>
      </c>
      <c r="E3422" s="1" t="s">
        <v>209</v>
      </c>
      <c r="F3422" s="1" t="s">
        <v>5017</v>
      </c>
      <c r="G3422" s="1" t="s">
        <v>5018</v>
      </c>
      <c r="H3422" s="1">
        <v>0.1</v>
      </c>
      <c r="I3422" s="1">
        <v>0.1</v>
      </c>
      <c r="J3422" s="1">
        <v>0.53709429517261997</v>
      </c>
      <c r="K3422" s="1" t="s">
        <v>181</v>
      </c>
    </row>
    <row r="3423" spans="1:11" x14ac:dyDescent="0.25">
      <c r="A3423" s="1" t="s">
        <v>70</v>
      </c>
      <c r="B3423" s="1" t="s">
        <v>10908</v>
      </c>
      <c r="D3423" s="1" t="s">
        <v>10909</v>
      </c>
      <c r="E3423" s="1" t="s">
        <v>209</v>
      </c>
      <c r="F3423" s="1" t="s">
        <v>5017</v>
      </c>
      <c r="G3423" s="1" t="s">
        <v>5018</v>
      </c>
      <c r="H3423" s="1">
        <v>0.1</v>
      </c>
      <c r="I3423" s="1">
        <v>0.1</v>
      </c>
      <c r="J3423" s="1">
        <v>0.74878414882734801</v>
      </c>
      <c r="K3423" s="1" t="s">
        <v>181</v>
      </c>
    </row>
    <row r="3424" spans="1:11" x14ac:dyDescent="0.25">
      <c r="A3424" s="1" t="s">
        <v>10910</v>
      </c>
      <c r="B3424" s="1" t="s">
        <v>10911</v>
      </c>
      <c r="D3424" s="1" t="s">
        <v>10912</v>
      </c>
      <c r="E3424" s="1" t="s">
        <v>209</v>
      </c>
      <c r="F3424" s="1" t="s">
        <v>5017</v>
      </c>
      <c r="G3424" s="1" t="s">
        <v>5018</v>
      </c>
      <c r="H3424" s="1">
        <v>0.1</v>
      </c>
      <c r="I3424" s="1">
        <v>0.1</v>
      </c>
      <c r="J3424" s="1">
        <v>0.82311960111811822</v>
      </c>
      <c r="K3424" s="1" t="s">
        <v>181</v>
      </c>
    </row>
    <row r="3425" spans="1:11" x14ac:dyDescent="0.25">
      <c r="A3425" s="1" t="s">
        <v>10913</v>
      </c>
      <c r="B3425" s="1" t="s">
        <v>10914</v>
      </c>
      <c r="D3425" s="1" t="s">
        <v>10915</v>
      </c>
      <c r="E3425" s="1" t="s">
        <v>209</v>
      </c>
      <c r="F3425" s="1" t="s">
        <v>5017</v>
      </c>
      <c r="G3425" s="1" t="s">
        <v>5018</v>
      </c>
      <c r="H3425" s="1">
        <v>0.1</v>
      </c>
      <c r="I3425" s="1">
        <v>0.1</v>
      </c>
      <c r="J3425" s="1">
        <v>0.52803816253279701</v>
      </c>
      <c r="K3425" s="1" t="s">
        <v>181</v>
      </c>
    </row>
    <row r="3426" spans="1:11" x14ac:dyDescent="0.25">
      <c r="A3426" s="1" t="s">
        <v>10916</v>
      </c>
      <c r="B3426" s="1" t="s">
        <v>10917</v>
      </c>
      <c r="D3426" s="1" t="s">
        <v>10918</v>
      </c>
      <c r="E3426" s="1" t="s">
        <v>209</v>
      </c>
      <c r="F3426" s="1" t="s">
        <v>5017</v>
      </c>
      <c r="G3426" s="1" t="s">
        <v>5018</v>
      </c>
      <c r="H3426" s="1">
        <v>0.1</v>
      </c>
      <c r="I3426" s="1">
        <v>0.1</v>
      </c>
      <c r="J3426" s="1">
        <v>0.72832798313087621</v>
      </c>
      <c r="K3426" s="1" t="s">
        <v>181</v>
      </c>
    </row>
    <row r="3427" spans="1:11" x14ac:dyDescent="0.25">
      <c r="A3427" s="1" t="s">
        <v>10919</v>
      </c>
      <c r="B3427" s="1" t="s">
        <v>10920</v>
      </c>
      <c r="D3427" s="1" t="s">
        <v>10921</v>
      </c>
      <c r="E3427" s="1" t="s">
        <v>209</v>
      </c>
      <c r="F3427" s="1" t="s">
        <v>5017</v>
      </c>
      <c r="G3427" s="1" t="s">
        <v>5018</v>
      </c>
      <c r="H3427" s="1">
        <v>0.1</v>
      </c>
      <c r="I3427" s="1">
        <v>0.1</v>
      </c>
      <c r="J3427" s="1">
        <v>0.46420088231750112</v>
      </c>
      <c r="K3427" s="1" t="s">
        <v>181</v>
      </c>
    </row>
    <row r="3428" spans="1:11" x14ac:dyDescent="0.25">
      <c r="A3428" s="1" t="s">
        <v>10922</v>
      </c>
      <c r="B3428" s="1" t="s">
        <v>10923</v>
      </c>
      <c r="D3428" s="1" t="s">
        <v>10924</v>
      </c>
      <c r="E3428" s="1" t="s">
        <v>209</v>
      </c>
      <c r="F3428" s="1" t="s">
        <v>5017</v>
      </c>
      <c r="G3428" s="1" t="s">
        <v>5018</v>
      </c>
      <c r="H3428" s="1">
        <v>0.1</v>
      </c>
      <c r="I3428" s="1">
        <v>0.1</v>
      </c>
      <c r="J3428" s="1">
        <v>0.61863715915869655</v>
      </c>
      <c r="K3428" s="1" t="s">
        <v>181</v>
      </c>
    </row>
    <row r="3429" spans="1:11" x14ac:dyDescent="0.25">
      <c r="A3429" s="1" t="s">
        <v>10925</v>
      </c>
      <c r="B3429" s="1" t="s">
        <v>10926</v>
      </c>
      <c r="D3429" s="1" t="s">
        <v>10927</v>
      </c>
      <c r="E3429" s="1" t="s">
        <v>209</v>
      </c>
      <c r="F3429" s="1" t="s">
        <v>5017</v>
      </c>
      <c r="G3429" s="1" t="s">
        <v>5018</v>
      </c>
      <c r="H3429" s="1">
        <v>0.1</v>
      </c>
      <c r="I3429" s="1">
        <v>0.1</v>
      </c>
      <c r="J3429" s="1">
        <v>0.56914787894156493</v>
      </c>
      <c r="K3429" s="1" t="s">
        <v>181</v>
      </c>
    </row>
    <row r="3430" spans="1:11" x14ac:dyDescent="0.25">
      <c r="A3430" s="1" t="s">
        <v>10928</v>
      </c>
      <c r="B3430" s="1" t="s">
        <v>10929</v>
      </c>
      <c r="D3430" s="1" t="s">
        <v>10930</v>
      </c>
      <c r="E3430" s="1" t="s">
        <v>209</v>
      </c>
      <c r="F3430" s="1" t="s">
        <v>5017</v>
      </c>
      <c r="G3430" s="1" t="s">
        <v>5018</v>
      </c>
      <c r="H3430" s="1">
        <v>0.1</v>
      </c>
      <c r="I3430" s="1">
        <v>0.1</v>
      </c>
      <c r="J3430" s="1">
        <v>0.47395331370496063</v>
      </c>
      <c r="K3430" s="1" t="s">
        <v>181</v>
      </c>
    </row>
    <row r="3431" spans="1:11" x14ac:dyDescent="0.25">
      <c r="A3431" s="1" t="s">
        <v>10931</v>
      </c>
      <c r="B3431" s="1" t="s">
        <v>10932</v>
      </c>
      <c r="D3431" s="1" t="s">
        <v>10933</v>
      </c>
      <c r="E3431" s="1" t="s">
        <v>209</v>
      </c>
      <c r="F3431" s="1" t="s">
        <v>5017</v>
      </c>
      <c r="G3431" s="1" t="s">
        <v>5018</v>
      </c>
      <c r="H3431" s="1">
        <v>0.1</v>
      </c>
      <c r="I3431" s="1">
        <v>0.1</v>
      </c>
      <c r="J3431" s="1">
        <v>0.80710956002141521</v>
      </c>
      <c r="K3431" s="1" t="s">
        <v>181</v>
      </c>
    </row>
    <row r="3432" spans="1:11" x14ac:dyDescent="0.25">
      <c r="A3432" s="1" t="s">
        <v>10934</v>
      </c>
      <c r="B3432" s="1" t="s">
        <v>10935</v>
      </c>
      <c r="D3432" s="1" t="s">
        <v>10936</v>
      </c>
      <c r="E3432" s="1" t="s">
        <v>209</v>
      </c>
      <c r="F3432" s="1" t="s">
        <v>5017</v>
      </c>
      <c r="G3432" s="1" t="s">
        <v>5018</v>
      </c>
      <c r="H3432" s="1">
        <v>0.1</v>
      </c>
      <c r="I3432" s="1">
        <v>0.1</v>
      </c>
      <c r="J3432" s="1">
        <v>0.87440580915160848</v>
      </c>
      <c r="K3432" s="1" t="s">
        <v>181</v>
      </c>
    </row>
    <row r="3433" spans="1:11" x14ac:dyDescent="0.25">
      <c r="A3433" s="1" t="s">
        <v>10937</v>
      </c>
      <c r="B3433" s="1" t="s">
        <v>10938</v>
      </c>
      <c r="D3433" s="1" t="s">
        <v>10939</v>
      </c>
      <c r="E3433" s="1" t="s">
        <v>209</v>
      </c>
      <c r="F3433" s="1" t="s">
        <v>5017</v>
      </c>
      <c r="G3433" s="1" t="s">
        <v>5018</v>
      </c>
      <c r="H3433" s="1">
        <v>0.1</v>
      </c>
      <c r="I3433" s="1">
        <v>0.1</v>
      </c>
      <c r="J3433" s="1">
        <v>0.7815298313760447</v>
      </c>
      <c r="K3433" s="1" t="s">
        <v>181</v>
      </c>
    </row>
    <row r="3434" spans="1:11" x14ac:dyDescent="0.25">
      <c r="A3434" s="1" t="s">
        <v>10940</v>
      </c>
      <c r="B3434" s="1" t="s">
        <v>10941</v>
      </c>
      <c r="D3434" s="1" t="s">
        <v>10942</v>
      </c>
      <c r="E3434" s="1" t="s">
        <v>209</v>
      </c>
      <c r="F3434" s="1" t="s">
        <v>5017</v>
      </c>
      <c r="G3434" s="1" t="s">
        <v>5018</v>
      </c>
      <c r="H3434" s="1">
        <v>0.1</v>
      </c>
      <c r="I3434" s="1">
        <v>0.1</v>
      </c>
      <c r="J3434" s="1">
        <v>0.48910501453627553</v>
      </c>
      <c r="K3434" s="1" t="s">
        <v>181</v>
      </c>
    </row>
    <row r="3435" spans="1:11" x14ac:dyDescent="0.25">
      <c r="A3435" s="1" t="s">
        <v>10943</v>
      </c>
      <c r="B3435" s="1" t="s">
        <v>10944</v>
      </c>
      <c r="D3435" s="1" t="s">
        <v>10945</v>
      </c>
      <c r="E3435" s="1" t="s">
        <v>209</v>
      </c>
      <c r="F3435" s="1" t="s">
        <v>5017</v>
      </c>
      <c r="G3435" s="1" t="s">
        <v>5018</v>
      </c>
      <c r="H3435" s="1">
        <v>0.1</v>
      </c>
      <c r="I3435" s="1">
        <v>0.1</v>
      </c>
      <c r="J3435" s="1">
        <v>0.65959141918164965</v>
      </c>
      <c r="K3435" s="1" t="s">
        <v>181</v>
      </c>
    </row>
    <row r="3436" spans="1:11" x14ac:dyDescent="0.25">
      <c r="A3436" s="1" t="s">
        <v>10946</v>
      </c>
      <c r="B3436" s="1" t="s">
        <v>10947</v>
      </c>
      <c r="D3436" s="1" t="s">
        <v>10948</v>
      </c>
      <c r="E3436" s="1" t="s">
        <v>209</v>
      </c>
      <c r="F3436" s="1" t="s">
        <v>5017</v>
      </c>
      <c r="G3436" s="1" t="s">
        <v>5018</v>
      </c>
      <c r="H3436" s="1">
        <v>0.1</v>
      </c>
      <c r="I3436" s="1">
        <v>0.1</v>
      </c>
      <c r="J3436" s="1">
        <v>0.64811966495411943</v>
      </c>
      <c r="K3436" s="1" t="s">
        <v>181</v>
      </c>
    </row>
    <row r="3437" spans="1:11" x14ac:dyDescent="0.25">
      <c r="A3437" s="1" t="s">
        <v>10949</v>
      </c>
      <c r="B3437" s="1" t="s">
        <v>10950</v>
      </c>
      <c r="D3437" s="1" t="s">
        <v>10951</v>
      </c>
      <c r="E3437" s="1" t="s">
        <v>209</v>
      </c>
      <c r="F3437" s="1" t="s">
        <v>5017</v>
      </c>
      <c r="G3437" s="1" t="s">
        <v>5018</v>
      </c>
      <c r="H3437" s="1">
        <v>0.1</v>
      </c>
      <c r="I3437" s="1">
        <v>0.1</v>
      </c>
      <c r="J3437" s="1">
        <v>0.38476202350835242</v>
      </c>
      <c r="K3437" s="1" t="s">
        <v>181</v>
      </c>
    </row>
    <row r="3438" spans="1:11" x14ac:dyDescent="0.25">
      <c r="A3438" s="1" t="s">
        <v>10952</v>
      </c>
      <c r="B3438" s="1" t="s">
        <v>10953</v>
      </c>
      <c r="D3438" s="1" t="s">
        <v>10954</v>
      </c>
      <c r="E3438" s="1" t="s">
        <v>209</v>
      </c>
      <c r="F3438" s="1" t="s">
        <v>5017</v>
      </c>
      <c r="G3438" s="1" t="s">
        <v>5018</v>
      </c>
      <c r="H3438" s="1">
        <v>0.1</v>
      </c>
      <c r="I3438" s="1">
        <v>0.1</v>
      </c>
      <c r="J3438" s="1">
        <v>0.56477353434813404</v>
      </c>
      <c r="K3438" s="1" t="s">
        <v>181</v>
      </c>
    </row>
    <row r="3439" spans="1:11" x14ac:dyDescent="0.25">
      <c r="A3439" s="1" t="s">
        <v>10955</v>
      </c>
      <c r="B3439" s="1" t="s">
        <v>10956</v>
      </c>
      <c r="D3439" s="1" t="s">
        <v>10957</v>
      </c>
      <c r="E3439" s="1" t="s">
        <v>209</v>
      </c>
      <c r="F3439" s="1" t="s">
        <v>5017</v>
      </c>
      <c r="G3439" s="1" t="s">
        <v>5018</v>
      </c>
      <c r="H3439" s="1">
        <v>0.1</v>
      </c>
      <c r="I3439" s="1">
        <v>0.1</v>
      </c>
      <c r="J3439" s="1">
        <v>0.4572141553293389</v>
      </c>
      <c r="K3439" s="1" t="s">
        <v>181</v>
      </c>
    </row>
    <row r="3440" spans="1:11" x14ac:dyDescent="0.25">
      <c r="A3440" s="1" t="s">
        <v>10958</v>
      </c>
      <c r="B3440" s="1" t="s">
        <v>10959</v>
      </c>
      <c r="D3440" s="1" t="s">
        <v>10960</v>
      </c>
      <c r="E3440" s="1" t="s">
        <v>209</v>
      </c>
      <c r="F3440" s="1" t="s">
        <v>5017</v>
      </c>
      <c r="G3440" s="1" t="s">
        <v>5018</v>
      </c>
      <c r="H3440" s="1">
        <v>0.1</v>
      </c>
      <c r="I3440" s="1">
        <v>0.1</v>
      </c>
      <c r="J3440" s="1">
        <v>0.4940050374182603</v>
      </c>
      <c r="K3440" s="1" t="s">
        <v>181</v>
      </c>
    </row>
    <row r="3441" spans="1:11" x14ac:dyDescent="0.25">
      <c r="A3441" s="1" t="s">
        <v>10961</v>
      </c>
      <c r="B3441" s="1" t="s">
        <v>10962</v>
      </c>
      <c r="D3441" s="1" t="s">
        <v>10963</v>
      </c>
      <c r="E3441" s="1" t="s">
        <v>209</v>
      </c>
      <c r="F3441" s="1" t="s">
        <v>5017</v>
      </c>
      <c r="G3441" s="1" t="s">
        <v>5018</v>
      </c>
      <c r="H3441" s="1">
        <v>0.1</v>
      </c>
      <c r="I3441" s="1">
        <v>0.1</v>
      </c>
      <c r="J3441" s="1">
        <v>0.62344180267202265</v>
      </c>
      <c r="K3441" s="1" t="s">
        <v>181</v>
      </c>
    </row>
    <row r="3442" spans="1:11" x14ac:dyDescent="0.25">
      <c r="A3442" s="1" t="s">
        <v>10964</v>
      </c>
      <c r="B3442" s="1" t="s">
        <v>10965</v>
      </c>
      <c r="D3442" s="1" t="s">
        <v>10966</v>
      </c>
      <c r="E3442" s="1" t="s">
        <v>209</v>
      </c>
      <c r="F3442" s="1" t="s">
        <v>5017</v>
      </c>
      <c r="G3442" s="1" t="s">
        <v>5018</v>
      </c>
      <c r="H3442" s="1">
        <v>0.1</v>
      </c>
      <c r="I3442" s="1">
        <v>0.1</v>
      </c>
      <c r="J3442" s="1">
        <v>0.52935402786099139</v>
      </c>
      <c r="K3442" s="1" t="s">
        <v>181</v>
      </c>
    </row>
    <row r="3443" spans="1:11" x14ac:dyDescent="0.25">
      <c r="A3443" s="1" t="s">
        <v>10967</v>
      </c>
      <c r="B3443" s="1" t="s">
        <v>10968</v>
      </c>
      <c r="D3443" s="1" t="s">
        <v>10969</v>
      </c>
      <c r="E3443" s="1" t="s">
        <v>209</v>
      </c>
      <c r="F3443" s="1" t="s">
        <v>5017</v>
      </c>
      <c r="G3443" s="1" t="s">
        <v>5018</v>
      </c>
      <c r="H3443" s="1">
        <v>0.1</v>
      </c>
      <c r="I3443" s="1">
        <v>0.1</v>
      </c>
      <c r="J3443" s="1">
        <v>0.68714269718151733</v>
      </c>
      <c r="K3443" s="1" t="s">
        <v>181</v>
      </c>
    </row>
    <row r="3444" spans="1:11" x14ac:dyDescent="0.25">
      <c r="A3444" s="1" t="s">
        <v>10970</v>
      </c>
      <c r="B3444" s="1" t="s">
        <v>10971</v>
      </c>
      <c r="D3444" s="1" t="s">
        <v>10972</v>
      </c>
      <c r="E3444" s="1" t="s">
        <v>209</v>
      </c>
      <c r="F3444" s="1" t="s">
        <v>5017</v>
      </c>
      <c r="G3444" s="1" t="s">
        <v>5018</v>
      </c>
      <c r="H3444" s="1">
        <v>0.1</v>
      </c>
      <c r="I3444" s="1">
        <v>0.1</v>
      </c>
      <c r="J3444" s="1">
        <v>0.84915364861472098</v>
      </c>
      <c r="K3444" s="1" t="s">
        <v>181</v>
      </c>
    </row>
    <row r="3445" spans="1:11" x14ac:dyDescent="0.25">
      <c r="A3445" s="1" t="s">
        <v>10973</v>
      </c>
      <c r="B3445" s="1" t="s">
        <v>10974</v>
      </c>
      <c r="D3445" s="1" t="s">
        <v>10975</v>
      </c>
      <c r="E3445" s="1" t="s">
        <v>209</v>
      </c>
      <c r="F3445" s="1" t="s">
        <v>5017</v>
      </c>
      <c r="G3445" s="1" t="s">
        <v>5018</v>
      </c>
      <c r="H3445" s="1">
        <v>0.1</v>
      </c>
      <c r="I3445" s="1">
        <v>0.1</v>
      </c>
      <c r="J3445" s="1">
        <v>0.88711669680951089</v>
      </c>
      <c r="K3445" s="1" t="s">
        <v>181</v>
      </c>
    </row>
    <row r="3446" spans="1:11" x14ac:dyDescent="0.25">
      <c r="A3446" s="1" t="s">
        <v>10976</v>
      </c>
      <c r="B3446" s="1" t="s">
        <v>10977</v>
      </c>
      <c r="D3446" s="1" t="s">
        <v>10978</v>
      </c>
      <c r="E3446" s="1" t="s">
        <v>209</v>
      </c>
      <c r="F3446" s="1" t="s">
        <v>5017</v>
      </c>
      <c r="G3446" s="1" t="s">
        <v>5018</v>
      </c>
      <c r="H3446" s="1">
        <v>0.1</v>
      </c>
      <c r="I3446" s="1">
        <v>0.1</v>
      </c>
      <c r="J3446" s="1">
        <v>0.88289772501215624</v>
      </c>
      <c r="K3446" s="1" t="s">
        <v>181</v>
      </c>
    </row>
    <row r="3447" spans="1:11" x14ac:dyDescent="0.25">
      <c r="A3447" s="1" t="s">
        <v>10979</v>
      </c>
      <c r="B3447" s="1" t="s">
        <v>10980</v>
      </c>
      <c r="D3447" s="1" t="s">
        <v>10981</v>
      </c>
      <c r="E3447" s="1" t="s">
        <v>209</v>
      </c>
      <c r="F3447" s="1" t="s">
        <v>5017</v>
      </c>
      <c r="G3447" s="1" t="s">
        <v>5018</v>
      </c>
      <c r="H3447" s="1">
        <v>0.1</v>
      </c>
      <c r="I3447" s="1">
        <v>0.1</v>
      </c>
      <c r="J3447" s="1">
        <v>0.83344964214574546</v>
      </c>
      <c r="K3447" s="1" t="s">
        <v>181</v>
      </c>
    </row>
    <row r="3448" spans="1:11" x14ac:dyDescent="0.25">
      <c r="A3448" s="1" t="s">
        <v>10982</v>
      </c>
      <c r="B3448" s="1" t="s">
        <v>10983</v>
      </c>
      <c r="D3448" s="1" t="s">
        <v>10984</v>
      </c>
      <c r="E3448" s="1" t="s">
        <v>209</v>
      </c>
      <c r="F3448" s="1" t="s">
        <v>5017</v>
      </c>
      <c r="G3448" s="1" t="s">
        <v>5018</v>
      </c>
      <c r="H3448" s="1">
        <v>0.1</v>
      </c>
      <c r="I3448" s="1">
        <v>0.1</v>
      </c>
      <c r="J3448" s="1">
        <v>0.5291462195830392</v>
      </c>
      <c r="K3448" s="1" t="s">
        <v>181</v>
      </c>
    </row>
    <row r="3449" spans="1:11" x14ac:dyDescent="0.25">
      <c r="A3449" s="1" t="s">
        <v>10985</v>
      </c>
      <c r="B3449" s="1" t="s">
        <v>10986</v>
      </c>
      <c r="D3449" s="1" t="s">
        <v>10987</v>
      </c>
      <c r="E3449" s="1" t="s">
        <v>209</v>
      </c>
      <c r="F3449" s="1" t="s">
        <v>5017</v>
      </c>
      <c r="G3449" s="1" t="s">
        <v>5018</v>
      </c>
      <c r="H3449" s="1">
        <v>0.1</v>
      </c>
      <c r="I3449" s="1">
        <v>0.1</v>
      </c>
      <c r="J3449" s="1">
        <v>0.79551224158143108</v>
      </c>
      <c r="K3449" s="1" t="s">
        <v>181</v>
      </c>
    </row>
    <row r="3450" spans="1:11" x14ac:dyDescent="0.25">
      <c r="A3450" s="1" t="s">
        <v>10988</v>
      </c>
      <c r="B3450" s="1" t="s">
        <v>10989</v>
      </c>
      <c r="D3450" s="1" t="s">
        <v>10990</v>
      </c>
      <c r="E3450" s="1" t="s">
        <v>209</v>
      </c>
      <c r="F3450" s="1" t="s">
        <v>5017</v>
      </c>
      <c r="G3450" s="1" t="s">
        <v>5018</v>
      </c>
      <c r="H3450" s="1">
        <v>0.1</v>
      </c>
      <c r="I3450" s="1">
        <v>0.1</v>
      </c>
      <c r="J3450" s="1">
        <v>0.73136694406949676</v>
      </c>
      <c r="K3450" s="1" t="s">
        <v>181</v>
      </c>
    </row>
    <row r="3451" spans="1:11" x14ac:dyDescent="0.25">
      <c r="A3451" s="1" t="s">
        <v>10991</v>
      </c>
      <c r="B3451" s="1" t="s">
        <v>10992</v>
      </c>
      <c r="D3451" s="1" t="s">
        <v>10993</v>
      </c>
      <c r="E3451" s="1" t="s">
        <v>209</v>
      </c>
      <c r="F3451" s="1" t="s">
        <v>5017</v>
      </c>
      <c r="G3451" s="1" t="s">
        <v>5018</v>
      </c>
      <c r="H3451" s="1">
        <v>0.1</v>
      </c>
      <c r="I3451" s="1">
        <v>0.1</v>
      </c>
      <c r="J3451" s="1">
        <v>0.70131080895534903</v>
      </c>
      <c r="K3451" s="1" t="s">
        <v>181</v>
      </c>
    </row>
    <row r="3452" spans="1:11" x14ac:dyDescent="0.25">
      <c r="A3452" s="1" t="s">
        <v>10994</v>
      </c>
      <c r="B3452" s="1" t="s">
        <v>10995</v>
      </c>
      <c r="D3452" s="1" t="s">
        <v>10996</v>
      </c>
      <c r="E3452" s="1" t="s">
        <v>209</v>
      </c>
      <c r="F3452" s="1" t="s">
        <v>5017</v>
      </c>
      <c r="G3452" s="1" t="s">
        <v>5018</v>
      </c>
      <c r="H3452" s="1">
        <v>0.1</v>
      </c>
      <c r="I3452" s="1">
        <v>0.1</v>
      </c>
      <c r="J3452" s="1">
        <v>0.57780322803971862</v>
      </c>
      <c r="K3452" s="1" t="s">
        <v>181</v>
      </c>
    </row>
    <row r="3453" spans="1:11" x14ac:dyDescent="0.25">
      <c r="A3453" s="1" t="s">
        <v>10997</v>
      </c>
      <c r="B3453" s="1" t="s">
        <v>10998</v>
      </c>
      <c r="D3453" s="1" t="s">
        <v>10999</v>
      </c>
      <c r="E3453" s="1" t="s">
        <v>209</v>
      </c>
      <c r="F3453" s="1" t="s">
        <v>5017</v>
      </c>
      <c r="G3453" s="1" t="s">
        <v>5018</v>
      </c>
      <c r="H3453" s="1">
        <v>0.1</v>
      </c>
      <c r="I3453" s="1">
        <v>0.1</v>
      </c>
      <c r="J3453" s="1">
        <v>0.66878773436313588</v>
      </c>
      <c r="K3453" s="1" t="s">
        <v>181</v>
      </c>
    </row>
    <row r="3454" spans="1:11" x14ac:dyDescent="0.25">
      <c r="A3454" s="1" t="s">
        <v>11000</v>
      </c>
      <c r="B3454" s="1" t="s">
        <v>11001</v>
      </c>
      <c r="D3454" s="1" t="s">
        <v>11002</v>
      </c>
      <c r="E3454" s="1" t="s">
        <v>209</v>
      </c>
      <c r="F3454" s="1" t="s">
        <v>5017</v>
      </c>
      <c r="G3454" s="1" t="s">
        <v>5018</v>
      </c>
      <c r="H3454" s="1">
        <v>0.1</v>
      </c>
      <c r="I3454" s="1">
        <v>0.1</v>
      </c>
      <c r="J3454" s="1">
        <v>0.64272101436891249</v>
      </c>
      <c r="K3454" s="1" t="s">
        <v>181</v>
      </c>
    </row>
    <row r="3455" spans="1:11" x14ac:dyDescent="0.25">
      <c r="A3455" s="1" t="s">
        <v>11003</v>
      </c>
      <c r="B3455" s="1" t="s">
        <v>11004</v>
      </c>
      <c r="D3455" s="1" t="s">
        <v>11005</v>
      </c>
      <c r="E3455" s="1" t="s">
        <v>209</v>
      </c>
      <c r="F3455" s="1" t="s">
        <v>5017</v>
      </c>
      <c r="G3455" s="1" t="s">
        <v>5018</v>
      </c>
      <c r="H3455" s="1">
        <v>0.1</v>
      </c>
      <c r="I3455" s="1">
        <v>0.1</v>
      </c>
      <c r="J3455" s="1">
        <v>0.73676694996306746</v>
      </c>
      <c r="K3455" s="1" t="s">
        <v>181</v>
      </c>
    </row>
    <row r="3456" spans="1:11" x14ac:dyDescent="0.25">
      <c r="A3456" s="1" t="s">
        <v>11006</v>
      </c>
      <c r="B3456" s="1" t="s">
        <v>11007</v>
      </c>
      <c r="D3456" s="1" t="s">
        <v>11008</v>
      </c>
      <c r="E3456" s="1" t="s">
        <v>209</v>
      </c>
      <c r="F3456" s="1" t="s">
        <v>5017</v>
      </c>
      <c r="G3456" s="1" t="s">
        <v>5018</v>
      </c>
      <c r="H3456" s="1">
        <v>0.1</v>
      </c>
      <c r="I3456" s="1">
        <v>0.1</v>
      </c>
      <c r="J3456" s="1">
        <v>0.79588421269964726</v>
      </c>
      <c r="K3456" s="1" t="s">
        <v>181</v>
      </c>
    </row>
    <row r="3457" spans="1:11" x14ac:dyDescent="0.25">
      <c r="A3457" s="1" t="s">
        <v>11009</v>
      </c>
      <c r="B3457" s="1" t="s">
        <v>11010</v>
      </c>
      <c r="D3457" s="1" t="s">
        <v>11011</v>
      </c>
      <c r="E3457" s="1" t="s">
        <v>209</v>
      </c>
      <c r="F3457" s="1" t="s">
        <v>5017</v>
      </c>
      <c r="G3457" s="1" t="s">
        <v>5018</v>
      </c>
      <c r="H3457" s="1">
        <v>0.1</v>
      </c>
      <c r="I3457" s="1">
        <v>0.1</v>
      </c>
      <c r="J3457" s="1">
        <v>0.53544556767057272</v>
      </c>
      <c r="K3457" s="1" t="s">
        <v>181</v>
      </c>
    </row>
    <row r="3458" spans="1:11" x14ac:dyDescent="0.25">
      <c r="A3458" s="1" t="s">
        <v>11012</v>
      </c>
      <c r="B3458" s="1" t="s">
        <v>11013</v>
      </c>
      <c r="D3458" s="1" t="s">
        <v>11014</v>
      </c>
      <c r="E3458" s="1" t="s">
        <v>209</v>
      </c>
      <c r="F3458" s="1" t="s">
        <v>5017</v>
      </c>
      <c r="G3458" s="1" t="s">
        <v>5018</v>
      </c>
      <c r="H3458" s="1">
        <v>0.1</v>
      </c>
      <c r="I3458" s="1">
        <v>0.1</v>
      </c>
      <c r="J3458" s="1">
        <v>0.57447347741384513</v>
      </c>
      <c r="K3458" s="1" t="s">
        <v>181</v>
      </c>
    </row>
    <row r="3459" spans="1:11" x14ac:dyDescent="0.25">
      <c r="A3459" s="1" t="s">
        <v>11015</v>
      </c>
      <c r="B3459" s="1" t="s">
        <v>11016</v>
      </c>
      <c r="D3459" s="1" t="s">
        <v>11017</v>
      </c>
      <c r="E3459" s="1" t="s">
        <v>209</v>
      </c>
      <c r="F3459" s="1" t="s">
        <v>5017</v>
      </c>
      <c r="G3459" s="1" t="s">
        <v>5018</v>
      </c>
      <c r="H3459" s="1">
        <v>0.1</v>
      </c>
      <c r="I3459" s="1">
        <v>0.1</v>
      </c>
      <c r="J3459" s="1">
        <v>0.63592862890313318</v>
      </c>
      <c r="K3459" s="1" t="s">
        <v>181</v>
      </c>
    </row>
    <row r="3460" spans="1:11" x14ac:dyDescent="0.25">
      <c r="A3460" s="1" t="s">
        <v>11018</v>
      </c>
      <c r="B3460" s="1" t="s">
        <v>11019</v>
      </c>
      <c r="D3460" s="1" t="s">
        <v>11020</v>
      </c>
      <c r="E3460" s="1" t="s">
        <v>209</v>
      </c>
      <c r="F3460" s="1" t="s">
        <v>5017</v>
      </c>
      <c r="G3460" s="1" t="s">
        <v>5018</v>
      </c>
      <c r="H3460" s="1">
        <v>0.1</v>
      </c>
      <c r="I3460" s="1">
        <v>0.1</v>
      </c>
      <c r="J3460" s="1">
        <v>0.55383503073865259</v>
      </c>
      <c r="K3460" s="1" t="s">
        <v>181</v>
      </c>
    </row>
    <row r="3461" spans="1:11" x14ac:dyDescent="0.25">
      <c r="A3461" s="1" t="s">
        <v>11021</v>
      </c>
      <c r="B3461" s="1" t="s">
        <v>11022</v>
      </c>
      <c r="D3461" s="1" t="s">
        <v>11023</v>
      </c>
      <c r="E3461" s="1" t="s">
        <v>209</v>
      </c>
      <c r="F3461" s="1" t="s">
        <v>5017</v>
      </c>
      <c r="G3461" s="1" t="s">
        <v>5018</v>
      </c>
      <c r="H3461" s="1">
        <v>0.1</v>
      </c>
      <c r="I3461" s="1">
        <v>0.1</v>
      </c>
      <c r="J3461" s="1">
        <v>0.72780481389846929</v>
      </c>
      <c r="K3461" s="1" t="s">
        <v>181</v>
      </c>
    </row>
    <row r="3462" spans="1:11" x14ac:dyDescent="0.25">
      <c r="A3462" s="1" t="s">
        <v>11024</v>
      </c>
      <c r="B3462" s="1" t="s">
        <v>11025</v>
      </c>
      <c r="D3462" s="1" t="s">
        <v>11026</v>
      </c>
      <c r="E3462" s="1" t="s">
        <v>209</v>
      </c>
      <c r="F3462" s="1" t="s">
        <v>5017</v>
      </c>
      <c r="G3462" s="1" t="s">
        <v>5018</v>
      </c>
      <c r="H3462" s="1">
        <v>0.1</v>
      </c>
      <c r="I3462" s="1">
        <v>0.1</v>
      </c>
      <c r="J3462" s="1">
        <v>0.81166135812708007</v>
      </c>
      <c r="K3462" s="1" t="s">
        <v>181</v>
      </c>
    </row>
    <row r="3463" spans="1:11" x14ac:dyDescent="0.25">
      <c r="A3463" s="1" t="s">
        <v>11027</v>
      </c>
      <c r="B3463" s="1" t="s">
        <v>11028</v>
      </c>
      <c r="D3463" s="1" t="s">
        <v>11029</v>
      </c>
      <c r="E3463" s="1" t="s">
        <v>209</v>
      </c>
      <c r="F3463" s="1" t="s">
        <v>5017</v>
      </c>
      <c r="G3463" s="1" t="s">
        <v>5018</v>
      </c>
      <c r="H3463" s="1">
        <v>0.1</v>
      </c>
      <c r="I3463" s="1">
        <v>0.1</v>
      </c>
      <c r="J3463" s="1">
        <v>0.73886195655893649</v>
      </c>
      <c r="K3463" s="1" t="s">
        <v>181</v>
      </c>
    </row>
    <row r="3464" spans="1:11" x14ac:dyDescent="0.25">
      <c r="A3464" s="1" t="s">
        <v>11030</v>
      </c>
      <c r="B3464" s="1" t="s">
        <v>11031</v>
      </c>
      <c r="D3464" s="1" t="s">
        <v>11032</v>
      </c>
      <c r="E3464" s="1" t="s">
        <v>209</v>
      </c>
      <c r="F3464" s="1" t="s">
        <v>5017</v>
      </c>
      <c r="G3464" s="1" t="s">
        <v>5018</v>
      </c>
      <c r="H3464" s="1">
        <v>0.1</v>
      </c>
      <c r="I3464" s="1">
        <v>0.1</v>
      </c>
      <c r="J3464" s="1">
        <v>0.76706464178319356</v>
      </c>
      <c r="K3464" s="1" t="s">
        <v>181</v>
      </c>
    </row>
    <row r="3465" spans="1:11" x14ac:dyDescent="0.25">
      <c r="A3465" s="1" t="s">
        <v>11033</v>
      </c>
      <c r="B3465" s="1" t="s">
        <v>11034</v>
      </c>
      <c r="D3465" s="1" t="s">
        <v>11035</v>
      </c>
      <c r="E3465" s="1" t="s">
        <v>209</v>
      </c>
      <c r="F3465" s="1" t="s">
        <v>5017</v>
      </c>
      <c r="G3465" s="1" t="s">
        <v>5018</v>
      </c>
      <c r="H3465" s="1">
        <v>0.1</v>
      </c>
      <c r="I3465" s="1">
        <v>0.1</v>
      </c>
      <c r="J3465" s="1">
        <v>0.74493998937107353</v>
      </c>
      <c r="K3465" s="1" t="s">
        <v>181</v>
      </c>
    </row>
    <row r="3466" spans="1:11" x14ac:dyDescent="0.25">
      <c r="A3466" s="1" t="s">
        <v>11036</v>
      </c>
      <c r="B3466" s="1" t="s">
        <v>11037</v>
      </c>
      <c r="D3466" s="1" t="s">
        <v>11038</v>
      </c>
      <c r="E3466" s="1" t="s">
        <v>209</v>
      </c>
      <c r="F3466" s="1" t="s">
        <v>5017</v>
      </c>
      <c r="G3466" s="1" t="s">
        <v>5018</v>
      </c>
      <c r="H3466" s="1">
        <v>0.1</v>
      </c>
      <c r="I3466" s="1">
        <v>0.1</v>
      </c>
      <c r="J3466" s="1">
        <v>0.74766562751280941</v>
      </c>
      <c r="K3466" s="1" t="s">
        <v>181</v>
      </c>
    </row>
    <row r="3467" spans="1:11" x14ac:dyDescent="0.25">
      <c r="A3467" s="1" t="s">
        <v>11039</v>
      </c>
      <c r="B3467" s="1" t="s">
        <v>11040</v>
      </c>
      <c r="D3467" s="1" t="s">
        <v>11041</v>
      </c>
      <c r="E3467" s="1" t="s">
        <v>209</v>
      </c>
      <c r="F3467" s="1" t="s">
        <v>5017</v>
      </c>
      <c r="G3467" s="1" t="s">
        <v>5018</v>
      </c>
      <c r="H3467" s="1">
        <v>0.1</v>
      </c>
      <c r="I3467" s="1">
        <v>0.1</v>
      </c>
      <c r="J3467" s="1">
        <v>0.84181335901089938</v>
      </c>
      <c r="K3467" s="1" t="s">
        <v>181</v>
      </c>
    </row>
    <row r="3468" spans="1:11" x14ac:dyDescent="0.25">
      <c r="A3468" s="1" t="s">
        <v>11042</v>
      </c>
      <c r="B3468" s="1" t="s">
        <v>11043</v>
      </c>
      <c r="D3468" s="1" t="s">
        <v>11044</v>
      </c>
      <c r="E3468" s="1" t="s">
        <v>209</v>
      </c>
      <c r="F3468" s="1" t="s">
        <v>5017</v>
      </c>
      <c r="G3468" s="1" t="s">
        <v>5018</v>
      </c>
      <c r="H3468" s="1">
        <v>0.1</v>
      </c>
      <c r="I3468" s="1">
        <v>0.1</v>
      </c>
      <c r="J3468" s="1">
        <v>0.80723427745372078</v>
      </c>
      <c r="K3468" s="1" t="s">
        <v>181</v>
      </c>
    </row>
    <row r="3469" spans="1:11" x14ac:dyDescent="0.25">
      <c r="A3469" s="1" t="s">
        <v>11045</v>
      </c>
      <c r="B3469" s="1" t="s">
        <v>11046</v>
      </c>
      <c r="D3469" s="1" t="s">
        <v>11047</v>
      </c>
      <c r="E3469" s="1" t="s">
        <v>209</v>
      </c>
      <c r="F3469" s="1" t="s">
        <v>5017</v>
      </c>
      <c r="G3469" s="1" t="s">
        <v>5018</v>
      </c>
      <c r="H3469" s="1">
        <v>0.1</v>
      </c>
      <c r="I3469" s="1">
        <v>0.1</v>
      </c>
      <c r="J3469" s="1">
        <v>0.61828647724497343</v>
      </c>
      <c r="K3469" s="1" t="s">
        <v>181</v>
      </c>
    </row>
    <row r="3470" spans="1:11" x14ac:dyDescent="0.25">
      <c r="A3470" s="1" t="s">
        <v>11048</v>
      </c>
      <c r="B3470" s="1" t="s">
        <v>11049</v>
      </c>
      <c r="D3470" s="1" t="s">
        <v>11050</v>
      </c>
      <c r="E3470" s="1" t="s">
        <v>209</v>
      </c>
      <c r="F3470" s="1" t="s">
        <v>5017</v>
      </c>
      <c r="G3470" s="1" t="s">
        <v>5018</v>
      </c>
      <c r="H3470" s="1">
        <v>0.1</v>
      </c>
      <c r="I3470" s="1">
        <v>0.1</v>
      </c>
      <c r="J3470" s="1">
        <v>0.87136069946477013</v>
      </c>
      <c r="K3470" s="1" t="s">
        <v>181</v>
      </c>
    </row>
    <row r="3471" spans="1:11" x14ac:dyDescent="0.25">
      <c r="A3471" s="1" t="s">
        <v>11051</v>
      </c>
      <c r="B3471" s="1" t="s">
        <v>11052</v>
      </c>
      <c r="D3471" s="1" t="s">
        <v>11053</v>
      </c>
      <c r="E3471" s="1" t="s">
        <v>209</v>
      </c>
      <c r="F3471" s="1" t="s">
        <v>5017</v>
      </c>
      <c r="G3471" s="1" t="s">
        <v>5018</v>
      </c>
      <c r="H3471" s="1">
        <v>0.1</v>
      </c>
      <c r="I3471" s="1">
        <v>0.1</v>
      </c>
      <c r="J3471" s="1">
        <v>0.89170235426275801</v>
      </c>
      <c r="K3471" s="1" t="s">
        <v>181</v>
      </c>
    </row>
    <row r="3472" spans="1:11" x14ac:dyDescent="0.25">
      <c r="A3472" s="1" t="s">
        <v>11054</v>
      </c>
      <c r="B3472" s="1" t="s">
        <v>11055</v>
      </c>
      <c r="D3472" s="1" t="s">
        <v>11056</v>
      </c>
      <c r="E3472" s="1" t="s">
        <v>209</v>
      </c>
      <c r="F3472" s="1" t="s">
        <v>5017</v>
      </c>
      <c r="G3472" s="1" t="s">
        <v>5018</v>
      </c>
      <c r="H3472" s="1">
        <v>0.1</v>
      </c>
      <c r="I3472" s="1">
        <v>0.1</v>
      </c>
      <c r="J3472" s="1">
        <v>0.85218415661860636</v>
      </c>
      <c r="K3472" s="1" t="s">
        <v>181</v>
      </c>
    </row>
    <row r="3473" spans="1:11" x14ac:dyDescent="0.25">
      <c r="A3473" s="1" t="s">
        <v>11057</v>
      </c>
      <c r="B3473" s="1" t="s">
        <v>11058</v>
      </c>
      <c r="D3473" s="1" t="s">
        <v>11059</v>
      </c>
      <c r="E3473" s="1" t="s">
        <v>209</v>
      </c>
      <c r="F3473" s="1" t="s">
        <v>5017</v>
      </c>
      <c r="G3473" s="1" t="s">
        <v>5018</v>
      </c>
      <c r="H3473" s="1">
        <v>0.1</v>
      </c>
      <c r="I3473" s="1">
        <v>0.1</v>
      </c>
      <c r="J3473" s="1">
        <v>0.75160223807366877</v>
      </c>
      <c r="K3473" s="1" t="s">
        <v>181</v>
      </c>
    </row>
    <row r="3474" spans="1:11" x14ac:dyDescent="0.25">
      <c r="A3474" s="1" t="s">
        <v>11060</v>
      </c>
      <c r="B3474" s="1" t="s">
        <v>11061</v>
      </c>
      <c r="D3474" s="1" t="s">
        <v>11062</v>
      </c>
      <c r="E3474" s="1" t="s">
        <v>209</v>
      </c>
      <c r="F3474" s="1" t="s">
        <v>5017</v>
      </c>
      <c r="G3474" s="1" t="s">
        <v>5018</v>
      </c>
      <c r="H3474" s="1">
        <v>0.1</v>
      </c>
      <c r="I3474" s="1">
        <v>0.1</v>
      </c>
      <c r="J3474" s="1">
        <v>0.6462099014123931</v>
      </c>
      <c r="K3474" s="1" t="s">
        <v>181</v>
      </c>
    </row>
    <row r="3475" spans="1:11" x14ac:dyDescent="0.25">
      <c r="A3475" s="1" t="s">
        <v>11063</v>
      </c>
      <c r="B3475" s="1" t="s">
        <v>11064</v>
      </c>
      <c r="D3475" s="1" t="s">
        <v>11065</v>
      </c>
      <c r="E3475" s="1" t="s">
        <v>209</v>
      </c>
      <c r="F3475" s="1" t="s">
        <v>5017</v>
      </c>
      <c r="G3475" s="1" t="s">
        <v>5018</v>
      </c>
      <c r="H3475" s="1">
        <v>0.1</v>
      </c>
      <c r="I3475" s="1">
        <v>0.1</v>
      </c>
      <c r="J3475" s="1">
        <v>0.54188155076412581</v>
      </c>
      <c r="K3475" s="1" t="s">
        <v>181</v>
      </c>
    </row>
    <row r="3476" spans="1:11" x14ac:dyDescent="0.25">
      <c r="A3476" s="1" t="s">
        <v>11066</v>
      </c>
      <c r="B3476" s="1" t="s">
        <v>11067</v>
      </c>
      <c r="D3476" s="1" t="s">
        <v>11068</v>
      </c>
      <c r="E3476" s="1" t="s">
        <v>209</v>
      </c>
      <c r="F3476" s="1" t="s">
        <v>5017</v>
      </c>
      <c r="G3476" s="1" t="s">
        <v>5018</v>
      </c>
      <c r="H3476" s="1">
        <v>0.1</v>
      </c>
      <c r="I3476" s="1">
        <v>0.1</v>
      </c>
      <c r="J3476" s="1">
        <v>0.67179397627269688</v>
      </c>
      <c r="K3476" s="1" t="s">
        <v>181</v>
      </c>
    </row>
    <row r="3477" spans="1:11" x14ac:dyDescent="0.25">
      <c r="A3477" s="1" t="s">
        <v>11069</v>
      </c>
      <c r="B3477" s="1" t="s">
        <v>11070</v>
      </c>
      <c r="D3477" s="1" t="s">
        <v>11071</v>
      </c>
      <c r="E3477" s="1" t="s">
        <v>209</v>
      </c>
      <c r="F3477" s="1" t="s">
        <v>5017</v>
      </c>
      <c r="G3477" s="1" t="s">
        <v>5018</v>
      </c>
      <c r="H3477" s="1">
        <v>0.1</v>
      </c>
      <c r="I3477" s="1">
        <v>0.1</v>
      </c>
      <c r="J3477" s="1">
        <v>0.74034211202431421</v>
      </c>
      <c r="K3477" s="1" t="s">
        <v>181</v>
      </c>
    </row>
    <row r="3478" spans="1:11" x14ac:dyDescent="0.25">
      <c r="A3478" s="1" t="s">
        <v>11072</v>
      </c>
      <c r="B3478" s="1" t="s">
        <v>11073</v>
      </c>
      <c r="D3478" s="1" t="s">
        <v>11074</v>
      </c>
      <c r="E3478" s="1" t="s">
        <v>209</v>
      </c>
      <c r="F3478" s="1" t="s">
        <v>5017</v>
      </c>
      <c r="G3478" s="1" t="s">
        <v>5018</v>
      </c>
      <c r="H3478" s="1">
        <v>0.1</v>
      </c>
      <c r="I3478" s="1">
        <v>0.1</v>
      </c>
      <c r="J3478" s="1">
        <v>0.75874035817344776</v>
      </c>
      <c r="K3478" s="1" t="s">
        <v>181</v>
      </c>
    </row>
    <row r="3479" spans="1:11" x14ac:dyDescent="0.25">
      <c r="A3479" s="1" t="s">
        <v>11075</v>
      </c>
      <c r="B3479" s="1" t="s">
        <v>11076</v>
      </c>
      <c r="D3479" s="1" t="s">
        <v>11077</v>
      </c>
      <c r="E3479" s="1" t="s">
        <v>209</v>
      </c>
      <c r="F3479" s="1" t="s">
        <v>5017</v>
      </c>
      <c r="G3479" s="1" t="s">
        <v>5018</v>
      </c>
      <c r="H3479" s="1">
        <v>0.1</v>
      </c>
      <c r="I3479" s="1">
        <v>0.1</v>
      </c>
      <c r="J3479" s="1">
        <v>0.62309948354521383</v>
      </c>
      <c r="K3479" s="1" t="s">
        <v>181</v>
      </c>
    </row>
    <row r="3480" spans="1:11" x14ac:dyDescent="0.25">
      <c r="A3480" s="1" t="s">
        <v>11078</v>
      </c>
      <c r="B3480" s="1" t="s">
        <v>11079</v>
      </c>
      <c r="D3480" s="1" t="s">
        <v>11080</v>
      </c>
      <c r="E3480" s="1" t="s">
        <v>209</v>
      </c>
      <c r="F3480" s="1" t="s">
        <v>5017</v>
      </c>
      <c r="G3480" s="1" t="s">
        <v>5018</v>
      </c>
      <c r="H3480" s="1">
        <v>0.1</v>
      </c>
      <c r="I3480" s="1">
        <v>0.1</v>
      </c>
      <c r="J3480" s="1">
        <v>0.74561594440952494</v>
      </c>
      <c r="K3480" s="1" t="s">
        <v>181</v>
      </c>
    </row>
    <row r="3481" spans="1:11" x14ac:dyDescent="0.25">
      <c r="A3481" s="1" t="s">
        <v>11081</v>
      </c>
      <c r="B3481" s="1" t="s">
        <v>11082</v>
      </c>
      <c r="D3481" s="1" t="s">
        <v>11083</v>
      </c>
      <c r="E3481" s="1" t="s">
        <v>209</v>
      </c>
      <c r="F3481" s="1" t="s">
        <v>5017</v>
      </c>
      <c r="G3481" s="1" t="s">
        <v>5018</v>
      </c>
      <c r="H3481" s="1">
        <v>0.1</v>
      </c>
      <c r="I3481" s="1">
        <v>0.1</v>
      </c>
      <c r="J3481" s="1">
        <v>1.0713469524288495</v>
      </c>
      <c r="K3481" s="1" t="s">
        <v>181</v>
      </c>
    </row>
    <row r="3482" spans="1:11" x14ac:dyDescent="0.25">
      <c r="A3482" s="1" t="s">
        <v>11084</v>
      </c>
      <c r="B3482" s="1" t="s">
        <v>11085</v>
      </c>
      <c r="D3482" s="1" t="s">
        <v>11086</v>
      </c>
      <c r="E3482" s="1" t="s">
        <v>209</v>
      </c>
      <c r="F3482" s="1" t="s">
        <v>5017</v>
      </c>
      <c r="G3482" s="1" t="s">
        <v>5018</v>
      </c>
      <c r="H3482" s="1">
        <v>0.1</v>
      </c>
      <c r="I3482" s="1">
        <v>0.1</v>
      </c>
      <c r="J3482" s="1">
        <v>0.76238299390968023</v>
      </c>
      <c r="K3482" s="1" t="s">
        <v>181</v>
      </c>
    </row>
    <row r="3483" spans="1:11" x14ac:dyDescent="0.25">
      <c r="A3483" s="1" t="s">
        <v>11087</v>
      </c>
      <c r="B3483" s="1" t="s">
        <v>11088</v>
      </c>
      <c r="D3483" s="1" t="s">
        <v>11089</v>
      </c>
      <c r="E3483" s="1" t="s">
        <v>209</v>
      </c>
      <c r="F3483" s="1" t="s">
        <v>5017</v>
      </c>
      <c r="G3483" s="1" t="s">
        <v>5018</v>
      </c>
      <c r="H3483" s="1">
        <v>0.1</v>
      </c>
      <c r="I3483" s="1">
        <v>0.1</v>
      </c>
      <c r="J3483" s="1">
        <v>0.67796649546387056</v>
      </c>
      <c r="K3483" s="1" t="s">
        <v>181</v>
      </c>
    </row>
    <row r="3484" spans="1:11" x14ac:dyDescent="0.25">
      <c r="A3484" s="1" t="s">
        <v>11090</v>
      </c>
      <c r="B3484" s="1" t="s">
        <v>11091</v>
      </c>
      <c r="D3484" s="1" t="s">
        <v>11092</v>
      </c>
      <c r="E3484" s="1" t="s">
        <v>209</v>
      </c>
      <c r="F3484" s="1" t="s">
        <v>5017</v>
      </c>
      <c r="G3484" s="1" t="s">
        <v>5018</v>
      </c>
      <c r="H3484" s="1">
        <v>0.1</v>
      </c>
      <c r="I3484" s="1">
        <v>0.1</v>
      </c>
      <c r="J3484" s="1">
        <v>0.75751523906164608</v>
      </c>
      <c r="K3484" s="1" t="s">
        <v>181</v>
      </c>
    </row>
    <row r="3485" spans="1:11" x14ac:dyDescent="0.25">
      <c r="A3485" s="1" t="s">
        <v>11093</v>
      </c>
      <c r="B3485" s="1" t="s">
        <v>11094</v>
      </c>
      <c r="D3485" s="1" t="s">
        <v>11095</v>
      </c>
      <c r="E3485" s="1" t="s">
        <v>209</v>
      </c>
      <c r="F3485" s="1" t="s">
        <v>5017</v>
      </c>
      <c r="G3485" s="1" t="s">
        <v>5018</v>
      </c>
      <c r="H3485" s="1">
        <v>0.1</v>
      </c>
      <c r="I3485" s="1">
        <v>0.1</v>
      </c>
      <c r="J3485" s="1">
        <v>0.91134907155524336</v>
      </c>
      <c r="K3485" s="1" t="s">
        <v>181</v>
      </c>
    </row>
    <row r="3486" spans="1:11" x14ac:dyDescent="0.25">
      <c r="A3486" s="1" t="s">
        <v>11096</v>
      </c>
      <c r="B3486" s="1" t="s">
        <v>11097</v>
      </c>
      <c r="D3486" s="1" t="s">
        <v>11098</v>
      </c>
      <c r="E3486" s="1" t="s">
        <v>209</v>
      </c>
      <c r="F3486" s="1" t="s">
        <v>5017</v>
      </c>
      <c r="G3486" s="1" t="s">
        <v>5018</v>
      </c>
      <c r="H3486" s="1">
        <v>0.1</v>
      </c>
      <c r="I3486" s="1">
        <v>0.1</v>
      </c>
      <c r="J3486" s="1">
        <v>0.44682055624446393</v>
      </c>
      <c r="K3486" s="1" t="s">
        <v>181</v>
      </c>
    </row>
    <row r="3487" spans="1:11" x14ac:dyDescent="0.25">
      <c r="A3487" s="1" t="s">
        <v>11099</v>
      </c>
      <c r="B3487" s="1" t="s">
        <v>11100</v>
      </c>
      <c r="D3487" s="1" t="s">
        <v>11101</v>
      </c>
      <c r="E3487" s="1" t="s">
        <v>209</v>
      </c>
      <c r="F3487" s="1" t="s">
        <v>5017</v>
      </c>
      <c r="G3487" s="1" t="s">
        <v>5018</v>
      </c>
      <c r="H3487" s="1">
        <v>0.1</v>
      </c>
      <c r="I3487" s="1">
        <v>0.1</v>
      </c>
      <c r="J3487" s="1">
        <v>0.80197923522199244</v>
      </c>
      <c r="K3487" s="1" t="s">
        <v>181</v>
      </c>
    </row>
    <row r="3488" spans="1:11" x14ac:dyDescent="0.25">
      <c r="A3488" s="1" t="s">
        <v>11102</v>
      </c>
      <c r="B3488" s="1" t="s">
        <v>11103</v>
      </c>
      <c r="D3488" s="1" t="s">
        <v>11104</v>
      </c>
      <c r="E3488" s="1" t="s">
        <v>209</v>
      </c>
      <c r="F3488" s="1" t="s">
        <v>5017</v>
      </c>
      <c r="G3488" s="1" t="s">
        <v>5018</v>
      </c>
      <c r="H3488" s="1">
        <v>0.1</v>
      </c>
      <c r="I3488" s="1">
        <v>0.1</v>
      </c>
      <c r="J3488" s="1">
        <v>0.4041159396746058</v>
      </c>
      <c r="K3488" s="1" t="s">
        <v>181</v>
      </c>
    </row>
    <row r="3489" spans="1:11" x14ac:dyDescent="0.25">
      <c r="A3489" s="1" t="s">
        <v>11105</v>
      </c>
      <c r="B3489" s="1" t="s">
        <v>11106</v>
      </c>
      <c r="D3489" s="1" t="s">
        <v>11107</v>
      </c>
      <c r="E3489" s="1" t="s">
        <v>209</v>
      </c>
      <c r="F3489" s="1" t="s">
        <v>5017</v>
      </c>
      <c r="G3489" s="1" t="s">
        <v>5018</v>
      </c>
      <c r="H3489" s="1">
        <v>0.1</v>
      </c>
      <c r="I3489" s="1">
        <v>0.1</v>
      </c>
      <c r="J3489" s="1">
        <v>0.72031830523757179</v>
      </c>
      <c r="K3489" s="1" t="s">
        <v>181</v>
      </c>
    </row>
    <row r="3490" spans="1:11" x14ac:dyDescent="0.25">
      <c r="A3490" s="1" t="s">
        <v>11108</v>
      </c>
      <c r="B3490" s="1" t="s">
        <v>11109</v>
      </c>
      <c r="D3490" s="1" t="s">
        <v>11110</v>
      </c>
      <c r="E3490" s="1" t="s">
        <v>209</v>
      </c>
      <c r="F3490" s="1" t="s">
        <v>5017</v>
      </c>
      <c r="G3490" s="1" t="s">
        <v>5018</v>
      </c>
      <c r="H3490" s="1">
        <v>0.1</v>
      </c>
      <c r="I3490" s="1">
        <v>0.1</v>
      </c>
      <c r="J3490" s="1">
        <v>0.55421527222277245</v>
      </c>
      <c r="K3490" s="1" t="s">
        <v>181</v>
      </c>
    </row>
    <row r="3491" spans="1:11" x14ac:dyDescent="0.25">
      <c r="A3491" s="1" t="s">
        <v>11111</v>
      </c>
      <c r="B3491" s="1" t="s">
        <v>11112</v>
      </c>
      <c r="D3491" s="1" t="s">
        <v>11113</v>
      </c>
      <c r="E3491" s="1" t="s">
        <v>209</v>
      </c>
      <c r="F3491" s="1" t="s">
        <v>5017</v>
      </c>
      <c r="G3491" s="1" t="s">
        <v>5018</v>
      </c>
      <c r="H3491" s="1">
        <v>0.1</v>
      </c>
      <c r="I3491" s="1">
        <v>0.1</v>
      </c>
      <c r="J3491" s="1">
        <v>0.68969489659152139</v>
      </c>
      <c r="K3491" s="1" t="s">
        <v>181</v>
      </c>
    </row>
    <row r="3492" spans="1:11" x14ac:dyDescent="0.25">
      <c r="A3492" s="1" t="s">
        <v>112</v>
      </c>
      <c r="B3492" s="1" t="s">
        <v>11114</v>
      </c>
      <c r="D3492" s="1" t="s">
        <v>11115</v>
      </c>
      <c r="E3492" s="1" t="s">
        <v>209</v>
      </c>
      <c r="F3492" s="1" t="s">
        <v>5017</v>
      </c>
      <c r="G3492" s="1" t="s">
        <v>5018</v>
      </c>
      <c r="H3492" s="1">
        <v>0.1</v>
      </c>
      <c r="I3492" s="1">
        <v>0.1</v>
      </c>
      <c r="J3492" s="1">
        <v>0.53921383374122056</v>
      </c>
      <c r="K3492" s="1" t="s">
        <v>181</v>
      </c>
    </row>
    <row r="3493" spans="1:11" x14ac:dyDescent="0.25">
      <c r="A3493" s="1" t="s">
        <v>11116</v>
      </c>
      <c r="B3493" s="1" t="s">
        <v>11117</v>
      </c>
      <c r="D3493" s="1" t="s">
        <v>11118</v>
      </c>
      <c r="E3493" s="1" t="s">
        <v>209</v>
      </c>
      <c r="F3493" s="1" t="s">
        <v>5017</v>
      </c>
      <c r="G3493" s="1" t="s">
        <v>5018</v>
      </c>
      <c r="H3493" s="1">
        <v>0.1</v>
      </c>
      <c r="I3493" s="1">
        <v>0.1</v>
      </c>
      <c r="J3493" s="1">
        <v>0.39784040964686374</v>
      </c>
      <c r="K3493" s="1" t="s">
        <v>181</v>
      </c>
    </row>
    <row r="3494" spans="1:11" x14ac:dyDescent="0.25">
      <c r="A3494" s="1" t="s">
        <v>11119</v>
      </c>
      <c r="B3494" s="1" t="s">
        <v>11120</v>
      </c>
      <c r="D3494" s="1" t="s">
        <v>11121</v>
      </c>
      <c r="E3494" s="1" t="s">
        <v>209</v>
      </c>
      <c r="F3494" s="1" t="s">
        <v>5017</v>
      </c>
      <c r="G3494" s="1" t="s">
        <v>5018</v>
      </c>
      <c r="H3494" s="1">
        <v>0.1</v>
      </c>
      <c r="I3494" s="1">
        <v>0.1</v>
      </c>
      <c r="J3494" s="1">
        <v>0.51417880704351127</v>
      </c>
      <c r="K3494" s="1" t="s">
        <v>181</v>
      </c>
    </row>
    <row r="3495" spans="1:11" x14ac:dyDescent="0.25">
      <c r="A3495" s="1" t="s">
        <v>11122</v>
      </c>
      <c r="B3495" s="1" t="s">
        <v>11123</v>
      </c>
      <c r="D3495" s="1" t="s">
        <v>11124</v>
      </c>
      <c r="E3495" s="1" t="s">
        <v>209</v>
      </c>
      <c r="F3495" s="1" t="s">
        <v>5017</v>
      </c>
      <c r="G3495" s="1" t="s">
        <v>5018</v>
      </c>
      <c r="H3495" s="1">
        <v>0.1</v>
      </c>
      <c r="I3495" s="1">
        <v>0.1</v>
      </c>
      <c r="J3495" s="1">
        <v>0.47678310698300114</v>
      </c>
      <c r="K3495" s="1" t="s">
        <v>181</v>
      </c>
    </row>
    <row r="3496" spans="1:11" x14ac:dyDescent="0.25">
      <c r="A3496" s="1" t="s">
        <v>11125</v>
      </c>
      <c r="B3496" s="1" t="s">
        <v>11126</v>
      </c>
      <c r="D3496" s="1" t="s">
        <v>11127</v>
      </c>
      <c r="E3496" s="1" t="s">
        <v>209</v>
      </c>
      <c r="F3496" s="1" t="s">
        <v>5017</v>
      </c>
      <c r="G3496" s="1" t="s">
        <v>5018</v>
      </c>
      <c r="H3496" s="1">
        <v>0.1</v>
      </c>
      <c r="I3496" s="1">
        <v>0.1</v>
      </c>
      <c r="J3496" s="1">
        <v>0.60390372373659107</v>
      </c>
      <c r="K3496" s="1" t="s">
        <v>181</v>
      </c>
    </row>
    <row r="3497" spans="1:11" x14ac:dyDescent="0.25">
      <c r="A3497" s="1" t="s">
        <v>11128</v>
      </c>
      <c r="B3497" s="1" t="s">
        <v>11129</v>
      </c>
      <c r="D3497" s="1" t="s">
        <v>11130</v>
      </c>
      <c r="E3497" s="1" t="s">
        <v>209</v>
      </c>
      <c r="F3497" s="1" t="s">
        <v>5017</v>
      </c>
      <c r="G3497" s="1" t="s">
        <v>5018</v>
      </c>
      <c r="H3497" s="1">
        <v>0.1</v>
      </c>
      <c r="I3497" s="1">
        <v>0.1</v>
      </c>
      <c r="J3497" s="1">
        <v>0.5501449974195507</v>
      </c>
      <c r="K3497" s="1" t="s">
        <v>181</v>
      </c>
    </row>
    <row r="3498" spans="1:11" x14ac:dyDescent="0.25">
      <c r="A3498" s="1" t="s">
        <v>11131</v>
      </c>
      <c r="B3498" s="1" t="s">
        <v>11132</v>
      </c>
      <c r="D3498" s="1" t="s">
        <v>11133</v>
      </c>
      <c r="E3498" s="1" t="s">
        <v>209</v>
      </c>
      <c r="F3498" s="1" t="s">
        <v>5017</v>
      </c>
      <c r="G3498" s="1" t="s">
        <v>5018</v>
      </c>
      <c r="H3498" s="1">
        <v>0.1</v>
      </c>
      <c r="I3498" s="1">
        <v>0.1</v>
      </c>
      <c r="J3498" s="1">
        <v>0.58357958520741804</v>
      </c>
      <c r="K3498" s="1" t="s">
        <v>181</v>
      </c>
    </row>
    <row r="3499" spans="1:11" x14ac:dyDescent="0.25">
      <c r="A3499" s="1" t="s">
        <v>11134</v>
      </c>
      <c r="B3499" s="1" t="s">
        <v>11135</v>
      </c>
      <c r="D3499" s="1" t="s">
        <v>11136</v>
      </c>
      <c r="E3499" s="1" t="s">
        <v>209</v>
      </c>
      <c r="F3499" s="1" t="s">
        <v>5017</v>
      </c>
      <c r="G3499" s="1" t="s">
        <v>5018</v>
      </c>
      <c r="H3499" s="1">
        <v>0.1</v>
      </c>
      <c r="I3499" s="1">
        <v>0.1</v>
      </c>
      <c r="J3499" s="1">
        <v>1.2198179714733324</v>
      </c>
      <c r="K3499" s="1" t="s">
        <v>181</v>
      </c>
    </row>
    <row r="3500" spans="1:11" x14ac:dyDescent="0.25">
      <c r="A3500" s="1" t="s">
        <v>100</v>
      </c>
      <c r="B3500" s="1" t="s">
        <v>11137</v>
      </c>
      <c r="D3500" s="1" t="s">
        <v>11138</v>
      </c>
      <c r="E3500" s="1" t="s">
        <v>209</v>
      </c>
      <c r="F3500" s="1" t="s">
        <v>5017</v>
      </c>
      <c r="G3500" s="1" t="s">
        <v>5018</v>
      </c>
      <c r="H3500" s="1">
        <v>0.1</v>
      </c>
      <c r="I3500" s="1">
        <v>0.1</v>
      </c>
      <c r="J3500" s="1">
        <v>0.7033548917209963</v>
      </c>
      <c r="K3500" s="1" t="s">
        <v>181</v>
      </c>
    </row>
    <row r="3501" spans="1:11" x14ac:dyDescent="0.25">
      <c r="A3501" s="1" t="s">
        <v>11139</v>
      </c>
      <c r="B3501" s="1" t="s">
        <v>11140</v>
      </c>
      <c r="D3501" s="1" t="s">
        <v>11141</v>
      </c>
      <c r="E3501" s="1" t="s">
        <v>209</v>
      </c>
      <c r="F3501" s="1" t="s">
        <v>5017</v>
      </c>
      <c r="G3501" s="1" t="s">
        <v>5018</v>
      </c>
      <c r="H3501" s="1">
        <v>0.1</v>
      </c>
      <c r="I3501" s="1">
        <v>0.1</v>
      </c>
      <c r="J3501" s="1">
        <v>0.75548094366800345</v>
      </c>
      <c r="K3501" s="1" t="s">
        <v>181</v>
      </c>
    </row>
    <row r="3502" spans="1:11" x14ac:dyDescent="0.25">
      <c r="A3502" s="1" t="s">
        <v>11142</v>
      </c>
      <c r="B3502" s="1" t="s">
        <v>11143</v>
      </c>
      <c r="D3502" s="1" t="s">
        <v>11144</v>
      </c>
      <c r="E3502" s="1" t="s">
        <v>209</v>
      </c>
      <c r="F3502" s="1" t="s">
        <v>5017</v>
      </c>
      <c r="G3502" s="1" t="s">
        <v>5018</v>
      </c>
      <c r="H3502" s="1">
        <v>0.1</v>
      </c>
      <c r="I3502" s="1">
        <v>0.1</v>
      </c>
      <c r="J3502" s="1">
        <v>0.62575777735903226</v>
      </c>
      <c r="K3502" s="1" t="s">
        <v>181</v>
      </c>
    </row>
    <row r="3503" spans="1:11" x14ac:dyDescent="0.25">
      <c r="A3503" s="1" t="s">
        <v>11145</v>
      </c>
      <c r="B3503" s="1" t="s">
        <v>11146</v>
      </c>
      <c r="D3503" s="1" t="s">
        <v>11147</v>
      </c>
      <c r="E3503" s="1" t="s">
        <v>209</v>
      </c>
      <c r="F3503" s="1" t="s">
        <v>5017</v>
      </c>
      <c r="G3503" s="1" t="s">
        <v>5018</v>
      </c>
      <c r="H3503" s="1">
        <v>0.1</v>
      </c>
      <c r="I3503" s="1">
        <v>0.1</v>
      </c>
      <c r="J3503" s="1">
        <v>0.63846639518902926</v>
      </c>
      <c r="K3503" s="1" t="s">
        <v>181</v>
      </c>
    </row>
    <row r="3504" spans="1:11" x14ac:dyDescent="0.25">
      <c r="A3504" s="1" t="s">
        <v>11148</v>
      </c>
      <c r="B3504" s="1" t="s">
        <v>11149</v>
      </c>
      <c r="D3504" s="1" t="s">
        <v>11150</v>
      </c>
      <c r="E3504" s="1" t="s">
        <v>209</v>
      </c>
      <c r="F3504" s="1" t="s">
        <v>5017</v>
      </c>
      <c r="G3504" s="1" t="s">
        <v>5018</v>
      </c>
      <c r="H3504" s="1">
        <v>0.1</v>
      </c>
      <c r="I3504" s="1">
        <v>0.1</v>
      </c>
      <c r="J3504" s="1">
        <v>0.47959945212382149</v>
      </c>
      <c r="K3504" s="1" t="s">
        <v>181</v>
      </c>
    </row>
    <row r="3505" spans="1:11" x14ac:dyDescent="0.25">
      <c r="A3505" s="1" t="s">
        <v>11151</v>
      </c>
      <c r="B3505" s="1" t="s">
        <v>11152</v>
      </c>
      <c r="D3505" s="1" t="s">
        <v>11153</v>
      </c>
      <c r="E3505" s="1" t="s">
        <v>209</v>
      </c>
      <c r="F3505" s="1" t="s">
        <v>5017</v>
      </c>
      <c r="G3505" s="1" t="s">
        <v>5018</v>
      </c>
      <c r="H3505" s="1">
        <v>0.1</v>
      </c>
      <c r="I3505" s="1">
        <v>0.1</v>
      </c>
      <c r="J3505" s="1">
        <v>0.55500474652577025</v>
      </c>
      <c r="K3505" s="1" t="s">
        <v>181</v>
      </c>
    </row>
    <row r="3506" spans="1:11" x14ac:dyDescent="0.25">
      <c r="A3506" s="1" t="s">
        <v>11154</v>
      </c>
      <c r="B3506" s="1" t="s">
        <v>11155</v>
      </c>
      <c r="D3506" s="1" t="s">
        <v>11156</v>
      </c>
      <c r="E3506" s="1" t="s">
        <v>209</v>
      </c>
      <c r="F3506" s="1" t="s">
        <v>5017</v>
      </c>
      <c r="G3506" s="1" t="s">
        <v>5018</v>
      </c>
      <c r="H3506" s="1">
        <v>0.1</v>
      </c>
      <c r="I3506" s="1">
        <v>0.1</v>
      </c>
      <c r="J3506" s="1">
        <v>0.74326782718920081</v>
      </c>
      <c r="K3506" s="1" t="s">
        <v>181</v>
      </c>
    </row>
    <row r="3507" spans="1:11" x14ac:dyDescent="0.25">
      <c r="A3507" s="1" t="s">
        <v>11157</v>
      </c>
      <c r="B3507" s="1" t="s">
        <v>11158</v>
      </c>
      <c r="D3507" s="1" t="s">
        <v>11159</v>
      </c>
      <c r="E3507" s="1" t="s">
        <v>209</v>
      </c>
      <c r="F3507" s="1" t="s">
        <v>5017</v>
      </c>
      <c r="G3507" s="1" t="s">
        <v>5018</v>
      </c>
      <c r="H3507" s="1">
        <v>0.1</v>
      </c>
      <c r="I3507" s="1">
        <v>0.1</v>
      </c>
      <c r="J3507" s="1">
        <v>0.93119708817314417</v>
      </c>
      <c r="K3507" s="1" t="s">
        <v>181</v>
      </c>
    </row>
    <row r="3508" spans="1:11" x14ac:dyDescent="0.25">
      <c r="A3508" s="1" t="s">
        <v>11160</v>
      </c>
      <c r="B3508" s="1" t="s">
        <v>11161</v>
      </c>
      <c r="D3508" s="1" t="s">
        <v>11162</v>
      </c>
      <c r="E3508" s="1" t="s">
        <v>209</v>
      </c>
      <c r="F3508" s="1" t="s">
        <v>5017</v>
      </c>
      <c r="G3508" s="1" t="s">
        <v>5018</v>
      </c>
      <c r="H3508" s="1">
        <v>0.1</v>
      </c>
      <c r="I3508" s="1">
        <v>0.1</v>
      </c>
      <c r="J3508" s="1">
        <v>0.87688659043057993</v>
      </c>
      <c r="K3508" s="1" t="s">
        <v>181</v>
      </c>
    </row>
    <row r="3509" spans="1:11" x14ac:dyDescent="0.25">
      <c r="A3509" s="1" t="s">
        <v>11163</v>
      </c>
      <c r="B3509" s="1" t="s">
        <v>11164</v>
      </c>
      <c r="D3509" s="1" t="s">
        <v>11165</v>
      </c>
      <c r="E3509" s="1" t="s">
        <v>209</v>
      </c>
      <c r="F3509" s="1" t="s">
        <v>5017</v>
      </c>
      <c r="G3509" s="1" t="s">
        <v>5018</v>
      </c>
      <c r="H3509" s="1">
        <v>0.1</v>
      </c>
      <c r="I3509" s="1">
        <v>0.1</v>
      </c>
      <c r="J3509" s="1">
        <v>0.6442614890654863</v>
      </c>
      <c r="K3509" s="1" t="s">
        <v>181</v>
      </c>
    </row>
    <row r="3510" spans="1:11" x14ac:dyDescent="0.25">
      <c r="A3510" s="1" t="s">
        <v>11166</v>
      </c>
      <c r="B3510" s="1" t="s">
        <v>11167</v>
      </c>
      <c r="D3510" s="1" t="s">
        <v>11168</v>
      </c>
      <c r="E3510" s="1" t="s">
        <v>209</v>
      </c>
      <c r="F3510" s="1" t="s">
        <v>5017</v>
      </c>
      <c r="G3510" s="1" t="s">
        <v>5018</v>
      </c>
      <c r="H3510" s="1">
        <v>0.1</v>
      </c>
      <c r="I3510" s="1">
        <v>0.1</v>
      </c>
      <c r="J3510" s="1">
        <v>0.80534913475495706</v>
      </c>
      <c r="K3510" s="1" t="s">
        <v>181</v>
      </c>
    </row>
    <row r="3511" spans="1:11" x14ac:dyDescent="0.25">
      <c r="A3511" s="1" t="s">
        <v>11169</v>
      </c>
      <c r="B3511" s="1" t="s">
        <v>11170</v>
      </c>
      <c r="D3511" s="1" t="s">
        <v>11171</v>
      </c>
      <c r="E3511" s="1" t="s">
        <v>209</v>
      </c>
      <c r="F3511" s="1" t="s">
        <v>5017</v>
      </c>
      <c r="G3511" s="1" t="s">
        <v>5018</v>
      </c>
      <c r="H3511" s="1">
        <v>0.1</v>
      </c>
      <c r="I3511" s="1">
        <v>0.1</v>
      </c>
      <c r="J3511" s="1">
        <v>0.90319087207265347</v>
      </c>
      <c r="K3511" s="1" t="s">
        <v>181</v>
      </c>
    </row>
    <row r="3512" spans="1:11" x14ac:dyDescent="0.25">
      <c r="A3512" s="1" t="s">
        <v>96</v>
      </c>
      <c r="B3512" s="1" t="s">
        <v>11172</v>
      </c>
      <c r="D3512" s="1" t="s">
        <v>11173</v>
      </c>
      <c r="E3512" s="1" t="s">
        <v>209</v>
      </c>
      <c r="F3512" s="1" t="s">
        <v>5017</v>
      </c>
      <c r="G3512" s="1" t="s">
        <v>5018</v>
      </c>
      <c r="H3512" s="1">
        <v>0.1</v>
      </c>
      <c r="I3512" s="1">
        <v>0.1</v>
      </c>
      <c r="J3512" s="1">
        <v>0.56309920158137683</v>
      </c>
      <c r="K3512" s="1" t="s">
        <v>181</v>
      </c>
    </row>
    <row r="3513" spans="1:11" x14ac:dyDescent="0.25">
      <c r="A3513" s="1" t="s">
        <v>11174</v>
      </c>
      <c r="B3513" s="1" t="s">
        <v>11175</v>
      </c>
      <c r="D3513" s="1" t="s">
        <v>11176</v>
      </c>
      <c r="E3513" s="1" t="s">
        <v>209</v>
      </c>
      <c r="F3513" s="1" t="s">
        <v>5017</v>
      </c>
      <c r="G3513" s="1" t="s">
        <v>5018</v>
      </c>
      <c r="H3513" s="1">
        <v>0.1</v>
      </c>
      <c r="I3513" s="1">
        <v>0.1</v>
      </c>
      <c r="J3513" s="1">
        <v>0.58318018370982805</v>
      </c>
      <c r="K3513" s="1" t="s">
        <v>181</v>
      </c>
    </row>
    <row r="3514" spans="1:11" x14ac:dyDescent="0.25">
      <c r="A3514" s="1" t="s">
        <v>11177</v>
      </c>
      <c r="B3514" s="1" t="s">
        <v>11178</v>
      </c>
      <c r="D3514" s="1" t="s">
        <v>11179</v>
      </c>
      <c r="E3514" s="1" t="s">
        <v>209</v>
      </c>
      <c r="F3514" s="1" t="s">
        <v>5017</v>
      </c>
      <c r="G3514" s="1" t="s">
        <v>5018</v>
      </c>
      <c r="H3514" s="1">
        <v>0.1</v>
      </c>
      <c r="I3514" s="1">
        <v>0.1</v>
      </c>
      <c r="J3514" s="1">
        <v>0.88930315612710864</v>
      </c>
      <c r="K3514" s="1" t="s">
        <v>181</v>
      </c>
    </row>
    <row r="3515" spans="1:11" x14ac:dyDescent="0.25">
      <c r="A3515" s="1" t="s">
        <v>11180</v>
      </c>
      <c r="B3515" s="1" t="s">
        <v>11181</v>
      </c>
      <c r="D3515" s="1" t="s">
        <v>11182</v>
      </c>
      <c r="E3515" s="1" t="s">
        <v>209</v>
      </c>
      <c r="F3515" s="1" t="s">
        <v>5017</v>
      </c>
      <c r="G3515" s="1" t="s">
        <v>5018</v>
      </c>
      <c r="H3515" s="1">
        <v>0.1</v>
      </c>
      <c r="I3515" s="1">
        <v>0.1</v>
      </c>
      <c r="J3515" s="1">
        <v>0.89781580348263579</v>
      </c>
      <c r="K3515" s="1" t="s">
        <v>181</v>
      </c>
    </row>
    <row r="3516" spans="1:11" x14ac:dyDescent="0.25">
      <c r="A3516" s="1" t="s">
        <v>11183</v>
      </c>
      <c r="B3516" s="1" t="s">
        <v>11184</v>
      </c>
      <c r="D3516" s="1" t="s">
        <v>11185</v>
      </c>
      <c r="E3516" s="1" t="s">
        <v>209</v>
      </c>
      <c r="F3516" s="1" t="s">
        <v>5017</v>
      </c>
      <c r="G3516" s="1" t="s">
        <v>5018</v>
      </c>
      <c r="H3516" s="1">
        <v>0.1</v>
      </c>
      <c r="I3516" s="1">
        <v>0.1</v>
      </c>
      <c r="J3516" s="1">
        <v>0.87472233050864501</v>
      </c>
      <c r="K3516" s="1" t="s">
        <v>181</v>
      </c>
    </row>
    <row r="3517" spans="1:11" x14ac:dyDescent="0.25">
      <c r="A3517" s="1" t="s">
        <v>11186</v>
      </c>
      <c r="B3517" s="1" t="s">
        <v>11187</v>
      </c>
      <c r="D3517" s="1" t="s">
        <v>11188</v>
      </c>
      <c r="E3517" s="1" t="s">
        <v>209</v>
      </c>
      <c r="F3517" s="1" t="s">
        <v>5017</v>
      </c>
      <c r="G3517" s="1" t="s">
        <v>5018</v>
      </c>
      <c r="H3517" s="1">
        <v>0.1</v>
      </c>
      <c r="I3517" s="1">
        <v>0.1</v>
      </c>
      <c r="J3517" s="1">
        <v>0.86855877060847519</v>
      </c>
      <c r="K3517" s="1" t="s">
        <v>181</v>
      </c>
    </row>
    <row r="3518" spans="1:11" x14ac:dyDescent="0.25">
      <c r="A3518" s="1" t="s">
        <v>11189</v>
      </c>
      <c r="B3518" s="1" t="s">
        <v>11190</v>
      </c>
      <c r="D3518" s="1" t="s">
        <v>11191</v>
      </c>
      <c r="E3518" s="1" t="s">
        <v>209</v>
      </c>
      <c r="F3518" s="1" t="s">
        <v>5017</v>
      </c>
      <c r="G3518" s="1" t="s">
        <v>5018</v>
      </c>
      <c r="H3518" s="1">
        <v>0.1</v>
      </c>
      <c r="I3518" s="1">
        <v>0.1</v>
      </c>
      <c r="J3518" s="1">
        <v>0.65212195599559564</v>
      </c>
      <c r="K3518" s="1" t="s">
        <v>181</v>
      </c>
    </row>
    <row r="3519" spans="1:11" x14ac:dyDescent="0.25">
      <c r="A3519" s="1" t="s">
        <v>11192</v>
      </c>
      <c r="B3519" s="1" t="s">
        <v>11193</v>
      </c>
      <c r="D3519" s="1" t="s">
        <v>11194</v>
      </c>
      <c r="E3519" s="1" t="s">
        <v>209</v>
      </c>
      <c r="F3519" s="1" t="s">
        <v>5017</v>
      </c>
      <c r="G3519" s="1" t="s">
        <v>5018</v>
      </c>
      <c r="H3519" s="1">
        <v>0.1</v>
      </c>
      <c r="I3519" s="1">
        <v>0.1</v>
      </c>
      <c r="J3519" s="1">
        <v>0.64228334212387039</v>
      </c>
      <c r="K3519" s="1" t="s">
        <v>181</v>
      </c>
    </row>
    <row r="3520" spans="1:11" x14ac:dyDescent="0.25">
      <c r="A3520" s="1" t="s">
        <v>11195</v>
      </c>
      <c r="B3520" s="1" t="s">
        <v>11196</v>
      </c>
      <c r="D3520" s="1" t="s">
        <v>11197</v>
      </c>
      <c r="E3520" s="1" t="s">
        <v>209</v>
      </c>
      <c r="F3520" s="1" t="s">
        <v>5017</v>
      </c>
      <c r="G3520" s="1" t="s">
        <v>5018</v>
      </c>
      <c r="H3520" s="1">
        <v>0.1</v>
      </c>
      <c r="I3520" s="1">
        <v>0.1</v>
      </c>
      <c r="J3520" s="1">
        <v>0.53306687213011705</v>
      </c>
      <c r="K3520" s="1" t="s">
        <v>181</v>
      </c>
    </row>
    <row r="3521" spans="1:11" x14ac:dyDescent="0.25">
      <c r="A3521" s="1" t="s">
        <v>11198</v>
      </c>
      <c r="B3521" s="1" t="s">
        <v>11199</v>
      </c>
      <c r="D3521" s="1" t="s">
        <v>11200</v>
      </c>
      <c r="E3521" s="1" t="s">
        <v>209</v>
      </c>
      <c r="F3521" s="1" t="s">
        <v>5017</v>
      </c>
      <c r="G3521" s="1" t="s">
        <v>5018</v>
      </c>
      <c r="H3521" s="1">
        <v>0.1</v>
      </c>
      <c r="I3521" s="1">
        <v>0.1</v>
      </c>
      <c r="J3521" s="1">
        <v>0.82452487100475735</v>
      </c>
      <c r="K3521" s="1" t="s">
        <v>181</v>
      </c>
    </row>
    <row r="3522" spans="1:11" x14ac:dyDescent="0.25">
      <c r="A3522" s="1" t="s">
        <v>159</v>
      </c>
      <c r="B3522" s="1" t="s">
        <v>11201</v>
      </c>
      <c r="D3522" s="1" t="s">
        <v>11202</v>
      </c>
      <c r="E3522" s="1" t="s">
        <v>209</v>
      </c>
      <c r="F3522" s="1" t="s">
        <v>5017</v>
      </c>
      <c r="G3522" s="1" t="s">
        <v>5018</v>
      </c>
      <c r="H3522" s="1">
        <v>0.1</v>
      </c>
      <c r="I3522" s="1">
        <v>0.1</v>
      </c>
      <c r="J3522" s="1">
        <v>0.56919144409483469</v>
      </c>
      <c r="K3522" s="1" t="s">
        <v>181</v>
      </c>
    </row>
    <row r="3523" spans="1:11" x14ac:dyDescent="0.25">
      <c r="A3523" s="1" t="s">
        <v>11203</v>
      </c>
      <c r="B3523" s="1" t="s">
        <v>11204</v>
      </c>
      <c r="D3523" s="1" t="s">
        <v>11205</v>
      </c>
      <c r="E3523" s="1" t="s">
        <v>209</v>
      </c>
      <c r="F3523" s="1" t="s">
        <v>5017</v>
      </c>
      <c r="G3523" s="1" t="s">
        <v>5018</v>
      </c>
      <c r="H3523" s="1">
        <v>0.1</v>
      </c>
      <c r="I3523" s="1">
        <v>0.1</v>
      </c>
      <c r="J3523" s="1">
        <v>0.45539845962958858</v>
      </c>
      <c r="K3523" s="1" t="s">
        <v>181</v>
      </c>
    </row>
    <row r="3524" spans="1:11" x14ac:dyDescent="0.25">
      <c r="A3524" s="1" t="s">
        <v>11206</v>
      </c>
      <c r="B3524" s="1" t="s">
        <v>11207</v>
      </c>
      <c r="D3524" s="1" t="s">
        <v>11208</v>
      </c>
      <c r="E3524" s="1" t="s">
        <v>209</v>
      </c>
      <c r="F3524" s="1" t="s">
        <v>5017</v>
      </c>
      <c r="G3524" s="1" t="s">
        <v>5018</v>
      </c>
      <c r="H3524" s="1">
        <v>0.1</v>
      </c>
      <c r="I3524" s="1">
        <v>0.1</v>
      </c>
      <c r="J3524" s="1">
        <v>0.64038933056212288</v>
      </c>
      <c r="K3524" s="1" t="s">
        <v>181</v>
      </c>
    </row>
    <row r="3525" spans="1:11" x14ac:dyDescent="0.25">
      <c r="A3525" s="1" t="s">
        <v>11209</v>
      </c>
      <c r="B3525" s="1" t="s">
        <v>11210</v>
      </c>
      <c r="D3525" s="1" t="s">
        <v>11211</v>
      </c>
      <c r="E3525" s="1" t="s">
        <v>209</v>
      </c>
      <c r="F3525" s="1" t="s">
        <v>5017</v>
      </c>
      <c r="G3525" s="1" t="s">
        <v>5018</v>
      </c>
      <c r="H3525" s="1">
        <v>0.1</v>
      </c>
      <c r="I3525" s="1">
        <v>0.1</v>
      </c>
      <c r="J3525" s="1">
        <v>0.65968749681924199</v>
      </c>
      <c r="K3525" s="1" t="s">
        <v>181</v>
      </c>
    </row>
    <row r="3526" spans="1:11" x14ac:dyDescent="0.25">
      <c r="A3526" s="1" t="s">
        <v>11212</v>
      </c>
      <c r="B3526" s="1" t="s">
        <v>11213</v>
      </c>
      <c r="D3526" s="1" t="s">
        <v>11214</v>
      </c>
      <c r="E3526" s="1" t="s">
        <v>209</v>
      </c>
      <c r="F3526" s="1" t="s">
        <v>5017</v>
      </c>
      <c r="G3526" s="1" t="s">
        <v>5018</v>
      </c>
      <c r="H3526" s="1">
        <v>0.1</v>
      </c>
      <c r="I3526" s="1">
        <v>0.1</v>
      </c>
      <c r="J3526" s="1">
        <v>0.4213580071124618</v>
      </c>
      <c r="K3526" s="1" t="s">
        <v>181</v>
      </c>
    </row>
    <row r="3527" spans="1:11" x14ac:dyDescent="0.25">
      <c r="A3527" s="1" t="s">
        <v>11215</v>
      </c>
      <c r="B3527" s="1" t="s">
        <v>11216</v>
      </c>
      <c r="D3527" s="1" t="s">
        <v>11217</v>
      </c>
      <c r="E3527" s="1" t="s">
        <v>209</v>
      </c>
      <c r="F3527" s="1" t="s">
        <v>5017</v>
      </c>
      <c r="G3527" s="1" t="s">
        <v>5018</v>
      </c>
      <c r="H3527" s="1">
        <v>0.1</v>
      </c>
      <c r="I3527" s="1">
        <v>0.1</v>
      </c>
      <c r="J3527" s="1">
        <v>0.76806117826500542</v>
      </c>
      <c r="K3527" s="1" t="s">
        <v>181</v>
      </c>
    </row>
    <row r="3528" spans="1:11" x14ac:dyDescent="0.25">
      <c r="A3528" s="1" t="s">
        <v>11218</v>
      </c>
      <c r="B3528" s="1" t="s">
        <v>11219</v>
      </c>
      <c r="D3528" s="1" t="s">
        <v>11220</v>
      </c>
      <c r="E3528" s="1" t="s">
        <v>209</v>
      </c>
      <c r="F3528" s="1" t="s">
        <v>5017</v>
      </c>
      <c r="G3528" s="1" t="s">
        <v>5018</v>
      </c>
      <c r="H3528" s="1">
        <v>0.1</v>
      </c>
      <c r="I3528" s="1">
        <v>0.1</v>
      </c>
      <c r="J3528" s="1">
        <v>0.77479875607919246</v>
      </c>
      <c r="K3528" s="1" t="s">
        <v>181</v>
      </c>
    </row>
    <row r="3529" spans="1:11" x14ac:dyDescent="0.25">
      <c r="A3529" s="1" t="s">
        <v>11221</v>
      </c>
      <c r="B3529" s="1" t="s">
        <v>11222</v>
      </c>
      <c r="D3529" s="1" t="s">
        <v>11223</v>
      </c>
      <c r="E3529" s="1" t="s">
        <v>209</v>
      </c>
      <c r="F3529" s="1" t="s">
        <v>5017</v>
      </c>
      <c r="G3529" s="1" t="s">
        <v>5018</v>
      </c>
      <c r="H3529" s="1">
        <v>0.1</v>
      </c>
      <c r="I3529" s="1">
        <v>0.1</v>
      </c>
      <c r="J3529" s="1">
        <v>0.49613092925639496</v>
      </c>
      <c r="K3529" s="1" t="s">
        <v>181</v>
      </c>
    </row>
    <row r="3530" spans="1:11" x14ac:dyDescent="0.25">
      <c r="A3530" s="1" t="s">
        <v>11224</v>
      </c>
      <c r="B3530" s="1" t="s">
        <v>11225</v>
      </c>
      <c r="D3530" s="1" t="s">
        <v>11226</v>
      </c>
      <c r="E3530" s="1" t="s">
        <v>209</v>
      </c>
      <c r="F3530" s="1" t="s">
        <v>5017</v>
      </c>
      <c r="G3530" s="1" t="s">
        <v>5018</v>
      </c>
      <c r="H3530" s="1">
        <v>0.1</v>
      </c>
      <c r="I3530" s="1">
        <v>0.1</v>
      </c>
      <c r="J3530" s="1">
        <v>0.72935971990039883</v>
      </c>
      <c r="K3530" s="1" t="s">
        <v>181</v>
      </c>
    </row>
    <row r="3531" spans="1:11" x14ac:dyDescent="0.25">
      <c r="A3531" s="1" t="s">
        <v>11227</v>
      </c>
      <c r="B3531" s="1" t="s">
        <v>11228</v>
      </c>
      <c r="D3531" s="1" t="s">
        <v>11229</v>
      </c>
      <c r="E3531" s="1" t="s">
        <v>209</v>
      </c>
      <c r="F3531" s="1" t="s">
        <v>5017</v>
      </c>
      <c r="G3531" s="1" t="s">
        <v>5018</v>
      </c>
      <c r="H3531" s="1">
        <v>0.1</v>
      </c>
      <c r="I3531" s="1">
        <v>0.1</v>
      </c>
      <c r="J3531" s="1">
        <v>0.70498013703307838</v>
      </c>
      <c r="K3531" s="1" t="s">
        <v>181</v>
      </c>
    </row>
    <row r="3532" spans="1:11" x14ac:dyDescent="0.25">
      <c r="A3532" s="1" t="s">
        <v>11230</v>
      </c>
      <c r="B3532" s="1" t="s">
        <v>11231</v>
      </c>
      <c r="D3532" s="1" t="s">
        <v>11232</v>
      </c>
      <c r="E3532" s="1" t="s">
        <v>209</v>
      </c>
      <c r="F3532" s="1" t="s">
        <v>5017</v>
      </c>
      <c r="G3532" s="1" t="s">
        <v>5018</v>
      </c>
      <c r="H3532" s="1">
        <v>0.1</v>
      </c>
      <c r="I3532" s="1">
        <v>0.1</v>
      </c>
      <c r="J3532" s="1">
        <v>0.41235847162478639</v>
      </c>
      <c r="K3532" s="1" t="s">
        <v>181</v>
      </c>
    </row>
    <row r="3533" spans="1:11" x14ac:dyDescent="0.25">
      <c r="A3533" s="1" t="s">
        <v>11233</v>
      </c>
      <c r="B3533" s="1" t="s">
        <v>11234</v>
      </c>
      <c r="D3533" s="1" t="s">
        <v>11235</v>
      </c>
      <c r="E3533" s="1" t="s">
        <v>209</v>
      </c>
      <c r="F3533" s="1" t="s">
        <v>5017</v>
      </c>
      <c r="G3533" s="1" t="s">
        <v>5018</v>
      </c>
      <c r="H3533" s="1">
        <v>0.1</v>
      </c>
      <c r="I3533" s="1">
        <v>0.1</v>
      </c>
      <c r="J3533" s="1">
        <v>0.63740171586749039</v>
      </c>
      <c r="K3533" s="1" t="s">
        <v>181</v>
      </c>
    </row>
    <row r="3534" spans="1:11" x14ac:dyDescent="0.25">
      <c r="A3534" s="1" t="s">
        <v>11236</v>
      </c>
      <c r="B3534" s="1" t="s">
        <v>11237</v>
      </c>
      <c r="D3534" s="1" t="s">
        <v>11238</v>
      </c>
      <c r="E3534" s="1" t="s">
        <v>209</v>
      </c>
      <c r="F3534" s="1" t="s">
        <v>5017</v>
      </c>
      <c r="G3534" s="1" t="s">
        <v>5018</v>
      </c>
      <c r="H3534" s="1">
        <v>0.1</v>
      </c>
      <c r="I3534" s="1">
        <v>0.1</v>
      </c>
      <c r="J3534" s="1">
        <v>0.69911620650663808</v>
      </c>
      <c r="K3534" s="1" t="s">
        <v>181</v>
      </c>
    </row>
    <row r="3535" spans="1:11" x14ac:dyDescent="0.25">
      <c r="A3535" s="1" t="s">
        <v>11239</v>
      </c>
      <c r="B3535" s="1" t="s">
        <v>11240</v>
      </c>
      <c r="D3535" s="1" t="s">
        <v>11241</v>
      </c>
      <c r="E3535" s="1" t="s">
        <v>209</v>
      </c>
      <c r="F3535" s="1" t="s">
        <v>5017</v>
      </c>
      <c r="G3535" s="1" t="s">
        <v>5018</v>
      </c>
      <c r="H3535" s="1">
        <v>0.1</v>
      </c>
      <c r="I3535" s="1">
        <v>0.1</v>
      </c>
      <c r="J3535" s="1">
        <v>0.82722079415028071</v>
      </c>
      <c r="K3535" s="1" t="s">
        <v>181</v>
      </c>
    </row>
    <row r="3536" spans="1:11" x14ac:dyDescent="0.25">
      <c r="A3536" s="1" t="s">
        <v>11242</v>
      </c>
      <c r="B3536" s="1" t="s">
        <v>11243</v>
      </c>
      <c r="D3536" s="1" t="s">
        <v>11244</v>
      </c>
      <c r="E3536" s="1" t="s">
        <v>209</v>
      </c>
      <c r="F3536" s="1" t="s">
        <v>5017</v>
      </c>
      <c r="G3536" s="1" t="s">
        <v>5018</v>
      </c>
      <c r="H3536" s="1">
        <v>0.1</v>
      </c>
      <c r="I3536" s="1">
        <v>0.1</v>
      </c>
      <c r="J3536" s="1">
        <v>0.70065258931976893</v>
      </c>
      <c r="K3536" s="1" t="s">
        <v>181</v>
      </c>
    </row>
    <row r="3537" spans="1:11" x14ac:dyDescent="0.25">
      <c r="A3537" s="1" t="s">
        <v>11245</v>
      </c>
      <c r="B3537" s="1" t="s">
        <v>11246</v>
      </c>
      <c r="D3537" s="1" t="s">
        <v>11247</v>
      </c>
      <c r="E3537" s="1" t="s">
        <v>209</v>
      </c>
      <c r="F3537" s="1" t="s">
        <v>5017</v>
      </c>
      <c r="G3537" s="1" t="s">
        <v>5018</v>
      </c>
      <c r="H3537" s="1">
        <v>0.1</v>
      </c>
      <c r="I3537" s="1">
        <v>0.1</v>
      </c>
      <c r="J3537" s="1">
        <v>0.73667960620258</v>
      </c>
      <c r="K3537" s="1" t="s">
        <v>181</v>
      </c>
    </row>
    <row r="3538" spans="1:11" x14ac:dyDescent="0.25">
      <c r="A3538" s="1" t="s">
        <v>11248</v>
      </c>
      <c r="B3538" s="1" t="s">
        <v>11249</v>
      </c>
      <c r="D3538" s="1" t="s">
        <v>11250</v>
      </c>
      <c r="E3538" s="1" t="s">
        <v>209</v>
      </c>
      <c r="F3538" s="1" t="s">
        <v>5017</v>
      </c>
      <c r="G3538" s="1" t="s">
        <v>5018</v>
      </c>
      <c r="H3538" s="1">
        <v>0.1</v>
      </c>
      <c r="I3538" s="1">
        <v>0.1</v>
      </c>
      <c r="J3538" s="1">
        <v>0.72012902083345887</v>
      </c>
      <c r="K3538" s="1" t="s">
        <v>181</v>
      </c>
    </row>
    <row r="3539" spans="1:11" x14ac:dyDescent="0.25">
      <c r="A3539" s="1" t="s">
        <v>11251</v>
      </c>
      <c r="B3539" s="1" t="s">
        <v>11252</v>
      </c>
      <c r="D3539" s="1" t="s">
        <v>11253</v>
      </c>
      <c r="E3539" s="1" t="s">
        <v>209</v>
      </c>
      <c r="F3539" s="1" t="s">
        <v>5017</v>
      </c>
      <c r="G3539" s="1" t="s">
        <v>5018</v>
      </c>
      <c r="H3539" s="1">
        <v>0.1</v>
      </c>
      <c r="I3539" s="1">
        <v>0.1</v>
      </c>
      <c r="J3539" s="1">
        <v>0.62293792728872122</v>
      </c>
      <c r="K3539" s="1" t="s">
        <v>181</v>
      </c>
    </row>
    <row r="3540" spans="1:11" x14ac:dyDescent="0.25">
      <c r="A3540" s="1" t="s">
        <v>11254</v>
      </c>
      <c r="B3540" s="1" t="s">
        <v>11255</v>
      </c>
      <c r="D3540" s="1" t="s">
        <v>11256</v>
      </c>
      <c r="E3540" s="1" t="s">
        <v>209</v>
      </c>
      <c r="F3540" s="1" t="s">
        <v>5017</v>
      </c>
      <c r="G3540" s="1" t="s">
        <v>5018</v>
      </c>
      <c r="H3540" s="1">
        <v>0.1</v>
      </c>
      <c r="I3540" s="1">
        <v>0.1</v>
      </c>
      <c r="J3540" s="1">
        <v>0.61557528355992097</v>
      </c>
      <c r="K3540" s="1" t="s">
        <v>181</v>
      </c>
    </row>
    <row r="3541" spans="1:11" x14ac:dyDescent="0.25">
      <c r="A3541" s="1" t="s">
        <v>11257</v>
      </c>
      <c r="B3541" s="1" t="s">
        <v>11258</v>
      </c>
      <c r="D3541" s="1" t="s">
        <v>11259</v>
      </c>
      <c r="E3541" s="1" t="s">
        <v>209</v>
      </c>
      <c r="F3541" s="1" t="s">
        <v>5017</v>
      </c>
      <c r="G3541" s="1" t="s">
        <v>5018</v>
      </c>
      <c r="H3541" s="1">
        <v>0.1</v>
      </c>
      <c r="I3541" s="1">
        <v>0.1</v>
      </c>
      <c r="J3541" s="1">
        <v>0.68638896292682716</v>
      </c>
      <c r="K3541" s="1" t="s">
        <v>181</v>
      </c>
    </row>
    <row r="3542" spans="1:11" x14ac:dyDescent="0.25">
      <c r="A3542" s="1" t="s">
        <v>11260</v>
      </c>
      <c r="B3542" s="1" t="s">
        <v>11261</v>
      </c>
      <c r="D3542" s="1" t="s">
        <v>11262</v>
      </c>
      <c r="E3542" s="1" t="s">
        <v>209</v>
      </c>
      <c r="F3542" s="1" t="s">
        <v>5017</v>
      </c>
      <c r="G3542" s="1" t="s">
        <v>5018</v>
      </c>
      <c r="H3542" s="1">
        <v>0.1</v>
      </c>
      <c r="I3542" s="1">
        <v>0.1</v>
      </c>
      <c r="J3542" s="1">
        <v>0.68284484169407522</v>
      </c>
      <c r="K3542" s="1" t="s">
        <v>181</v>
      </c>
    </row>
    <row r="3543" spans="1:11" x14ac:dyDescent="0.25">
      <c r="A3543" s="1" t="s">
        <v>11263</v>
      </c>
      <c r="B3543" s="1" t="s">
        <v>11264</v>
      </c>
      <c r="D3543" s="1" t="s">
        <v>11265</v>
      </c>
      <c r="E3543" s="1" t="s">
        <v>209</v>
      </c>
      <c r="F3543" s="1" t="s">
        <v>5017</v>
      </c>
      <c r="G3543" s="1" t="s">
        <v>5018</v>
      </c>
      <c r="H3543" s="1">
        <v>0.1</v>
      </c>
      <c r="I3543" s="1">
        <v>0.1</v>
      </c>
      <c r="J3543" s="1">
        <v>0.76061177017654058</v>
      </c>
      <c r="K3543" s="1" t="s">
        <v>181</v>
      </c>
    </row>
    <row r="3544" spans="1:11" x14ac:dyDescent="0.25">
      <c r="A3544" s="1" t="s">
        <v>11266</v>
      </c>
      <c r="B3544" s="1" t="s">
        <v>11267</v>
      </c>
      <c r="D3544" s="1" t="s">
        <v>11268</v>
      </c>
      <c r="E3544" s="1" t="s">
        <v>209</v>
      </c>
      <c r="F3544" s="1" t="s">
        <v>5017</v>
      </c>
      <c r="G3544" s="1" t="s">
        <v>5018</v>
      </c>
      <c r="H3544" s="1">
        <v>0.1</v>
      </c>
      <c r="I3544" s="1">
        <v>0.1</v>
      </c>
      <c r="J3544" s="1">
        <v>0.79882116279940429</v>
      </c>
      <c r="K3544" s="1" t="s">
        <v>181</v>
      </c>
    </row>
    <row r="3545" spans="1:11" x14ac:dyDescent="0.25">
      <c r="A3545" s="1" t="s">
        <v>11269</v>
      </c>
      <c r="B3545" s="1" t="s">
        <v>11270</v>
      </c>
      <c r="D3545" s="1" t="s">
        <v>11271</v>
      </c>
      <c r="E3545" s="1" t="s">
        <v>209</v>
      </c>
      <c r="F3545" s="1" t="s">
        <v>5017</v>
      </c>
      <c r="G3545" s="1" t="s">
        <v>5018</v>
      </c>
      <c r="H3545" s="1">
        <v>0.1</v>
      </c>
      <c r="I3545" s="1">
        <v>0.1</v>
      </c>
      <c r="J3545" s="1">
        <v>0.79603868599705607</v>
      </c>
      <c r="K3545" s="1" t="s">
        <v>181</v>
      </c>
    </row>
    <row r="3546" spans="1:11" x14ac:dyDescent="0.25">
      <c r="A3546" s="1" t="s">
        <v>11272</v>
      </c>
      <c r="B3546" s="1" t="s">
        <v>11273</v>
      </c>
      <c r="D3546" s="1" t="s">
        <v>11274</v>
      </c>
      <c r="E3546" s="1" t="s">
        <v>209</v>
      </c>
      <c r="F3546" s="1" t="s">
        <v>5017</v>
      </c>
      <c r="G3546" s="1" t="s">
        <v>5018</v>
      </c>
      <c r="H3546" s="1">
        <v>0.1</v>
      </c>
      <c r="I3546" s="1">
        <v>0.1</v>
      </c>
      <c r="J3546" s="1">
        <v>0.94884813282518043</v>
      </c>
      <c r="K3546" s="1" t="s">
        <v>181</v>
      </c>
    </row>
    <row r="3547" spans="1:11" x14ac:dyDescent="0.25">
      <c r="A3547" s="1" t="s">
        <v>11275</v>
      </c>
      <c r="B3547" s="1" t="s">
        <v>11276</v>
      </c>
      <c r="D3547" s="1" t="s">
        <v>11277</v>
      </c>
      <c r="E3547" s="1" t="s">
        <v>209</v>
      </c>
      <c r="F3547" s="1" t="s">
        <v>5017</v>
      </c>
      <c r="G3547" s="1" t="s">
        <v>5018</v>
      </c>
      <c r="H3547" s="1">
        <v>0.1</v>
      </c>
      <c r="I3547" s="1">
        <v>0.1</v>
      </c>
      <c r="J3547" s="1">
        <v>0.63209368293897583</v>
      </c>
      <c r="K3547" s="1" t="s">
        <v>181</v>
      </c>
    </row>
    <row r="3548" spans="1:11" x14ac:dyDescent="0.25">
      <c r="A3548" s="1" t="s">
        <v>11278</v>
      </c>
      <c r="B3548" s="1" t="s">
        <v>11279</v>
      </c>
      <c r="D3548" s="1" t="s">
        <v>11280</v>
      </c>
      <c r="E3548" s="1" t="s">
        <v>209</v>
      </c>
      <c r="F3548" s="1" t="s">
        <v>5017</v>
      </c>
      <c r="G3548" s="1" t="s">
        <v>5018</v>
      </c>
      <c r="H3548" s="1">
        <v>0.1</v>
      </c>
      <c r="I3548" s="1">
        <v>0.1</v>
      </c>
      <c r="J3548" s="1">
        <v>0.58755288148621299</v>
      </c>
      <c r="K3548" s="1" t="s">
        <v>181</v>
      </c>
    </row>
    <row r="3549" spans="1:11" x14ac:dyDescent="0.25">
      <c r="A3549" s="1" t="s">
        <v>11281</v>
      </c>
      <c r="B3549" s="1" t="s">
        <v>11282</v>
      </c>
      <c r="D3549" s="1" t="s">
        <v>11283</v>
      </c>
      <c r="E3549" s="1" t="s">
        <v>209</v>
      </c>
      <c r="F3549" s="1" t="s">
        <v>5017</v>
      </c>
      <c r="G3549" s="1" t="s">
        <v>5018</v>
      </c>
      <c r="H3549" s="1">
        <v>0.1</v>
      </c>
      <c r="I3549" s="1">
        <v>0.1</v>
      </c>
      <c r="J3549" s="1">
        <v>0.64661478135547534</v>
      </c>
      <c r="K3549" s="1" t="s">
        <v>181</v>
      </c>
    </row>
    <row r="3550" spans="1:11" x14ac:dyDescent="0.25">
      <c r="A3550" s="1" t="s">
        <v>11284</v>
      </c>
      <c r="B3550" s="1" t="s">
        <v>11285</v>
      </c>
      <c r="D3550" s="1" t="s">
        <v>11286</v>
      </c>
      <c r="E3550" s="1" t="s">
        <v>209</v>
      </c>
      <c r="F3550" s="1" t="s">
        <v>5017</v>
      </c>
      <c r="G3550" s="1" t="s">
        <v>5018</v>
      </c>
      <c r="H3550" s="1">
        <v>0.1</v>
      </c>
      <c r="I3550" s="1">
        <v>0.1</v>
      </c>
      <c r="J3550" s="1">
        <v>0.43711078021488359</v>
      </c>
      <c r="K3550" s="1" t="s">
        <v>181</v>
      </c>
    </row>
    <row r="3551" spans="1:11" x14ac:dyDescent="0.25">
      <c r="A3551" s="1" t="s">
        <v>11287</v>
      </c>
      <c r="B3551" s="1" t="s">
        <v>11288</v>
      </c>
      <c r="D3551" s="1" t="s">
        <v>11289</v>
      </c>
      <c r="E3551" s="1" t="s">
        <v>209</v>
      </c>
      <c r="F3551" s="1" t="s">
        <v>5017</v>
      </c>
      <c r="G3551" s="1" t="s">
        <v>5018</v>
      </c>
      <c r="H3551" s="1">
        <v>0.1</v>
      </c>
      <c r="I3551" s="1">
        <v>0.1</v>
      </c>
      <c r="J3551" s="1">
        <v>0.69190930028116249</v>
      </c>
      <c r="K3551" s="1" t="s">
        <v>181</v>
      </c>
    </row>
    <row r="3552" spans="1:11" x14ac:dyDescent="0.25">
      <c r="A3552" s="1" t="s">
        <v>11290</v>
      </c>
      <c r="B3552" s="1" t="s">
        <v>11291</v>
      </c>
      <c r="D3552" s="1" t="s">
        <v>11292</v>
      </c>
      <c r="E3552" s="1" t="s">
        <v>209</v>
      </c>
      <c r="F3552" s="1" t="s">
        <v>5017</v>
      </c>
      <c r="G3552" s="1" t="s">
        <v>5018</v>
      </c>
      <c r="H3552" s="1">
        <v>0.1</v>
      </c>
      <c r="I3552" s="1">
        <v>0.1</v>
      </c>
      <c r="J3552" s="1">
        <v>0.69801339965248888</v>
      </c>
      <c r="K3552" s="1" t="s">
        <v>181</v>
      </c>
    </row>
    <row r="3553" spans="1:11" x14ac:dyDescent="0.25">
      <c r="A3553" s="1" t="s">
        <v>11293</v>
      </c>
      <c r="B3553" s="1" t="s">
        <v>11294</v>
      </c>
      <c r="D3553" s="1" t="s">
        <v>11295</v>
      </c>
      <c r="E3553" s="1" t="s">
        <v>209</v>
      </c>
      <c r="F3553" s="1" t="s">
        <v>5017</v>
      </c>
      <c r="G3553" s="1" t="s">
        <v>5018</v>
      </c>
      <c r="H3553" s="1">
        <v>0.1</v>
      </c>
      <c r="I3553" s="1">
        <v>0.1</v>
      </c>
      <c r="J3553" s="1">
        <v>0.90427065231195036</v>
      </c>
      <c r="K3553" s="1" t="s">
        <v>181</v>
      </c>
    </row>
    <row r="3554" spans="1:11" x14ac:dyDescent="0.25">
      <c r="A3554" s="1" t="s">
        <v>11296</v>
      </c>
      <c r="B3554" s="1" t="s">
        <v>11297</v>
      </c>
      <c r="D3554" s="1" t="s">
        <v>11298</v>
      </c>
      <c r="E3554" s="1" t="s">
        <v>209</v>
      </c>
      <c r="F3554" s="1" t="s">
        <v>5017</v>
      </c>
      <c r="G3554" s="1" t="s">
        <v>5018</v>
      </c>
      <c r="H3554" s="1">
        <v>0.1</v>
      </c>
      <c r="I3554" s="1">
        <v>0.1</v>
      </c>
      <c r="J3554" s="1">
        <v>0.75147902830384383</v>
      </c>
      <c r="K3554" s="1" t="s">
        <v>181</v>
      </c>
    </row>
    <row r="3555" spans="1:11" x14ac:dyDescent="0.25">
      <c r="A3555" s="1" t="s">
        <v>11299</v>
      </c>
      <c r="B3555" s="1" t="s">
        <v>11300</v>
      </c>
      <c r="D3555" s="1" t="s">
        <v>11301</v>
      </c>
      <c r="E3555" s="1" t="s">
        <v>209</v>
      </c>
      <c r="F3555" s="1" t="s">
        <v>5017</v>
      </c>
      <c r="G3555" s="1" t="s">
        <v>5018</v>
      </c>
      <c r="H3555" s="1">
        <v>0.1</v>
      </c>
      <c r="I3555" s="1">
        <v>0.1</v>
      </c>
      <c r="J3555" s="1">
        <v>0.74311804068035014</v>
      </c>
      <c r="K3555" s="1" t="s">
        <v>181</v>
      </c>
    </row>
    <row r="3556" spans="1:11" x14ac:dyDescent="0.25">
      <c r="A3556" s="1" t="s">
        <v>11302</v>
      </c>
      <c r="B3556" s="1" t="s">
        <v>11303</v>
      </c>
      <c r="D3556" s="1" t="s">
        <v>11304</v>
      </c>
      <c r="E3556" s="1" t="s">
        <v>209</v>
      </c>
      <c r="F3556" s="1" t="s">
        <v>5017</v>
      </c>
      <c r="G3556" s="1" t="s">
        <v>5018</v>
      </c>
      <c r="H3556" s="1">
        <v>0.1</v>
      </c>
      <c r="I3556" s="1">
        <v>0.1</v>
      </c>
      <c r="J3556" s="1">
        <v>0.74646648350658429</v>
      </c>
      <c r="K3556" s="1" t="s">
        <v>181</v>
      </c>
    </row>
    <row r="3557" spans="1:11" x14ac:dyDescent="0.25">
      <c r="A3557" s="1" t="s">
        <v>11305</v>
      </c>
      <c r="B3557" s="1" t="s">
        <v>11306</v>
      </c>
      <c r="D3557" s="1" t="s">
        <v>11307</v>
      </c>
      <c r="E3557" s="1" t="s">
        <v>209</v>
      </c>
      <c r="F3557" s="1" t="s">
        <v>5017</v>
      </c>
      <c r="G3557" s="1" t="s">
        <v>5018</v>
      </c>
      <c r="H3557" s="1">
        <v>0.1</v>
      </c>
      <c r="I3557" s="1">
        <v>0.1</v>
      </c>
      <c r="J3557" s="1">
        <v>0.88309289273176628</v>
      </c>
      <c r="K3557" s="1" t="s">
        <v>181</v>
      </c>
    </row>
    <row r="3558" spans="1:11" x14ac:dyDescent="0.25">
      <c r="A3558" s="1" t="s">
        <v>11308</v>
      </c>
      <c r="B3558" s="1" t="s">
        <v>11309</v>
      </c>
      <c r="D3558" s="1" t="s">
        <v>11310</v>
      </c>
      <c r="E3558" s="1" t="s">
        <v>209</v>
      </c>
      <c r="F3558" s="1" t="s">
        <v>5017</v>
      </c>
      <c r="G3558" s="1" t="s">
        <v>5018</v>
      </c>
      <c r="H3558" s="1">
        <v>0.1</v>
      </c>
      <c r="I3558" s="1">
        <v>0.1</v>
      </c>
      <c r="J3558" s="1">
        <v>0.82688493952251585</v>
      </c>
      <c r="K3558" s="1" t="s">
        <v>181</v>
      </c>
    </row>
    <row r="3559" spans="1:11" x14ac:dyDescent="0.25">
      <c r="A3559" s="1" t="s">
        <v>68</v>
      </c>
      <c r="B3559" s="1" t="s">
        <v>11311</v>
      </c>
      <c r="D3559" s="1" t="s">
        <v>11312</v>
      </c>
      <c r="E3559" s="1" t="s">
        <v>209</v>
      </c>
      <c r="F3559" s="1" t="s">
        <v>5017</v>
      </c>
      <c r="G3559" s="1" t="s">
        <v>5018</v>
      </c>
      <c r="H3559" s="1">
        <v>0.1</v>
      </c>
      <c r="I3559" s="1">
        <v>0.1</v>
      </c>
      <c r="J3559" s="1">
        <v>0.57143786172617261</v>
      </c>
      <c r="K3559" s="1" t="s">
        <v>181</v>
      </c>
    </row>
    <row r="3560" spans="1:11" x14ac:dyDescent="0.25">
      <c r="A3560" s="1" t="s">
        <v>11313</v>
      </c>
      <c r="B3560" s="1" t="s">
        <v>11314</v>
      </c>
      <c r="D3560" s="1" t="s">
        <v>11315</v>
      </c>
      <c r="E3560" s="1" t="s">
        <v>209</v>
      </c>
      <c r="F3560" s="1" t="s">
        <v>5017</v>
      </c>
      <c r="G3560" s="1" t="s">
        <v>5018</v>
      </c>
      <c r="H3560" s="1">
        <v>0.1</v>
      </c>
      <c r="I3560" s="1">
        <v>0.1</v>
      </c>
      <c r="J3560" s="1">
        <v>0.52263717124328635</v>
      </c>
      <c r="K3560" s="1" t="s">
        <v>181</v>
      </c>
    </row>
    <row r="3561" spans="1:11" x14ac:dyDescent="0.25">
      <c r="A3561" s="1" t="s">
        <v>11316</v>
      </c>
      <c r="B3561" s="1" t="s">
        <v>11317</v>
      </c>
      <c r="D3561" s="1" t="s">
        <v>11318</v>
      </c>
      <c r="E3561" s="1" t="s">
        <v>209</v>
      </c>
      <c r="F3561" s="1" t="s">
        <v>5017</v>
      </c>
      <c r="G3561" s="1" t="s">
        <v>5018</v>
      </c>
      <c r="H3561" s="1">
        <v>0.1</v>
      </c>
      <c r="I3561" s="1">
        <v>0.1</v>
      </c>
      <c r="J3561" s="1">
        <v>0.67174691472775039</v>
      </c>
      <c r="K3561" s="1" t="s">
        <v>181</v>
      </c>
    </row>
    <row r="3562" spans="1:11" x14ac:dyDescent="0.25">
      <c r="A3562" s="1" t="s">
        <v>11319</v>
      </c>
      <c r="B3562" s="1" t="s">
        <v>11320</v>
      </c>
      <c r="D3562" s="1" t="s">
        <v>11321</v>
      </c>
      <c r="E3562" s="1" t="s">
        <v>209</v>
      </c>
      <c r="F3562" s="1" t="s">
        <v>5017</v>
      </c>
      <c r="G3562" s="1" t="s">
        <v>5018</v>
      </c>
      <c r="H3562" s="1">
        <v>0.1</v>
      </c>
      <c r="I3562" s="1">
        <v>0.1</v>
      </c>
      <c r="J3562" s="1">
        <v>0.83276577305365596</v>
      </c>
      <c r="K3562" s="1" t="s">
        <v>181</v>
      </c>
    </row>
    <row r="3563" spans="1:11" x14ac:dyDescent="0.25">
      <c r="A3563" s="1" t="s">
        <v>11322</v>
      </c>
      <c r="B3563" s="1" t="s">
        <v>11323</v>
      </c>
      <c r="D3563" s="1" t="s">
        <v>11324</v>
      </c>
      <c r="E3563" s="1" t="s">
        <v>209</v>
      </c>
      <c r="F3563" s="1" t="s">
        <v>5017</v>
      </c>
      <c r="G3563" s="1" t="s">
        <v>5018</v>
      </c>
      <c r="H3563" s="1">
        <v>0.1</v>
      </c>
      <c r="I3563" s="1">
        <v>0.1</v>
      </c>
      <c r="J3563" s="1">
        <v>0.81721531333110486</v>
      </c>
      <c r="K3563" s="1" t="s">
        <v>181</v>
      </c>
    </row>
    <row r="3564" spans="1:11" x14ac:dyDescent="0.25">
      <c r="A3564" s="1" t="s">
        <v>11325</v>
      </c>
      <c r="B3564" s="1" t="s">
        <v>11326</v>
      </c>
      <c r="D3564" s="1" t="s">
        <v>11327</v>
      </c>
      <c r="E3564" s="1" t="s">
        <v>209</v>
      </c>
      <c r="F3564" s="1" t="s">
        <v>5017</v>
      </c>
      <c r="G3564" s="1" t="s">
        <v>5018</v>
      </c>
      <c r="H3564" s="1">
        <v>0.1</v>
      </c>
      <c r="I3564" s="1">
        <v>0.1</v>
      </c>
      <c r="J3564" s="1">
        <v>0.86605466206031945</v>
      </c>
      <c r="K3564" s="1" t="s">
        <v>181</v>
      </c>
    </row>
    <row r="3565" spans="1:11" x14ac:dyDescent="0.25">
      <c r="A3565" s="1" t="s">
        <v>11328</v>
      </c>
      <c r="B3565" s="1" t="s">
        <v>11329</v>
      </c>
      <c r="D3565" s="1" t="s">
        <v>11330</v>
      </c>
      <c r="E3565" s="1" t="s">
        <v>209</v>
      </c>
      <c r="F3565" s="1" t="s">
        <v>5017</v>
      </c>
      <c r="G3565" s="1" t="s">
        <v>5018</v>
      </c>
      <c r="H3565" s="1">
        <v>0.1</v>
      </c>
      <c r="I3565" s="1">
        <v>0.1</v>
      </c>
      <c r="J3565" s="1">
        <v>0.57722678111967785</v>
      </c>
      <c r="K3565" s="1" t="s">
        <v>181</v>
      </c>
    </row>
    <row r="3566" spans="1:11" x14ac:dyDescent="0.25">
      <c r="A3566" s="1" t="s">
        <v>11331</v>
      </c>
      <c r="B3566" s="1" t="s">
        <v>11332</v>
      </c>
      <c r="D3566" s="1" t="s">
        <v>11333</v>
      </c>
      <c r="E3566" s="1" t="s">
        <v>209</v>
      </c>
      <c r="F3566" s="1" t="s">
        <v>5017</v>
      </c>
      <c r="G3566" s="1" t="s">
        <v>5018</v>
      </c>
      <c r="H3566" s="1">
        <v>0.1</v>
      </c>
      <c r="I3566" s="1">
        <v>0.1</v>
      </c>
      <c r="J3566" s="1">
        <v>0.57963469016354341</v>
      </c>
      <c r="K3566" s="1" t="s">
        <v>181</v>
      </c>
    </row>
    <row r="3567" spans="1:11" x14ac:dyDescent="0.25">
      <c r="A3567" s="1" t="s">
        <v>11334</v>
      </c>
      <c r="B3567" s="1" t="s">
        <v>11335</v>
      </c>
      <c r="D3567" s="1" t="s">
        <v>11336</v>
      </c>
      <c r="E3567" s="1" t="s">
        <v>209</v>
      </c>
      <c r="F3567" s="1" t="s">
        <v>5017</v>
      </c>
      <c r="G3567" s="1" t="s">
        <v>5018</v>
      </c>
      <c r="H3567" s="1">
        <v>0.1</v>
      </c>
      <c r="I3567" s="1">
        <v>0.1</v>
      </c>
      <c r="J3567" s="1">
        <v>0.89148796656816975</v>
      </c>
      <c r="K3567" s="1" t="s">
        <v>181</v>
      </c>
    </row>
    <row r="3568" spans="1:11" x14ac:dyDescent="0.25">
      <c r="A3568" s="1" t="s">
        <v>11337</v>
      </c>
      <c r="B3568" s="1" t="s">
        <v>11338</v>
      </c>
      <c r="D3568" s="1" t="s">
        <v>11339</v>
      </c>
      <c r="E3568" s="1" t="s">
        <v>209</v>
      </c>
      <c r="F3568" s="1" t="s">
        <v>5017</v>
      </c>
      <c r="G3568" s="1" t="s">
        <v>5018</v>
      </c>
      <c r="H3568" s="1">
        <v>0.1</v>
      </c>
      <c r="I3568" s="1">
        <v>0.1</v>
      </c>
      <c r="J3568" s="1">
        <v>0.6355789841884637</v>
      </c>
      <c r="K3568" s="1" t="s">
        <v>181</v>
      </c>
    </row>
    <row r="3569" spans="1:11" x14ac:dyDescent="0.25">
      <c r="A3569" s="1" t="s">
        <v>11340</v>
      </c>
      <c r="B3569" s="1" t="s">
        <v>11341</v>
      </c>
      <c r="D3569" s="1" t="s">
        <v>11342</v>
      </c>
      <c r="E3569" s="1" t="s">
        <v>209</v>
      </c>
      <c r="F3569" s="1" t="s">
        <v>5017</v>
      </c>
      <c r="G3569" s="1" t="s">
        <v>5018</v>
      </c>
      <c r="H3569" s="1">
        <v>0.1</v>
      </c>
      <c r="I3569" s="1">
        <v>0.1</v>
      </c>
      <c r="J3569" s="1">
        <v>0.46776218026100119</v>
      </c>
      <c r="K3569" s="1" t="s">
        <v>181</v>
      </c>
    </row>
    <row r="3570" spans="1:11" x14ac:dyDescent="0.25">
      <c r="A3570" s="1" t="s">
        <v>108</v>
      </c>
      <c r="B3570" s="1" t="s">
        <v>11343</v>
      </c>
      <c r="D3570" s="1" t="s">
        <v>11344</v>
      </c>
      <c r="E3570" s="1" t="s">
        <v>209</v>
      </c>
      <c r="F3570" s="1" t="s">
        <v>5017</v>
      </c>
      <c r="G3570" s="1" t="s">
        <v>5018</v>
      </c>
      <c r="H3570" s="1">
        <v>0.1</v>
      </c>
      <c r="I3570" s="1">
        <v>0.1</v>
      </c>
      <c r="J3570" s="1">
        <v>0.60217534616425628</v>
      </c>
      <c r="K3570" s="1" t="s">
        <v>181</v>
      </c>
    </row>
    <row r="3571" spans="1:11" x14ac:dyDescent="0.25">
      <c r="A3571" s="1" t="s">
        <v>11345</v>
      </c>
      <c r="B3571" s="1" t="s">
        <v>11346</v>
      </c>
      <c r="D3571" s="1" t="s">
        <v>11347</v>
      </c>
      <c r="E3571" s="1" t="s">
        <v>209</v>
      </c>
      <c r="F3571" s="1" t="s">
        <v>5017</v>
      </c>
      <c r="G3571" s="1" t="s">
        <v>5018</v>
      </c>
      <c r="H3571" s="1">
        <v>0.1</v>
      </c>
      <c r="I3571" s="1">
        <v>0.1</v>
      </c>
      <c r="J3571" s="1">
        <v>0.66829489079950333</v>
      </c>
      <c r="K3571" s="1" t="s">
        <v>181</v>
      </c>
    </row>
    <row r="3572" spans="1:11" x14ac:dyDescent="0.25">
      <c r="A3572" s="1" t="s">
        <v>11348</v>
      </c>
      <c r="B3572" s="1" t="s">
        <v>11349</v>
      </c>
      <c r="D3572" s="1" t="s">
        <v>11350</v>
      </c>
      <c r="E3572" s="1" t="s">
        <v>209</v>
      </c>
      <c r="F3572" s="1" t="s">
        <v>5017</v>
      </c>
      <c r="G3572" s="1" t="s">
        <v>5018</v>
      </c>
      <c r="H3572" s="1">
        <v>0.1</v>
      </c>
      <c r="I3572" s="1">
        <v>0.1</v>
      </c>
      <c r="J3572" s="1">
        <v>0.63787320252580793</v>
      </c>
      <c r="K3572" s="1" t="s">
        <v>181</v>
      </c>
    </row>
    <row r="3573" spans="1:11" x14ac:dyDescent="0.25">
      <c r="A3573" s="1" t="s">
        <v>11351</v>
      </c>
      <c r="B3573" s="1" t="s">
        <v>11352</v>
      </c>
      <c r="D3573" s="1" t="s">
        <v>11353</v>
      </c>
      <c r="E3573" s="1" t="s">
        <v>209</v>
      </c>
      <c r="F3573" s="1" t="s">
        <v>5017</v>
      </c>
      <c r="G3573" s="1" t="s">
        <v>5018</v>
      </c>
      <c r="H3573" s="1">
        <v>0.1</v>
      </c>
      <c r="I3573" s="1">
        <v>0.1</v>
      </c>
      <c r="J3573" s="1">
        <v>0.82510392455319481</v>
      </c>
      <c r="K3573" s="1" t="s">
        <v>181</v>
      </c>
    </row>
    <row r="3574" spans="1:11" x14ac:dyDescent="0.25">
      <c r="A3574" s="1" t="s">
        <v>36</v>
      </c>
      <c r="B3574" s="1" t="s">
        <v>11354</v>
      </c>
      <c r="D3574" s="1" t="s">
        <v>11355</v>
      </c>
      <c r="E3574" s="1" t="s">
        <v>209</v>
      </c>
      <c r="F3574" s="1" t="s">
        <v>5017</v>
      </c>
      <c r="G3574" s="1" t="s">
        <v>5018</v>
      </c>
      <c r="H3574" s="1">
        <v>0.1</v>
      </c>
      <c r="I3574" s="1">
        <v>0.1</v>
      </c>
      <c r="J3574" s="1">
        <v>0.73510788840895225</v>
      </c>
      <c r="K3574" s="1" t="s">
        <v>181</v>
      </c>
    </row>
    <row r="3575" spans="1:11" x14ac:dyDescent="0.25">
      <c r="A3575" s="1" t="s">
        <v>11356</v>
      </c>
      <c r="B3575" s="1" t="s">
        <v>11357</v>
      </c>
      <c r="D3575" s="1" t="s">
        <v>11358</v>
      </c>
      <c r="E3575" s="1" t="s">
        <v>209</v>
      </c>
      <c r="F3575" s="1" t="s">
        <v>5017</v>
      </c>
      <c r="G3575" s="1" t="s">
        <v>5018</v>
      </c>
      <c r="H3575" s="1">
        <v>0.1</v>
      </c>
      <c r="I3575" s="1">
        <v>0.1</v>
      </c>
      <c r="J3575" s="1">
        <v>0.6149988794094613</v>
      </c>
      <c r="K3575" s="1" t="s">
        <v>181</v>
      </c>
    </row>
    <row r="3576" spans="1:11" x14ac:dyDescent="0.25">
      <c r="A3576" s="1" t="s">
        <v>11359</v>
      </c>
      <c r="B3576" s="1" t="s">
        <v>11360</v>
      </c>
      <c r="D3576" s="1" t="s">
        <v>11361</v>
      </c>
      <c r="E3576" s="1" t="s">
        <v>209</v>
      </c>
      <c r="F3576" s="1" t="s">
        <v>5017</v>
      </c>
      <c r="G3576" s="1" t="s">
        <v>5018</v>
      </c>
      <c r="H3576" s="1">
        <v>0.1</v>
      </c>
      <c r="I3576" s="1">
        <v>0.1</v>
      </c>
      <c r="J3576" s="1">
        <v>0.88638068094660383</v>
      </c>
      <c r="K3576" s="1" t="s">
        <v>181</v>
      </c>
    </row>
    <row r="3577" spans="1:11" x14ac:dyDescent="0.25">
      <c r="A3577" s="1" t="s">
        <v>11362</v>
      </c>
      <c r="B3577" s="1" t="s">
        <v>11363</v>
      </c>
      <c r="D3577" s="1" t="s">
        <v>11364</v>
      </c>
      <c r="E3577" s="1" t="s">
        <v>209</v>
      </c>
      <c r="F3577" s="1" t="s">
        <v>5017</v>
      </c>
      <c r="G3577" s="1" t="s">
        <v>5018</v>
      </c>
      <c r="H3577" s="1">
        <v>0.1</v>
      </c>
      <c r="I3577" s="1">
        <v>0.1</v>
      </c>
      <c r="J3577" s="1">
        <v>0.68995618480732823</v>
      </c>
      <c r="K3577" s="1" t="s">
        <v>181</v>
      </c>
    </row>
    <row r="3578" spans="1:11" x14ac:dyDescent="0.25">
      <c r="A3578" s="1" t="s">
        <v>11365</v>
      </c>
      <c r="B3578" s="1" t="s">
        <v>11366</v>
      </c>
      <c r="D3578" s="1" t="s">
        <v>11367</v>
      </c>
      <c r="E3578" s="1" t="s">
        <v>209</v>
      </c>
      <c r="F3578" s="1" t="s">
        <v>5017</v>
      </c>
      <c r="G3578" s="1" t="s">
        <v>5018</v>
      </c>
      <c r="H3578" s="1">
        <v>0.1</v>
      </c>
      <c r="I3578" s="1">
        <v>0.1</v>
      </c>
      <c r="J3578" s="1">
        <v>0.83223283562202766</v>
      </c>
      <c r="K3578" s="1" t="s">
        <v>181</v>
      </c>
    </row>
    <row r="3579" spans="1:11" x14ac:dyDescent="0.25">
      <c r="A3579" s="1" t="s">
        <v>11368</v>
      </c>
      <c r="B3579" s="1" t="s">
        <v>11369</v>
      </c>
      <c r="D3579" s="1" t="s">
        <v>11370</v>
      </c>
      <c r="E3579" s="1" t="s">
        <v>209</v>
      </c>
      <c r="F3579" s="1" t="s">
        <v>5017</v>
      </c>
      <c r="G3579" s="1" t="s">
        <v>5018</v>
      </c>
      <c r="H3579" s="1">
        <v>0.1</v>
      </c>
      <c r="I3579" s="1">
        <v>0.1</v>
      </c>
      <c r="J3579" s="1">
        <v>0.76337176535661677</v>
      </c>
      <c r="K3579" s="1" t="s">
        <v>181</v>
      </c>
    </row>
    <row r="3580" spans="1:11" x14ac:dyDescent="0.25">
      <c r="A3580" s="1" t="s">
        <v>11371</v>
      </c>
      <c r="B3580" s="1" t="s">
        <v>11372</v>
      </c>
      <c r="D3580" s="1" t="s">
        <v>11373</v>
      </c>
      <c r="E3580" s="1" t="s">
        <v>209</v>
      </c>
      <c r="F3580" s="1" t="s">
        <v>5017</v>
      </c>
      <c r="G3580" s="1" t="s">
        <v>5018</v>
      </c>
      <c r="H3580" s="1">
        <v>0.1</v>
      </c>
      <c r="I3580" s="1">
        <v>0.1</v>
      </c>
      <c r="J3580" s="1">
        <v>0.55658263302915245</v>
      </c>
      <c r="K3580" s="1" t="s">
        <v>181</v>
      </c>
    </row>
    <row r="3581" spans="1:11" x14ac:dyDescent="0.25">
      <c r="A3581" s="1" t="s">
        <v>11374</v>
      </c>
      <c r="B3581" s="1" t="s">
        <v>11375</v>
      </c>
      <c r="D3581" s="1" t="s">
        <v>11376</v>
      </c>
      <c r="E3581" s="1" t="s">
        <v>209</v>
      </c>
      <c r="F3581" s="1" t="s">
        <v>5017</v>
      </c>
      <c r="G3581" s="1" t="s">
        <v>5018</v>
      </c>
      <c r="H3581" s="1">
        <v>0.1</v>
      </c>
      <c r="I3581" s="1">
        <v>0.1</v>
      </c>
      <c r="J3581" s="1">
        <v>0.65270669141129511</v>
      </c>
      <c r="K3581" s="1" t="s">
        <v>181</v>
      </c>
    </row>
    <row r="3582" spans="1:11" x14ac:dyDescent="0.25">
      <c r="A3582" s="1" t="s">
        <v>11377</v>
      </c>
      <c r="B3582" s="1" t="s">
        <v>11378</v>
      </c>
      <c r="D3582" s="1" t="s">
        <v>11379</v>
      </c>
      <c r="E3582" s="1" t="s">
        <v>209</v>
      </c>
      <c r="F3582" s="1" t="s">
        <v>5017</v>
      </c>
      <c r="G3582" s="1" t="s">
        <v>5018</v>
      </c>
      <c r="H3582" s="1">
        <v>0.1</v>
      </c>
      <c r="I3582" s="1">
        <v>0.1</v>
      </c>
      <c r="J3582" s="1">
        <v>0.77420999868952778</v>
      </c>
      <c r="K3582" s="1" t="s">
        <v>181</v>
      </c>
    </row>
    <row r="3583" spans="1:11" x14ac:dyDescent="0.25">
      <c r="A3583" s="1" t="s">
        <v>11380</v>
      </c>
      <c r="B3583" s="1" t="s">
        <v>11378</v>
      </c>
      <c r="D3583" s="1" t="s">
        <v>11381</v>
      </c>
      <c r="E3583" s="1" t="s">
        <v>209</v>
      </c>
      <c r="F3583" s="1" t="s">
        <v>5017</v>
      </c>
      <c r="G3583" s="1" t="s">
        <v>5018</v>
      </c>
      <c r="H3583" s="1">
        <v>0.1</v>
      </c>
      <c r="I3583" s="1">
        <v>0.1</v>
      </c>
      <c r="J3583" s="1">
        <v>0.86475920908988613</v>
      </c>
      <c r="K3583" s="1" t="s">
        <v>181</v>
      </c>
    </row>
    <row r="3584" spans="1:11" x14ac:dyDescent="0.25">
      <c r="A3584" s="1" t="s">
        <v>11382</v>
      </c>
      <c r="B3584" s="1" t="s">
        <v>11383</v>
      </c>
      <c r="D3584" s="1" t="s">
        <v>11384</v>
      </c>
      <c r="E3584" s="1" t="s">
        <v>209</v>
      </c>
      <c r="F3584" s="1" t="s">
        <v>5017</v>
      </c>
      <c r="G3584" s="1" t="s">
        <v>5018</v>
      </c>
      <c r="H3584" s="1">
        <v>0.1</v>
      </c>
      <c r="I3584" s="1">
        <v>0.1</v>
      </c>
      <c r="J3584" s="1">
        <v>0.78512050279317958</v>
      </c>
      <c r="K3584" s="1" t="s">
        <v>181</v>
      </c>
    </row>
    <row r="3585" spans="1:11" x14ac:dyDescent="0.25">
      <c r="A3585" s="1" t="s">
        <v>11385</v>
      </c>
      <c r="B3585" s="1" t="s">
        <v>11386</v>
      </c>
      <c r="D3585" s="1" t="s">
        <v>11387</v>
      </c>
      <c r="E3585" s="1" t="s">
        <v>209</v>
      </c>
      <c r="F3585" s="1" t="s">
        <v>5017</v>
      </c>
      <c r="G3585" s="1" t="s">
        <v>5018</v>
      </c>
      <c r="H3585" s="1">
        <v>0.1</v>
      </c>
      <c r="I3585" s="1">
        <v>0.1</v>
      </c>
      <c r="J3585" s="1">
        <v>0.62771648466889585</v>
      </c>
      <c r="K3585" s="1" t="s">
        <v>181</v>
      </c>
    </row>
    <row r="3586" spans="1:11" x14ac:dyDescent="0.25">
      <c r="A3586" s="1" t="s">
        <v>11388</v>
      </c>
      <c r="B3586" s="1" t="s">
        <v>11389</v>
      </c>
      <c r="D3586" s="1" t="s">
        <v>11390</v>
      </c>
      <c r="E3586" s="1" t="s">
        <v>209</v>
      </c>
      <c r="F3586" s="1" t="s">
        <v>5017</v>
      </c>
      <c r="G3586" s="1" t="s">
        <v>5018</v>
      </c>
      <c r="H3586" s="1">
        <v>0.1</v>
      </c>
      <c r="I3586" s="1">
        <v>0.1</v>
      </c>
      <c r="J3586" s="1">
        <v>0.66137068577206892</v>
      </c>
      <c r="K3586" s="1" t="s">
        <v>181</v>
      </c>
    </row>
    <row r="3587" spans="1:11" x14ac:dyDescent="0.25">
      <c r="A3587" s="1" t="s">
        <v>11391</v>
      </c>
      <c r="B3587" s="1" t="s">
        <v>11392</v>
      </c>
      <c r="D3587" s="1" t="s">
        <v>11393</v>
      </c>
      <c r="E3587" s="1" t="s">
        <v>209</v>
      </c>
      <c r="F3587" s="1" t="s">
        <v>5017</v>
      </c>
      <c r="G3587" s="1" t="s">
        <v>5018</v>
      </c>
      <c r="H3587" s="1">
        <v>0.1</v>
      </c>
      <c r="I3587" s="1">
        <v>0.1</v>
      </c>
      <c r="J3587" s="1">
        <v>0.46096058460471145</v>
      </c>
      <c r="K3587" s="1" t="s">
        <v>181</v>
      </c>
    </row>
    <row r="3588" spans="1:11" x14ac:dyDescent="0.25">
      <c r="A3588" s="1" t="s">
        <v>11394</v>
      </c>
      <c r="B3588" s="1" t="s">
        <v>11395</v>
      </c>
      <c r="D3588" s="1" t="s">
        <v>11396</v>
      </c>
      <c r="E3588" s="1" t="s">
        <v>209</v>
      </c>
      <c r="F3588" s="1" t="s">
        <v>5017</v>
      </c>
      <c r="G3588" s="1" t="s">
        <v>5018</v>
      </c>
      <c r="H3588" s="1">
        <v>0.1</v>
      </c>
      <c r="I3588" s="1">
        <v>0.1</v>
      </c>
      <c r="J3588" s="1">
        <v>0.82731175994404094</v>
      </c>
      <c r="K3588" s="1" t="s">
        <v>181</v>
      </c>
    </row>
    <row r="3589" spans="1:11" x14ac:dyDescent="0.25">
      <c r="A3589" s="1" t="s">
        <v>11397</v>
      </c>
      <c r="B3589" s="1" t="s">
        <v>11398</v>
      </c>
      <c r="D3589" s="1" t="s">
        <v>11399</v>
      </c>
      <c r="E3589" s="1" t="s">
        <v>209</v>
      </c>
      <c r="F3589" s="1" t="s">
        <v>5017</v>
      </c>
      <c r="G3589" s="1" t="s">
        <v>5018</v>
      </c>
      <c r="H3589" s="1">
        <v>0.1</v>
      </c>
      <c r="I3589" s="1">
        <v>0.1</v>
      </c>
      <c r="J3589" s="1">
        <v>0.73102244581990383</v>
      </c>
      <c r="K3589" s="1" t="s">
        <v>181</v>
      </c>
    </row>
    <row r="3590" spans="1:11" x14ac:dyDescent="0.25">
      <c r="A3590" s="1" t="s">
        <v>11400</v>
      </c>
      <c r="B3590" s="1" t="s">
        <v>11401</v>
      </c>
      <c r="D3590" s="1" t="s">
        <v>11402</v>
      </c>
      <c r="E3590" s="1" t="s">
        <v>209</v>
      </c>
      <c r="F3590" s="1" t="s">
        <v>5017</v>
      </c>
      <c r="G3590" s="1" t="s">
        <v>5018</v>
      </c>
      <c r="H3590" s="1">
        <v>0.1</v>
      </c>
      <c r="I3590" s="1">
        <v>0.1</v>
      </c>
      <c r="J3590" s="1">
        <v>0.55918123372399342</v>
      </c>
      <c r="K3590" s="1" t="s">
        <v>181</v>
      </c>
    </row>
    <row r="3591" spans="1:11" x14ac:dyDescent="0.25">
      <c r="A3591" s="1" t="s">
        <v>11403</v>
      </c>
      <c r="B3591" s="1" t="s">
        <v>11404</v>
      </c>
      <c r="D3591" s="1" t="s">
        <v>11405</v>
      </c>
      <c r="E3591" s="1" t="s">
        <v>209</v>
      </c>
      <c r="F3591" s="1" t="s">
        <v>5017</v>
      </c>
      <c r="G3591" s="1" t="s">
        <v>5018</v>
      </c>
      <c r="H3591" s="1">
        <v>0.1</v>
      </c>
      <c r="I3591" s="1">
        <v>0.1</v>
      </c>
      <c r="J3591" s="1">
        <v>0.75051041586925871</v>
      </c>
      <c r="K3591" s="1" t="s">
        <v>181</v>
      </c>
    </row>
    <row r="3592" spans="1:11" x14ac:dyDescent="0.25">
      <c r="A3592" s="1" t="s">
        <v>11406</v>
      </c>
      <c r="B3592" s="1" t="s">
        <v>11407</v>
      </c>
      <c r="D3592" s="1" t="s">
        <v>11408</v>
      </c>
      <c r="E3592" s="1" t="s">
        <v>209</v>
      </c>
      <c r="F3592" s="1" t="s">
        <v>5017</v>
      </c>
      <c r="G3592" s="1" t="s">
        <v>5018</v>
      </c>
      <c r="H3592" s="1">
        <v>0.1</v>
      </c>
      <c r="I3592" s="1">
        <v>0.1</v>
      </c>
      <c r="J3592" s="1">
        <v>0.6451920840773937</v>
      </c>
      <c r="K3592" s="1" t="s">
        <v>181</v>
      </c>
    </row>
    <row r="3593" spans="1:11" x14ac:dyDescent="0.25">
      <c r="A3593" s="1" t="s">
        <v>11409</v>
      </c>
      <c r="B3593" s="1" t="s">
        <v>11410</v>
      </c>
      <c r="D3593" s="1" t="s">
        <v>11411</v>
      </c>
      <c r="E3593" s="1" t="s">
        <v>209</v>
      </c>
      <c r="F3593" s="1" t="s">
        <v>5017</v>
      </c>
      <c r="G3593" s="1" t="s">
        <v>5018</v>
      </c>
      <c r="H3593" s="1">
        <v>0.1</v>
      </c>
      <c r="I3593" s="1">
        <v>0.1</v>
      </c>
      <c r="J3593" s="1">
        <v>0.63839768103833294</v>
      </c>
      <c r="K3593" s="1" t="s">
        <v>181</v>
      </c>
    </row>
    <row r="3594" spans="1:11" x14ac:dyDescent="0.25">
      <c r="A3594" s="1" t="s">
        <v>11412</v>
      </c>
      <c r="B3594" s="1" t="s">
        <v>11413</v>
      </c>
      <c r="D3594" s="1" t="s">
        <v>11414</v>
      </c>
      <c r="E3594" s="1" t="s">
        <v>209</v>
      </c>
      <c r="F3594" s="1" t="s">
        <v>5017</v>
      </c>
      <c r="G3594" s="1" t="s">
        <v>5018</v>
      </c>
      <c r="H3594" s="1">
        <v>0.1</v>
      </c>
      <c r="I3594" s="1">
        <v>0.1</v>
      </c>
      <c r="J3594" s="1">
        <v>0.75362121560372686</v>
      </c>
      <c r="K3594" s="1" t="s">
        <v>181</v>
      </c>
    </row>
    <row r="3595" spans="1:11" x14ac:dyDescent="0.25">
      <c r="A3595" s="1" t="s">
        <v>11415</v>
      </c>
      <c r="B3595" s="1" t="s">
        <v>11416</v>
      </c>
      <c r="D3595" s="1" t="s">
        <v>11417</v>
      </c>
      <c r="E3595" s="1" t="s">
        <v>209</v>
      </c>
      <c r="F3595" s="1" t="s">
        <v>5017</v>
      </c>
      <c r="G3595" s="1" t="s">
        <v>5018</v>
      </c>
      <c r="H3595" s="1">
        <v>0.1</v>
      </c>
      <c r="I3595" s="1">
        <v>0.1</v>
      </c>
      <c r="J3595" s="1">
        <v>0.74745434324510274</v>
      </c>
      <c r="K3595" s="1" t="s">
        <v>181</v>
      </c>
    </row>
    <row r="3596" spans="1:11" x14ac:dyDescent="0.25">
      <c r="A3596" s="1" t="s">
        <v>11418</v>
      </c>
      <c r="B3596" s="1" t="s">
        <v>11419</v>
      </c>
      <c r="D3596" s="1" t="s">
        <v>11420</v>
      </c>
      <c r="E3596" s="1" t="s">
        <v>209</v>
      </c>
      <c r="F3596" s="1" t="s">
        <v>5017</v>
      </c>
      <c r="G3596" s="1" t="s">
        <v>5018</v>
      </c>
      <c r="H3596" s="1">
        <v>0.1</v>
      </c>
      <c r="I3596" s="1">
        <v>0.1</v>
      </c>
      <c r="J3596" s="1">
        <v>0.6278984011909905</v>
      </c>
      <c r="K3596" s="1" t="s">
        <v>181</v>
      </c>
    </row>
    <row r="3597" spans="1:11" x14ac:dyDescent="0.25">
      <c r="A3597" s="1" t="s">
        <v>11421</v>
      </c>
      <c r="B3597" s="1" t="s">
        <v>11422</v>
      </c>
      <c r="D3597" s="1" t="s">
        <v>11423</v>
      </c>
      <c r="E3597" s="1" t="s">
        <v>209</v>
      </c>
      <c r="F3597" s="1" t="s">
        <v>5017</v>
      </c>
      <c r="G3597" s="1" t="s">
        <v>5018</v>
      </c>
      <c r="H3597" s="1">
        <v>0.1</v>
      </c>
      <c r="I3597" s="1">
        <v>0.1</v>
      </c>
      <c r="J3597" s="1">
        <v>0.63614556156603597</v>
      </c>
      <c r="K3597" s="1" t="s">
        <v>181</v>
      </c>
    </row>
    <row r="3598" spans="1:11" x14ac:dyDescent="0.25">
      <c r="A3598" s="1" t="s">
        <v>11424</v>
      </c>
      <c r="B3598" s="1" t="s">
        <v>11425</v>
      </c>
      <c r="D3598" s="1" t="s">
        <v>11426</v>
      </c>
      <c r="E3598" s="1" t="s">
        <v>209</v>
      </c>
      <c r="F3598" s="1" t="s">
        <v>5017</v>
      </c>
      <c r="G3598" s="1" t="s">
        <v>5018</v>
      </c>
      <c r="H3598" s="1">
        <v>0.1</v>
      </c>
      <c r="I3598" s="1">
        <v>0.1</v>
      </c>
      <c r="J3598" s="1">
        <v>0.63708018966263769</v>
      </c>
      <c r="K3598" s="1" t="s">
        <v>181</v>
      </c>
    </row>
    <row r="3599" spans="1:11" x14ac:dyDescent="0.25">
      <c r="A3599" s="1" t="s">
        <v>11427</v>
      </c>
      <c r="B3599" s="1" t="s">
        <v>11428</v>
      </c>
      <c r="D3599" s="1" t="s">
        <v>11429</v>
      </c>
      <c r="E3599" s="1" t="s">
        <v>209</v>
      </c>
      <c r="F3599" s="1" t="s">
        <v>5017</v>
      </c>
      <c r="G3599" s="1" t="s">
        <v>5018</v>
      </c>
      <c r="H3599" s="1">
        <v>0.1</v>
      </c>
      <c r="I3599" s="1">
        <v>0.1</v>
      </c>
      <c r="J3599" s="1">
        <v>0.85243857556694491</v>
      </c>
      <c r="K3599" s="1" t="s">
        <v>181</v>
      </c>
    </row>
    <row r="3600" spans="1:11" x14ac:dyDescent="0.25">
      <c r="A3600" s="1" t="s">
        <v>11430</v>
      </c>
      <c r="B3600" s="1" t="s">
        <v>11431</v>
      </c>
      <c r="D3600" s="1" t="s">
        <v>11432</v>
      </c>
      <c r="E3600" s="1" t="s">
        <v>209</v>
      </c>
      <c r="F3600" s="1" t="s">
        <v>5017</v>
      </c>
      <c r="G3600" s="1" t="s">
        <v>5018</v>
      </c>
      <c r="H3600" s="1">
        <v>0.1</v>
      </c>
      <c r="I3600" s="1">
        <v>0.1</v>
      </c>
      <c r="J3600" s="1">
        <v>0.43292593530674239</v>
      </c>
      <c r="K3600" s="1" t="s">
        <v>181</v>
      </c>
    </row>
    <row r="3601" spans="1:11" x14ac:dyDescent="0.25">
      <c r="A3601" s="1" t="s">
        <v>11433</v>
      </c>
      <c r="B3601" s="1" t="s">
        <v>11434</v>
      </c>
      <c r="D3601" s="1" t="s">
        <v>11435</v>
      </c>
      <c r="E3601" s="1" t="s">
        <v>209</v>
      </c>
      <c r="F3601" s="1" t="s">
        <v>5017</v>
      </c>
      <c r="G3601" s="1" t="s">
        <v>5018</v>
      </c>
      <c r="H3601" s="1">
        <v>0.1</v>
      </c>
      <c r="I3601" s="1">
        <v>0.1</v>
      </c>
      <c r="J3601" s="1">
        <v>0.83536228250643652</v>
      </c>
      <c r="K3601" s="1" t="s">
        <v>181</v>
      </c>
    </row>
    <row r="3602" spans="1:11" x14ac:dyDescent="0.25">
      <c r="A3602" s="1" t="s">
        <v>11436</v>
      </c>
      <c r="B3602" s="1" t="s">
        <v>11437</v>
      </c>
      <c r="D3602" s="1" t="s">
        <v>11438</v>
      </c>
      <c r="E3602" s="1" t="s">
        <v>209</v>
      </c>
      <c r="F3602" s="1" t="s">
        <v>5017</v>
      </c>
      <c r="G3602" s="1" t="s">
        <v>5018</v>
      </c>
      <c r="H3602" s="1">
        <v>0.1</v>
      </c>
      <c r="I3602" s="1">
        <v>0.1</v>
      </c>
      <c r="J3602" s="1">
        <v>0.49706583333204823</v>
      </c>
      <c r="K3602" s="1" t="s">
        <v>181</v>
      </c>
    </row>
    <row r="3603" spans="1:11" x14ac:dyDescent="0.25">
      <c r="A3603" s="1" t="s">
        <v>11439</v>
      </c>
      <c r="B3603" s="1" t="s">
        <v>11440</v>
      </c>
      <c r="D3603" s="1" t="s">
        <v>11441</v>
      </c>
      <c r="E3603" s="1" t="s">
        <v>209</v>
      </c>
      <c r="F3603" s="1" t="s">
        <v>5017</v>
      </c>
      <c r="G3603" s="1" t="s">
        <v>5018</v>
      </c>
      <c r="H3603" s="1">
        <v>0.1</v>
      </c>
      <c r="I3603" s="1">
        <v>0.1</v>
      </c>
      <c r="J3603" s="1">
        <v>0.71499169917105554</v>
      </c>
      <c r="K3603" s="1" t="s">
        <v>181</v>
      </c>
    </row>
    <row r="3604" spans="1:11" x14ac:dyDescent="0.25">
      <c r="A3604" s="1" t="s">
        <v>11442</v>
      </c>
      <c r="B3604" s="1" t="s">
        <v>11443</v>
      </c>
      <c r="D3604" s="1" t="s">
        <v>11444</v>
      </c>
      <c r="E3604" s="1" t="s">
        <v>209</v>
      </c>
      <c r="F3604" s="1" t="s">
        <v>5017</v>
      </c>
      <c r="G3604" s="1" t="s">
        <v>5018</v>
      </c>
      <c r="H3604" s="1">
        <v>0.1</v>
      </c>
      <c r="I3604" s="1">
        <v>0.1</v>
      </c>
      <c r="J3604" s="1">
        <v>0.71776325447781453</v>
      </c>
      <c r="K3604" s="1" t="s">
        <v>181</v>
      </c>
    </row>
    <row r="3605" spans="1:11" x14ac:dyDescent="0.25">
      <c r="A3605" s="1" t="s">
        <v>11445</v>
      </c>
      <c r="B3605" s="1" t="s">
        <v>11446</v>
      </c>
      <c r="D3605" s="1" t="s">
        <v>11447</v>
      </c>
      <c r="E3605" s="1" t="s">
        <v>209</v>
      </c>
      <c r="F3605" s="1" t="s">
        <v>5017</v>
      </c>
      <c r="G3605" s="1" t="s">
        <v>5018</v>
      </c>
      <c r="H3605" s="1">
        <v>0.1</v>
      </c>
      <c r="I3605" s="1">
        <v>0.1</v>
      </c>
      <c r="J3605" s="1">
        <v>0.60106252155414985</v>
      </c>
      <c r="K3605" s="1" t="s">
        <v>181</v>
      </c>
    </row>
    <row r="3606" spans="1:11" x14ac:dyDescent="0.25">
      <c r="A3606" s="1" t="s">
        <v>11448</v>
      </c>
      <c r="B3606" s="1" t="s">
        <v>11449</v>
      </c>
      <c r="D3606" s="1" t="s">
        <v>11450</v>
      </c>
      <c r="E3606" s="1" t="s">
        <v>209</v>
      </c>
      <c r="F3606" s="1" t="s">
        <v>5017</v>
      </c>
      <c r="G3606" s="1" t="s">
        <v>5018</v>
      </c>
      <c r="H3606" s="1">
        <v>0.1</v>
      </c>
      <c r="I3606" s="1">
        <v>0.1</v>
      </c>
      <c r="J3606" s="1">
        <v>0.84297321422315219</v>
      </c>
      <c r="K3606" s="1" t="s">
        <v>181</v>
      </c>
    </row>
    <row r="3607" spans="1:11" x14ac:dyDescent="0.25">
      <c r="A3607" s="1" t="s">
        <v>11451</v>
      </c>
      <c r="B3607" s="1" t="s">
        <v>11452</v>
      </c>
      <c r="D3607" s="1" t="s">
        <v>11453</v>
      </c>
      <c r="E3607" s="1" t="s">
        <v>209</v>
      </c>
      <c r="F3607" s="1" t="s">
        <v>5017</v>
      </c>
      <c r="G3607" s="1" t="s">
        <v>5018</v>
      </c>
      <c r="H3607" s="1">
        <v>0.1</v>
      </c>
      <c r="I3607" s="1">
        <v>0.1</v>
      </c>
      <c r="J3607" s="1">
        <v>0.49629119819673956</v>
      </c>
      <c r="K3607" s="1" t="s">
        <v>181</v>
      </c>
    </row>
    <row r="3608" spans="1:11" x14ac:dyDescent="0.25">
      <c r="A3608" s="1" t="s">
        <v>11454</v>
      </c>
      <c r="B3608" s="1" t="s">
        <v>11455</v>
      </c>
      <c r="D3608" s="1" t="s">
        <v>11456</v>
      </c>
      <c r="E3608" s="1" t="s">
        <v>209</v>
      </c>
      <c r="F3608" s="1" t="s">
        <v>5017</v>
      </c>
      <c r="G3608" s="1" t="s">
        <v>5018</v>
      </c>
      <c r="H3608" s="1">
        <v>0.1</v>
      </c>
      <c r="I3608" s="1">
        <v>0.1</v>
      </c>
      <c r="J3608" s="1">
        <v>0.86808682750190247</v>
      </c>
      <c r="K3608" s="1" t="s">
        <v>181</v>
      </c>
    </row>
    <row r="3609" spans="1:11" x14ac:dyDescent="0.25">
      <c r="A3609" s="1" t="s">
        <v>11457</v>
      </c>
      <c r="B3609" s="1" t="s">
        <v>11458</v>
      </c>
      <c r="D3609" s="1" t="s">
        <v>11459</v>
      </c>
      <c r="E3609" s="1" t="s">
        <v>209</v>
      </c>
      <c r="F3609" s="1" t="s">
        <v>5017</v>
      </c>
      <c r="G3609" s="1" t="s">
        <v>5018</v>
      </c>
      <c r="H3609" s="1">
        <v>0.1</v>
      </c>
      <c r="I3609" s="1">
        <v>0.1</v>
      </c>
      <c r="J3609" s="1">
        <v>0.57743157098042897</v>
      </c>
      <c r="K3609" s="1" t="s">
        <v>181</v>
      </c>
    </row>
    <row r="3610" spans="1:11" x14ac:dyDescent="0.25">
      <c r="A3610" s="1" t="s">
        <v>11460</v>
      </c>
      <c r="B3610" s="1" t="s">
        <v>11461</v>
      </c>
      <c r="D3610" s="1" t="s">
        <v>11462</v>
      </c>
      <c r="E3610" s="1" t="s">
        <v>209</v>
      </c>
      <c r="F3610" s="1" t="s">
        <v>5017</v>
      </c>
      <c r="G3610" s="1" t="s">
        <v>5018</v>
      </c>
      <c r="H3610" s="1">
        <v>0.1</v>
      </c>
      <c r="I3610" s="1">
        <v>0.1</v>
      </c>
      <c r="J3610" s="1">
        <v>0.5472503191809901</v>
      </c>
      <c r="K3610" s="1" t="s">
        <v>181</v>
      </c>
    </row>
    <row r="3611" spans="1:11" x14ac:dyDescent="0.25">
      <c r="A3611" s="1" t="s">
        <v>11463</v>
      </c>
      <c r="B3611" s="1" t="s">
        <v>11464</v>
      </c>
      <c r="D3611" s="1" t="s">
        <v>11465</v>
      </c>
      <c r="E3611" s="1" t="s">
        <v>209</v>
      </c>
      <c r="F3611" s="1" t="s">
        <v>5017</v>
      </c>
      <c r="G3611" s="1" t="s">
        <v>5018</v>
      </c>
      <c r="H3611" s="1">
        <v>0.1</v>
      </c>
      <c r="I3611" s="1">
        <v>0.1</v>
      </c>
      <c r="J3611" s="1">
        <v>0.60742872999172548</v>
      </c>
      <c r="K3611" s="1" t="s">
        <v>181</v>
      </c>
    </row>
    <row r="3612" spans="1:11" x14ac:dyDescent="0.25">
      <c r="A3612" s="1" t="s">
        <v>11466</v>
      </c>
      <c r="B3612" s="1" t="s">
        <v>11467</v>
      </c>
      <c r="D3612" s="1" t="s">
        <v>11468</v>
      </c>
      <c r="E3612" s="1" t="s">
        <v>209</v>
      </c>
      <c r="F3612" s="1" t="s">
        <v>5017</v>
      </c>
      <c r="G3612" s="1" t="s">
        <v>5018</v>
      </c>
      <c r="H3612" s="1">
        <v>0.1</v>
      </c>
      <c r="I3612" s="1">
        <v>0.1</v>
      </c>
      <c r="J3612" s="1">
        <v>0.51914643426901064</v>
      </c>
      <c r="K3612" s="1" t="s">
        <v>181</v>
      </c>
    </row>
    <row r="3613" spans="1:11" x14ac:dyDescent="0.25">
      <c r="A3613" s="1" t="s">
        <v>11469</v>
      </c>
      <c r="B3613" s="1" t="s">
        <v>11470</v>
      </c>
      <c r="D3613" s="1" t="s">
        <v>11471</v>
      </c>
      <c r="E3613" s="1" t="s">
        <v>209</v>
      </c>
      <c r="F3613" s="1" t="s">
        <v>5017</v>
      </c>
      <c r="G3613" s="1" t="s">
        <v>5018</v>
      </c>
      <c r="H3613" s="1">
        <v>0.1</v>
      </c>
      <c r="I3613" s="1">
        <v>0.1</v>
      </c>
      <c r="J3613" s="1">
        <v>1.0570741598643236</v>
      </c>
      <c r="K3613" s="1" t="s">
        <v>181</v>
      </c>
    </row>
    <row r="3614" spans="1:11" x14ac:dyDescent="0.25">
      <c r="A3614" s="1" t="s">
        <v>11472</v>
      </c>
      <c r="B3614" s="1" t="s">
        <v>11473</v>
      </c>
      <c r="D3614" s="1" t="s">
        <v>11474</v>
      </c>
      <c r="E3614" s="1" t="s">
        <v>209</v>
      </c>
      <c r="F3614" s="1" t="s">
        <v>5017</v>
      </c>
      <c r="G3614" s="1" t="s">
        <v>5018</v>
      </c>
      <c r="H3614" s="1">
        <v>0.1</v>
      </c>
      <c r="I3614" s="1">
        <v>0.1</v>
      </c>
      <c r="J3614" s="1">
        <v>0.72958962674356209</v>
      </c>
      <c r="K3614" s="1" t="s">
        <v>181</v>
      </c>
    </row>
    <row r="3615" spans="1:11" x14ac:dyDescent="0.25">
      <c r="A3615" s="1" t="s">
        <v>11475</v>
      </c>
      <c r="B3615" s="1" t="s">
        <v>11476</v>
      </c>
      <c r="D3615" s="1" t="s">
        <v>11477</v>
      </c>
      <c r="E3615" s="1" t="s">
        <v>209</v>
      </c>
      <c r="F3615" s="1" t="s">
        <v>5017</v>
      </c>
      <c r="G3615" s="1" t="s">
        <v>5018</v>
      </c>
      <c r="H3615" s="1">
        <v>0.1</v>
      </c>
      <c r="I3615" s="1">
        <v>0.1</v>
      </c>
      <c r="J3615" s="1">
        <v>0.84475202148731443</v>
      </c>
      <c r="K3615" s="1" t="s">
        <v>181</v>
      </c>
    </row>
    <row r="3616" spans="1:11" x14ac:dyDescent="0.25">
      <c r="A3616" s="1" t="s">
        <v>11478</v>
      </c>
      <c r="B3616" s="1" t="s">
        <v>11479</v>
      </c>
      <c r="D3616" s="1" t="s">
        <v>11480</v>
      </c>
      <c r="E3616" s="1" t="s">
        <v>209</v>
      </c>
      <c r="F3616" s="1" t="s">
        <v>5017</v>
      </c>
      <c r="G3616" s="1" t="s">
        <v>5018</v>
      </c>
      <c r="H3616" s="1">
        <v>0.1</v>
      </c>
      <c r="I3616" s="1">
        <v>0.1</v>
      </c>
      <c r="J3616" s="1">
        <v>0.76469370681806947</v>
      </c>
      <c r="K3616" s="1" t="s">
        <v>181</v>
      </c>
    </row>
    <row r="3617" spans="1:11" x14ac:dyDescent="0.25">
      <c r="A3617" s="1" t="s">
        <v>11481</v>
      </c>
      <c r="B3617" s="1" t="s">
        <v>11482</v>
      </c>
      <c r="D3617" s="1" t="s">
        <v>11483</v>
      </c>
      <c r="E3617" s="1" t="s">
        <v>209</v>
      </c>
      <c r="F3617" s="1" t="s">
        <v>5017</v>
      </c>
      <c r="G3617" s="1" t="s">
        <v>5018</v>
      </c>
      <c r="H3617" s="1">
        <v>0.1</v>
      </c>
      <c r="I3617" s="1">
        <v>0.1</v>
      </c>
      <c r="J3617" s="1">
        <v>0.804670757334219</v>
      </c>
      <c r="K3617" s="1" t="s">
        <v>181</v>
      </c>
    </row>
    <row r="3618" spans="1:11" x14ac:dyDescent="0.25">
      <c r="A3618" s="1" t="s">
        <v>11484</v>
      </c>
      <c r="B3618" s="1" t="s">
        <v>11485</v>
      </c>
      <c r="D3618" s="1" t="s">
        <v>11486</v>
      </c>
      <c r="E3618" s="1" t="s">
        <v>209</v>
      </c>
      <c r="F3618" s="1" t="s">
        <v>5017</v>
      </c>
      <c r="G3618" s="1" t="s">
        <v>5018</v>
      </c>
      <c r="H3618" s="1">
        <v>0.1</v>
      </c>
      <c r="I3618" s="1">
        <v>0.1</v>
      </c>
      <c r="J3618" s="1">
        <v>0.67717986850856904</v>
      </c>
      <c r="K3618" s="1" t="s">
        <v>181</v>
      </c>
    </row>
    <row r="3619" spans="1:11" x14ac:dyDescent="0.25">
      <c r="A3619" s="1" t="s">
        <v>11487</v>
      </c>
      <c r="B3619" s="1" t="s">
        <v>11488</v>
      </c>
      <c r="D3619" s="1" t="s">
        <v>11489</v>
      </c>
      <c r="E3619" s="1" t="s">
        <v>209</v>
      </c>
      <c r="F3619" s="1" t="s">
        <v>5017</v>
      </c>
      <c r="G3619" s="1" t="s">
        <v>5018</v>
      </c>
      <c r="H3619" s="1">
        <v>0.1</v>
      </c>
      <c r="I3619" s="1">
        <v>0.1</v>
      </c>
      <c r="J3619" s="1">
        <v>0.7607116244398282</v>
      </c>
      <c r="K3619" s="1" t="s">
        <v>181</v>
      </c>
    </row>
    <row r="3620" spans="1:11" x14ac:dyDescent="0.25">
      <c r="A3620" s="1" t="s">
        <v>11490</v>
      </c>
      <c r="B3620" s="1" t="s">
        <v>11491</v>
      </c>
      <c r="D3620" s="1" t="s">
        <v>11492</v>
      </c>
      <c r="E3620" s="1" t="s">
        <v>209</v>
      </c>
      <c r="F3620" s="1" t="s">
        <v>5017</v>
      </c>
      <c r="G3620" s="1" t="s">
        <v>5018</v>
      </c>
      <c r="H3620" s="1">
        <v>0.1</v>
      </c>
      <c r="I3620" s="1">
        <v>0.1</v>
      </c>
      <c r="J3620" s="1">
        <v>0.66178931005193731</v>
      </c>
      <c r="K3620" s="1" t="s">
        <v>181</v>
      </c>
    </row>
    <row r="3621" spans="1:11" x14ac:dyDescent="0.25">
      <c r="A3621" s="1" t="s">
        <v>11493</v>
      </c>
      <c r="B3621" s="1" t="s">
        <v>11494</v>
      </c>
      <c r="D3621" s="1" t="s">
        <v>11495</v>
      </c>
      <c r="E3621" s="1" t="s">
        <v>209</v>
      </c>
      <c r="F3621" s="1" t="s">
        <v>5017</v>
      </c>
      <c r="G3621" s="1" t="s">
        <v>5018</v>
      </c>
      <c r="H3621" s="1">
        <v>0.1</v>
      </c>
      <c r="I3621" s="1">
        <v>0.1</v>
      </c>
      <c r="J3621" s="1">
        <v>0.70092924811699919</v>
      </c>
      <c r="K3621" s="1" t="s">
        <v>181</v>
      </c>
    </row>
    <row r="3622" spans="1:11" x14ac:dyDescent="0.25">
      <c r="A3622" s="1" t="s">
        <v>11496</v>
      </c>
      <c r="B3622" s="1" t="s">
        <v>11497</v>
      </c>
      <c r="D3622" s="1" t="s">
        <v>11498</v>
      </c>
      <c r="E3622" s="1" t="s">
        <v>209</v>
      </c>
      <c r="F3622" s="1" t="s">
        <v>5017</v>
      </c>
      <c r="G3622" s="1" t="s">
        <v>5018</v>
      </c>
      <c r="H3622" s="1">
        <v>0.1</v>
      </c>
      <c r="I3622" s="1">
        <v>0.1</v>
      </c>
      <c r="J3622" s="1">
        <v>0.68280140011904045</v>
      </c>
      <c r="K3622" s="1" t="s">
        <v>181</v>
      </c>
    </row>
    <row r="3623" spans="1:11" x14ac:dyDescent="0.25">
      <c r="A3623" s="1" t="s">
        <v>11499</v>
      </c>
      <c r="B3623" s="1" t="s">
        <v>11500</v>
      </c>
      <c r="D3623" s="1" t="s">
        <v>11501</v>
      </c>
      <c r="E3623" s="1" t="s">
        <v>209</v>
      </c>
      <c r="F3623" s="1" t="s">
        <v>5017</v>
      </c>
      <c r="G3623" s="1" t="s">
        <v>5018</v>
      </c>
      <c r="H3623" s="1">
        <v>0.1</v>
      </c>
      <c r="I3623" s="1">
        <v>0.1</v>
      </c>
      <c r="J3623" s="1">
        <v>0.68786389655385061</v>
      </c>
      <c r="K3623" s="1" t="s">
        <v>181</v>
      </c>
    </row>
    <row r="3624" spans="1:11" x14ac:dyDescent="0.25">
      <c r="A3624" s="1" t="s">
        <v>11502</v>
      </c>
      <c r="B3624" s="1" t="s">
        <v>11503</v>
      </c>
      <c r="D3624" s="1" t="s">
        <v>11504</v>
      </c>
      <c r="E3624" s="1" t="s">
        <v>209</v>
      </c>
      <c r="F3624" s="1" t="s">
        <v>5017</v>
      </c>
      <c r="G3624" s="1" t="s">
        <v>5018</v>
      </c>
      <c r="H3624" s="1">
        <v>0.1</v>
      </c>
      <c r="I3624" s="1">
        <v>0.1</v>
      </c>
      <c r="J3624" s="1">
        <v>0.59815162774890085</v>
      </c>
      <c r="K3624" s="1" t="s">
        <v>181</v>
      </c>
    </row>
    <row r="3625" spans="1:11" x14ac:dyDescent="0.25">
      <c r="A3625" s="1" t="s">
        <v>11505</v>
      </c>
      <c r="B3625" s="1" t="s">
        <v>11506</v>
      </c>
      <c r="D3625" s="1" t="s">
        <v>11507</v>
      </c>
      <c r="E3625" s="1" t="s">
        <v>209</v>
      </c>
      <c r="F3625" s="1" t="s">
        <v>5017</v>
      </c>
      <c r="G3625" s="1" t="s">
        <v>5018</v>
      </c>
      <c r="H3625" s="1">
        <v>0.1</v>
      </c>
      <c r="I3625" s="1">
        <v>0.1</v>
      </c>
      <c r="J3625" s="1">
        <v>0.9407520434557487</v>
      </c>
      <c r="K3625" s="1" t="s">
        <v>181</v>
      </c>
    </row>
    <row r="3626" spans="1:11" x14ac:dyDescent="0.25">
      <c r="A3626" s="1" t="s">
        <v>11508</v>
      </c>
      <c r="B3626" s="1" t="s">
        <v>11509</v>
      </c>
      <c r="D3626" s="1" t="s">
        <v>11510</v>
      </c>
      <c r="E3626" s="1" t="s">
        <v>209</v>
      </c>
      <c r="F3626" s="1" t="s">
        <v>5017</v>
      </c>
      <c r="G3626" s="1" t="s">
        <v>5018</v>
      </c>
      <c r="H3626" s="1">
        <v>0.1</v>
      </c>
      <c r="I3626" s="1">
        <v>0.1</v>
      </c>
      <c r="J3626" s="1">
        <v>0.93502566743415461</v>
      </c>
      <c r="K3626" s="1" t="s">
        <v>181</v>
      </c>
    </row>
    <row r="3627" spans="1:11" x14ac:dyDescent="0.25">
      <c r="A3627" s="1" t="s">
        <v>11511</v>
      </c>
      <c r="B3627" s="1" t="s">
        <v>11512</v>
      </c>
      <c r="D3627" s="1" t="s">
        <v>11513</v>
      </c>
      <c r="E3627" s="1" t="s">
        <v>209</v>
      </c>
      <c r="F3627" s="1" t="s">
        <v>5017</v>
      </c>
      <c r="G3627" s="1" t="s">
        <v>5018</v>
      </c>
      <c r="H3627" s="1">
        <v>0.1</v>
      </c>
      <c r="I3627" s="1">
        <v>0.1</v>
      </c>
      <c r="J3627" s="1">
        <v>0.82116899599331428</v>
      </c>
      <c r="K3627" s="1" t="s">
        <v>181</v>
      </c>
    </row>
    <row r="3628" spans="1:11" x14ac:dyDescent="0.25">
      <c r="A3628" s="1" t="s">
        <v>147</v>
      </c>
      <c r="B3628" s="1" t="s">
        <v>11514</v>
      </c>
      <c r="D3628" s="1" t="s">
        <v>11515</v>
      </c>
      <c r="E3628" s="1" t="s">
        <v>209</v>
      </c>
      <c r="F3628" s="1" t="s">
        <v>5017</v>
      </c>
      <c r="G3628" s="1" t="s">
        <v>5018</v>
      </c>
      <c r="H3628" s="1">
        <v>0.1</v>
      </c>
      <c r="I3628" s="1">
        <v>0.1</v>
      </c>
      <c r="J3628" s="1">
        <v>0.64758469557500342</v>
      </c>
      <c r="K3628" s="1" t="s">
        <v>181</v>
      </c>
    </row>
    <row r="3629" spans="1:11" x14ac:dyDescent="0.25">
      <c r="A3629" s="1" t="s">
        <v>11516</v>
      </c>
      <c r="B3629" s="1" t="s">
        <v>11517</v>
      </c>
      <c r="D3629" s="1" t="s">
        <v>11518</v>
      </c>
      <c r="E3629" s="1" t="s">
        <v>209</v>
      </c>
      <c r="F3629" s="1" t="s">
        <v>5017</v>
      </c>
      <c r="G3629" s="1" t="s">
        <v>5018</v>
      </c>
      <c r="H3629" s="1">
        <v>0.1</v>
      </c>
      <c r="I3629" s="1">
        <v>0.1</v>
      </c>
      <c r="J3629" s="1">
        <v>0.79920969178178569</v>
      </c>
      <c r="K3629" s="1" t="s">
        <v>181</v>
      </c>
    </row>
    <row r="3630" spans="1:11" x14ac:dyDescent="0.25">
      <c r="A3630" s="1" t="s">
        <v>11519</v>
      </c>
      <c r="B3630" s="1" t="s">
        <v>11520</v>
      </c>
      <c r="D3630" s="1" t="s">
        <v>11521</v>
      </c>
      <c r="E3630" s="1" t="s">
        <v>209</v>
      </c>
      <c r="F3630" s="1" t="s">
        <v>5017</v>
      </c>
      <c r="G3630" s="1" t="s">
        <v>5018</v>
      </c>
      <c r="H3630" s="1">
        <v>0.1</v>
      </c>
      <c r="I3630" s="1">
        <v>0.1</v>
      </c>
      <c r="J3630" s="1">
        <v>1.0167575833721727</v>
      </c>
      <c r="K3630" s="1" t="s">
        <v>181</v>
      </c>
    </row>
    <row r="3631" spans="1:11" x14ac:dyDescent="0.25">
      <c r="A3631" s="1" t="s">
        <v>11522</v>
      </c>
      <c r="B3631" s="1" t="s">
        <v>11523</v>
      </c>
      <c r="D3631" s="1" t="s">
        <v>11524</v>
      </c>
      <c r="E3631" s="1" t="s">
        <v>209</v>
      </c>
      <c r="F3631" s="1" t="s">
        <v>5017</v>
      </c>
      <c r="G3631" s="1" t="s">
        <v>5018</v>
      </c>
      <c r="H3631" s="1">
        <v>0.1</v>
      </c>
      <c r="I3631" s="1">
        <v>0.1</v>
      </c>
      <c r="J3631" s="1">
        <v>0.69672581288822888</v>
      </c>
      <c r="K3631" s="1" t="s">
        <v>181</v>
      </c>
    </row>
    <row r="3632" spans="1:11" x14ac:dyDescent="0.25">
      <c r="A3632" s="1" t="s">
        <v>11525</v>
      </c>
      <c r="B3632" s="1" t="s">
        <v>11526</v>
      </c>
      <c r="D3632" s="1" t="s">
        <v>11527</v>
      </c>
      <c r="E3632" s="1" t="s">
        <v>209</v>
      </c>
      <c r="F3632" s="1" t="s">
        <v>5017</v>
      </c>
      <c r="G3632" s="1" t="s">
        <v>5018</v>
      </c>
      <c r="H3632" s="1">
        <v>0.1</v>
      </c>
      <c r="I3632" s="1">
        <v>0.1</v>
      </c>
      <c r="J3632" s="1">
        <v>0.91937300778619446</v>
      </c>
      <c r="K3632" s="1" t="s">
        <v>181</v>
      </c>
    </row>
    <row r="3633" spans="1:11" x14ac:dyDescent="0.25">
      <c r="A3633" s="1" t="s">
        <v>11528</v>
      </c>
      <c r="B3633" s="1" t="s">
        <v>11529</v>
      </c>
      <c r="D3633" s="1" t="s">
        <v>11530</v>
      </c>
      <c r="E3633" s="1" t="s">
        <v>209</v>
      </c>
      <c r="F3633" s="1" t="s">
        <v>5017</v>
      </c>
      <c r="G3633" s="1" t="s">
        <v>5018</v>
      </c>
      <c r="H3633" s="1">
        <v>0.1</v>
      </c>
      <c r="I3633" s="1">
        <v>0.1</v>
      </c>
      <c r="J3633" s="1">
        <v>0.87679319413582535</v>
      </c>
      <c r="K3633" s="1" t="s">
        <v>181</v>
      </c>
    </row>
    <row r="3634" spans="1:11" x14ac:dyDescent="0.25">
      <c r="A3634" s="1" t="s">
        <v>11531</v>
      </c>
      <c r="B3634" s="1" t="s">
        <v>11532</v>
      </c>
      <c r="D3634" s="1" t="s">
        <v>11533</v>
      </c>
      <c r="E3634" s="1" t="s">
        <v>209</v>
      </c>
      <c r="F3634" s="1" t="s">
        <v>5017</v>
      </c>
      <c r="G3634" s="1" t="s">
        <v>5018</v>
      </c>
      <c r="H3634" s="1">
        <v>0.1</v>
      </c>
      <c r="I3634" s="1">
        <v>0.1</v>
      </c>
      <c r="J3634" s="1">
        <v>0.77573496589532986</v>
      </c>
      <c r="K3634" s="1" t="s">
        <v>181</v>
      </c>
    </row>
    <row r="3635" spans="1:11" x14ac:dyDescent="0.25">
      <c r="A3635" s="1" t="s">
        <v>11534</v>
      </c>
      <c r="B3635" s="1" t="s">
        <v>11535</v>
      </c>
      <c r="D3635" s="1" t="s">
        <v>11536</v>
      </c>
      <c r="E3635" s="1" t="s">
        <v>209</v>
      </c>
      <c r="F3635" s="1" t="s">
        <v>5017</v>
      </c>
      <c r="G3635" s="1" t="s">
        <v>5018</v>
      </c>
      <c r="H3635" s="1">
        <v>0.1</v>
      </c>
      <c r="I3635" s="1">
        <v>0.1</v>
      </c>
      <c r="J3635" s="1">
        <v>0.74019875909202715</v>
      </c>
      <c r="K3635" s="1" t="s">
        <v>181</v>
      </c>
    </row>
    <row r="3636" spans="1:11" x14ac:dyDescent="0.25">
      <c r="A3636" s="1" t="s">
        <v>11537</v>
      </c>
      <c r="B3636" s="1" t="s">
        <v>11538</v>
      </c>
      <c r="D3636" s="1" t="s">
        <v>11539</v>
      </c>
      <c r="E3636" s="1" t="s">
        <v>209</v>
      </c>
      <c r="F3636" s="1" t="s">
        <v>5017</v>
      </c>
      <c r="G3636" s="1" t="s">
        <v>5018</v>
      </c>
      <c r="H3636" s="1">
        <v>0.1</v>
      </c>
      <c r="I3636" s="1">
        <v>0.1</v>
      </c>
      <c r="J3636" s="1">
        <v>0.71691686436932667</v>
      </c>
      <c r="K3636" s="1" t="s">
        <v>181</v>
      </c>
    </row>
    <row r="3637" spans="1:11" x14ac:dyDescent="0.25">
      <c r="A3637" s="1" t="s">
        <v>11540</v>
      </c>
      <c r="B3637" s="1" t="s">
        <v>11541</v>
      </c>
      <c r="D3637" s="1" t="s">
        <v>11542</v>
      </c>
      <c r="E3637" s="1" t="s">
        <v>209</v>
      </c>
      <c r="F3637" s="1" t="s">
        <v>5017</v>
      </c>
      <c r="G3637" s="1" t="s">
        <v>5018</v>
      </c>
      <c r="H3637" s="1">
        <v>0.1</v>
      </c>
      <c r="I3637" s="1">
        <v>0.1</v>
      </c>
      <c r="J3637" s="1">
        <v>0.67283427769469928</v>
      </c>
      <c r="K3637" s="1" t="s">
        <v>181</v>
      </c>
    </row>
    <row r="3638" spans="1:11" x14ac:dyDescent="0.25">
      <c r="A3638" s="1" t="s">
        <v>11543</v>
      </c>
      <c r="B3638" s="1" t="s">
        <v>11544</v>
      </c>
      <c r="D3638" s="1" t="s">
        <v>11545</v>
      </c>
      <c r="E3638" s="1" t="s">
        <v>209</v>
      </c>
      <c r="F3638" s="1" t="s">
        <v>5017</v>
      </c>
      <c r="G3638" s="1" t="s">
        <v>5018</v>
      </c>
      <c r="H3638" s="1">
        <v>0.1</v>
      </c>
      <c r="I3638" s="1">
        <v>0.1</v>
      </c>
      <c r="J3638" s="1">
        <v>0.76622880708934926</v>
      </c>
      <c r="K3638" s="1" t="s">
        <v>181</v>
      </c>
    </row>
    <row r="3639" spans="1:11" x14ac:dyDescent="0.25">
      <c r="A3639" s="1" t="s">
        <v>11546</v>
      </c>
      <c r="B3639" s="1" t="s">
        <v>11547</v>
      </c>
      <c r="D3639" s="1" t="s">
        <v>11548</v>
      </c>
      <c r="E3639" s="1" t="s">
        <v>209</v>
      </c>
      <c r="F3639" s="1" t="s">
        <v>5017</v>
      </c>
      <c r="G3639" s="1" t="s">
        <v>5018</v>
      </c>
      <c r="H3639" s="1">
        <v>0.1</v>
      </c>
      <c r="I3639" s="1">
        <v>0.1</v>
      </c>
      <c r="J3639" s="1">
        <v>0.52468494308751767</v>
      </c>
      <c r="K3639" s="1" t="s">
        <v>181</v>
      </c>
    </row>
    <row r="3640" spans="1:11" x14ac:dyDescent="0.25">
      <c r="A3640" s="1" t="s">
        <v>11549</v>
      </c>
      <c r="B3640" s="1" t="s">
        <v>11550</v>
      </c>
      <c r="D3640" s="1" t="s">
        <v>11551</v>
      </c>
      <c r="E3640" s="1" t="s">
        <v>209</v>
      </c>
      <c r="F3640" s="1" t="s">
        <v>5017</v>
      </c>
      <c r="G3640" s="1" t="s">
        <v>5018</v>
      </c>
      <c r="H3640" s="1">
        <v>0.1</v>
      </c>
      <c r="I3640" s="1">
        <v>0.1</v>
      </c>
      <c r="J3640" s="1">
        <v>0.8616032551847469</v>
      </c>
      <c r="K3640" s="1" t="s">
        <v>181</v>
      </c>
    </row>
    <row r="3641" spans="1:11" x14ac:dyDescent="0.25">
      <c r="A3641" s="1" t="s">
        <v>11552</v>
      </c>
      <c r="B3641" s="1" t="s">
        <v>11553</v>
      </c>
      <c r="D3641" s="1" t="s">
        <v>11554</v>
      </c>
      <c r="E3641" s="1" t="s">
        <v>209</v>
      </c>
      <c r="F3641" s="1" t="s">
        <v>5017</v>
      </c>
      <c r="G3641" s="1" t="s">
        <v>5018</v>
      </c>
      <c r="H3641" s="1">
        <v>0.1</v>
      </c>
      <c r="I3641" s="1">
        <v>0.1</v>
      </c>
      <c r="J3641" s="1">
        <v>0.94680952069386448</v>
      </c>
      <c r="K3641" s="1" t="s">
        <v>181</v>
      </c>
    </row>
    <row r="3642" spans="1:11" x14ac:dyDescent="0.25">
      <c r="A3642" s="1" t="s">
        <v>11555</v>
      </c>
      <c r="B3642" s="1" t="s">
        <v>11556</v>
      </c>
      <c r="D3642" s="1" t="s">
        <v>11557</v>
      </c>
      <c r="E3642" s="1" t="s">
        <v>209</v>
      </c>
      <c r="F3642" s="1" t="s">
        <v>5017</v>
      </c>
      <c r="G3642" s="1" t="s">
        <v>5018</v>
      </c>
      <c r="H3642" s="1">
        <v>0.1</v>
      </c>
      <c r="I3642" s="1">
        <v>0.1</v>
      </c>
      <c r="J3642" s="1">
        <v>0.83172033885082752</v>
      </c>
      <c r="K3642" s="1" t="s">
        <v>181</v>
      </c>
    </row>
    <row r="3643" spans="1:11" x14ac:dyDescent="0.25">
      <c r="A3643" s="1" t="s">
        <v>11558</v>
      </c>
      <c r="B3643" s="1" t="s">
        <v>11559</v>
      </c>
      <c r="D3643" s="1" t="s">
        <v>11560</v>
      </c>
      <c r="E3643" s="1" t="s">
        <v>209</v>
      </c>
      <c r="F3643" s="1" t="s">
        <v>5017</v>
      </c>
      <c r="G3643" s="1" t="s">
        <v>5018</v>
      </c>
      <c r="H3643" s="1">
        <v>0.1</v>
      </c>
      <c r="I3643" s="1">
        <v>0.1</v>
      </c>
      <c r="J3643" s="1">
        <v>0.54576532340444195</v>
      </c>
      <c r="K3643" s="1" t="s">
        <v>181</v>
      </c>
    </row>
    <row r="3644" spans="1:11" x14ac:dyDescent="0.25">
      <c r="A3644" s="1" t="s">
        <v>11561</v>
      </c>
      <c r="B3644" s="1" t="s">
        <v>11562</v>
      </c>
      <c r="D3644" s="1" t="s">
        <v>11563</v>
      </c>
      <c r="E3644" s="1" t="s">
        <v>209</v>
      </c>
      <c r="F3644" s="1" t="s">
        <v>5017</v>
      </c>
      <c r="G3644" s="1" t="s">
        <v>5018</v>
      </c>
      <c r="H3644" s="1">
        <v>0.1</v>
      </c>
      <c r="I3644" s="1">
        <v>0.1</v>
      </c>
      <c r="J3644" s="1">
        <v>0.7855431926321792</v>
      </c>
      <c r="K3644" s="1" t="s">
        <v>181</v>
      </c>
    </row>
    <row r="3645" spans="1:11" x14ac:dyDescent="0.25">
      <c r="A3645" s="1" t="s">
        <v>11564</v>
      </c>
      <c r="B3645" s="1" t="s">
        <v>11565</v>
      </c>
      <c r="D3645" s="1" t="s">
        <v>11566</v>
      </c>
      <c r="E3645" s="1" t="s">
        <v>209</v>
      </c>
      <c r="F3645" s="1" t="s">
        <v>5017</v>
      </c>
      <c r="G3645" s="1" t="s">
        <v>5018</v>
      </c>
      <c r="H3645" s="1">
        <v>0.1</v>
      </c>
      <c r="I3645" s="1">
        <v>0.1</v>
      </c>
      <c r="J3645" s="1">
        <v>0.77051573268584528</v>
      </c>
      <c r="K3645" s="1" t="s">
        <v>181</v>
      </c>
    </row>
    <row r="3646" spans="1:11" x14ac:dyDescent="0.25">
      <c r="A3646" s="1" t="s">
        <v>11567</v>
      </c>
      <c r="B3646" s="1" t="s">
        <v>11568</v>
      </c>
      <c r="D3646" s="1" t="s">
        <v>11569</v>
      </c>
      <c r="E3646" s="1" t="s">
        <v>209</v>
      </c>
      <c r="F3646" s="1" t="s">
        <v>5017</v>
      </c>
      <c r="G3646" s="1" t="s">
        <v>5018</v>
      </c>
      <c r="H3646" s="1">
        <v>0.1</v>
      </c>
      <c r="I3646" s="1">
        <v>0.1</v>
      </c>
      <c r="J3646" s="1">
        <v>0.42065678494891179</v>
      </c>
      <c r="K3646" s="1" t="s">
        <v>181</v>
      </c>
    </row>
    <row r="3647" spans="1:11" x14ac:dyDescent="0.25">
      <c r="A3647" s="1" t="s">
        <v>11570</v>
      </c>
      <c r="B3647" s="1" t="s">
        <v>11571</v>
      </c>
      <c r="D3647" s="1" t="s">
        <v>11572</v>
      </c>
      <c r="E3647" s="1" t="s">
        <v>209</v>
      </c>
      <c r="F3647" s="1" t="s">
        <v>5017</v>
      </c>
      <c r="G3647" s="1" t="s">
        <v>5018</v>
      </c>
      <c r="H3647" s="1">
        <v>0.1</v>
      </c>
      <c r="I3647" s="1">
        <v>0.1</v>
      </c>
      <c r="J3647" s="1">
        <v>0.48602656602881361</v>
      </c>
      <c r="K3647" s="1" t="s">
        <v>181</v>
      </c>
    </row>
    <row r="3648" spans="1:11" x14ac:dyDescent="0.25">
      <c r="A3648" s="1" t="s">
        <v>11573</v>
      </c>
      <c r="B3648" s="1" t="s">
        <v>11574</v>
      </c>
      <c r="D3648" s="1" t="s">
        <v>11575</v>
      </c>
      <c r="E3648" s="1" t="s">
        <v>209</v>
      </c>
      <c r="F3648" s="1" t="s">
        <v>5017</v>
      </c>
      <c r="G3648" s="1" t="s">
        <v>5018</v>
      </c>
      <c r="H3648" s="1">
        <v>0.1</v>
      </c>
      <c r="I3648" s="1">
        <v>0.1</v>
      </c>
      <c r="J3648" s="1">
        <v>0.7769566028909054</v>
      </c>
      <c r="K3648" s="1" t="s">
        <v>181</v>
      </c>
    </row>
    <row r="3649" spans="1:11" x14ac:dyDescent="0.25">
      <c r="A3649" s="1" t="s">
        <v>11576</v>
      </c>
      <c r="B3649" s="1" t="s">
        <v>11577</v>
      </c>
      <c r="D3649" s="1" t="s">
        <v>11578</v>
      </c>
      <c r="E3649" s="1" t="s">
        <v>209</v>
      </c>
      <c r="F3649" s="1" t="s">
        <v>5017</v>
      </c>
      <c r="G3649" s="1" t="s">
        <v>5018</v>
      </c>
      <c r="H3649" s="1">
        <v>0.1</v>
      </c>
      <c r="I3649" s="1">
        <v>0.1</v>
      </c>
      <c r="J3649" s="1">
        <v>0.84553252308956417</v>
      </c>
      <c r="K3649" s="1" t="s">
        <v>181</v>
      </c>
    </row>
    <row r="3650" spans="1:11" x14ac:dyDescent="0.25">
      <c r="A3650" s="1" t="s">
        <v>11579</v>
      </c>
      <c r="B3650" s="1" t="s">
        <v>11580</v>
      </c>
      <c r="D3650" s="1" t="s">
        <v>11581</v>
      </c>
      <c r="E3650" s="1" t="s">
        <v>209</v>
      </c>
      <c r="F3650" s="1" t="s">
        <v>5017</v>
      </c>
      <c r="G3650" s="1" t="s">
        <v>5018</v>
      </c>
      <c r="H3650" s="1">
        <v>0.1</v>
      </c>
      <c r="I3650" s="1">
        <v>0.1</v>
      </c>
      <c r="J3650" s="1">
        <v>0.58819720337490411</v>
      </c>
      <c r="K3650" s="1" t="s">
        <v>181</v>
      </c>
    </row>
    <row r="3651" spans="1:11" x14ac:dyDescent="0.25">
      <c r="A3651" s="1" t="s">
        <v>11582</v>
      </c>
      <c r="B3651" s="1" t="s">
        <v>11583</v>
      </c>
      <c r="D3651" s="1" t="s">
        <v>11584</v>
      </c>
      <c r="E3651" s="1" t="s">
        <v>209</v>
      </c>
      <c r="F3651" s="1" t="s">
        <v>5017</v>
      </c>
      <c r="G3651" s="1" t="s">
        <v>5018</v>
      </c>
      <c r="H3651" s="1">
        <v>0.1</v>
      </c>
      <c r="I3651" s="1">
        <v>0.1</v>
      </c>
      <c r="J3651" s="1">
        <v>0.52310706947107954</v>
      </c>
      <c r="K3651" s="1" t="s">
        <v>181</v>
      </c>
    </row>
    <row r="3652" spans="1:11" x14ac:dyDescent="0.25">
      <c r="A3652" s="1" t="s">
        <v>11585</v>
      </c>
      <c r="B3652" s="1" t="s">
        <v>11586</v>
      </c>
      <c r="D3652" s="1" t="s">
        <v>11587</v>
      </c>
      <c r="E3652" s="1" t="s">
        <v>209</v>
      </c>
      <c r="F3652" s="1" t="s">
        <v>5017</v>
      </c>
      <c r="G3652" s="1" t="s">
        <v>5018</v>
      </c>
      <c r="H3652" s="1">
        <v>0.1</v>
      </c>
      <c r="I3652" s="1">
        <v>0.1</v>
      </c>
      <c r="J3652" s="1">
        <v>0.84970000209879293</v>
      </c>
      <c r="K3652" s="1" t="s">
        <v>181</v>
      </c>
    </row>
    <row r="3653" spans="1:11" x14ac:dyDescent="0.25">
      <c r="A3653" s="1" t="s">
        <v>11588</v>
      </c>
      <c r="B3653" s="1" t="s">
        <v>11589</v>
      </c>
      <c r="D3653" s="1" t="s">
        <v>11590</v>
      </c>
      <c r="E3653" s="1" t="s">
        <v>209</v>
      </c>
      <c r="F3653" s="1" t="s">
        <v>5017</v>
      </c>
      <c r="G3653" s="1" t="s">
        <v>5018</v>
      </c>
      <c r="H3653" s="1">
        <v>0.1</v>
      </c>
      <c r="I3653" s="1">
        <v>0.1</v>
      </c>
      <c r="J3653" s="1">
        <v>0.69888238664687385</v>
      </c>
      <c r="K3653" s="1" t="s">
        <v>181</v>
      </c>
    </row>
    <row r="3654" spans="1:11" x14ac:dyDescent="0.25">
      <c r="A3654" s="1" t="s">
        <v>11591</v>
      </c>
      <c r="B3654" s="1" t="s">
        <v>11592</v>
      </c>
      <c r="D3654" s="1" t="s">
        <v>11593</v>
      </c>
      <c r="E3654" s="1" t="s">
        <v>209</v>
      </c>
      <c r="F3654" s="1" t="s">
        <v>5017</v>
      </c>
      <c r="G3654" s="1" t="s">
        <v>5018</v>
      </c>
      <c r="H3654" s="1">
        <v>0.1</v>
      </c>
      <c r="I3654" s="1">
        <v>0.1</v>
      </c>
      <c r="J3654" s="1">
        <v>0.72801082320137245</v>
      </c>
      <c r="K3654" s="1" t="s">
        <v>181</v>
      </c>
    </row>
    <row r="3655" spans="1:11" x14ac:dyDescent="0.25">
      <c r="A3655" s="1" t="s">
        <v>11594</v>
      </c>
      <c r="B3655" s="1" t="s">
        <v>11595</v>
      </c>
      <c r="D3655" s="1" t="s">
        <v>11596</v>
      </c>
      <c r="E3655" s="1" t="s">
        <v>209</v>
      </c>
      <c r="F3655" s="1" t="s">
        <v>5017</v>
      </c>
      <c r="G3655" s="1" t="s">
        <v>5018</v>
      </c>
      <c r="H3655" s="1">
        <v>0.1</v>
      </c>
      <c r="I3655" s="1">
        <v>0.1</v>
      </c>
      <c r="J3655" s="1">
        <v>0.71830181966166173</v>
      </c>
      <c r="K3655" s="1" t="s">
        <v>181</v>
      </c>
    </row>
    <row r="3656" spans="1:11" x14ac:dyDescent="0.25">
      <c r="A3656" s="1" t="s">
        <v>11597</v>
      </c>
      <c r="B3656" s="1" t="s">
        <v>11598</v>
      </c>
      <c r="D3656" s="1" t="s">
        <v>11599</v>
      </c>
      <c r="E3656" s="1" t="s">
        <v>209</v>
      </c>
      <c r="F3656" s="1" t="s">
        <v>5017</v>
      </c>
      <c r="G3656" s="1" t="s">
        <v>5018</v>
      </c>
      <c r="H3656" s="1">
        <v>0.1</v>
      </c>
      <c r="I3656" s="1">
        <v>0.1</v>
      </c>
      <c r="J3656" s="1">
        <v>0.46960475709239075</v>
      </c>
      <c r="K3656" s="1" t="s">
        <v>181</v>
      </c>
    </row>
    <row r="3657" spans="1:11" x14ac:dyDescent="0.25">
      <c r="A3657" s="1" t="s">
        <v>11600</v>
      </c>
      <c r="B3657" s="1" t="s">
        <v>11601</v>
      </c>
      <c r="D3657" s="1" t="s">
        <v>11602</v>
      </c>
      <c r="E3657" s="1" t="s">
        <v>209</v>
      </c>
      <c r="F3657" s="1" t="s">
        <v>5017</v>
      </c>
      <c r="G3657" s="1" t="s">
        <v>5018</v>
      </c>
      <c r="H3657" s="1">
        <v>0.1</v>
      </c>
      <c r="I3657" s="1">
        <v>0.1</v>
      </c>
      <c r="J3657" s="1">
        <v>0.43998496152925487</v>
      </c>
      <c r="K3657" s="1" t="s">
        <v>181</v>
      </c>
    </row>
    <row r="3658" spans="1:11" x14ac:dyDescent="0.25">
      <c r="A3658" s="1" t="s">
        <v>11603</v>
      </c>
      <c r="B3658" s="1" t="s">
        <v>11604</v>
      </c>
      <c r="D3658" s="1" t="s">
        <v>11605</v>
      </c>
      <c r="E3658" s="1" t="s">
        <v>209</v>
      </c>
      <c r="F3658" s="1" t="s">
        <v>5017</v>
      </c>
      <c r="G3658" s="1" t="s">
        <v>5018</v>
      </c>
      <c r="H3658" s="1">
        <v>0.1</v>
      </c>
      <c r="I3658" s="1">
        <v>0.1</v>
      </c>
      <c r="J3658" s="1">
        <v>0.61716837135920066</v>
      </c>
      <c r="K3658" s="1" t="s">
        <v>181</v>
      </c>
    </row>
    <row r="3659" spans="1:11" x14ac:dyDescent="0.25">
      <c r="A3659" s="1" t="s">
        <v>111</v>
      </c>
      <c r="B3659" s="1" t="s">
        <v>11606</v>
      </c>
      <c r="D3659" s="1" t="s">
        <v>11607</v>
      </c>
      <c r="E3659" s="1" t="s">
        <v>209</v>
      </c>
      <c r="F3659" s="1" t="s">
        <v>5017</v>
      </c>
      <c r="G3659" s="1" t="s">
        <v>5018</v>
      </c>
      <c r="H3659" s="1">
        <v>0.1</v>
      </c>
      <c r="I3659" s="1">
        <v>0.1</v>
      </c>
      <c r="J3659" s="1">
        <v>0.83623794805220719</v>
      </c>
      <c r="K3659" s="1" t="s">
        <v>181</v>
      </c>
    </row>
    <row r="3660" spans="1:11" x14ac:dyDescent="0.25">
      <c r="A3660" s="1" t="s">
        <v>11608</v>
      </c>
      <c r="B3660" s="1" t="s">
        <v>11609</v>
      </c>
      <c r="D3660" s="1" t="s">
        <v>11610</v>
      </c>
      <c r="E3660" s="1" t="s">
        <v>209</v>
      </c>
      <c r="F3660" s="1" t="s">
        <v>5017</v>
      </c>
      <c r="G3660" s="1" t="s">
        <v>5018</v>
      </c>
      <c r="H3660" s="1">
        <v>0.1</v>
      </c>
      <c r="I3660" s="1">
        <v>0.1</v>
      </c>
      <c r="J3660" s="1">
        <v>0.64738715024573967</v>
      </c>
      <c r="K3660" s="1" t="s">
        <v>181</v>
      </c>
    </row>
    <row r="3661" spans="1:11" x14ac:dyDescent="0.25">
      <c r="A3661" s="1" t="s">
        <v>45</v>
      </c>
      <c r="B3661" s="1" t="s">
        <v>11611</v>
      </c>
      <c r="D3661" s="1" t="s">
        <v>11612</v>
      </c>
      <c r="E3661" s="1" t="s">
        <v>209</v>
      </c>
      <c r="F3661" s="1" t="s">
        <v>5017</v>
      </c>
      <c r="G3661" s="1" t="s">
        <v>5018</v>
      </c>
      <c r="H3661" s="1">
        <v>0.1</v>
      </c>
      <c r="I3661" s="1">
        <v>0.1</v>
      </c>
      <c r="J3661" s="1">
        <v>0.73538322505446152</v>
      </c>
      <c r="K3661" s="1" t="s">
        <v>181</v>
      </c>
    </row>
    <row r="3662" spans="1:11" x14ac:dyDescent="0.25">
      <c r="A3662" s="1" t="s">
        <v>11613</v>
      </c>
      <c r="B3662" s="1" t="s">
        <v>11614</v>
      </c>
      <c r="D3662" s="1" t="s">
        <v>11615</v>
      </c>
      <c r="E3662" s="1" t="s">
        <v>209</v>
      </c>
      <c r="F3662" s="1" t="s">
        <v>5017</v>
      </c>
      <c r="G3662" s="1" t="s">
        <v>5018</v>
      </c>
      <c r="H3662" s="1">
        <v>0.1</v>
      </c>
      <c r="I3662" s="1">
        <v>0.1</v>
      </c>
      <c r="J3662" s="1">
        <v>0.43742076914193445</v>
      </c>
      <c r="K3662" s="1" t="s">
        <v>181</v>
      </c>
    </row>
    <row r="3663" spans="1:11" x14ac:dyDescent="0.25">
      <c r="A3663" s="1" t="s">
        <v>11616</v>
      </c>
      <c r="B3663" s="1" t="s">
        <v>11617</v>
      </c>
      <c r="D3663" s="1" t="s">
        <v>11618</v>
      </c>
      <c r="E3663" s="1" t="s">
        <v>209</v>
      </c>
      <c r="F3663" s="1" t="s">
        <v>5017</v>
      </c>
      <c r="G3663" s="1" t="s">
        <v>5018</v>
      </c>
      <c r="H3663" s="1">
        <v>0.1</v>
      </c>
      <c r="I3663" s="1">
        <v>0.1</v>
      </c>
      <c r="J3663" s="1">
        <v>0.60691794035741897</v>
      </c>
      <c r="K3663" s="1" t="s">
        <v>181</v>
      </c>
    </row>
    <row r="3664" spans="1:11" x14ac:dyDescent="0.25">
      <c r="A3664" s="1" t="s">
        <v>11619</v>
      </c>
      <c r="B3664" s="1" t="s">
        <v>11620</v>
      </c>
      <c r="D3664" s="1" t="s">
        <v>11621</v>
      </c>
      <c r="E3664" s="1" t="s">
        <v>209</v>
      </c>
      <c r="F3664" s="1" t="s">
        <v>5017</v>
      </c>
      <c r="G3664" s="1" t="s">
        <v>5018</v>
      </c>
      <c r="H3664" s="1">
        <v>0.1</v>
      </c>
      <c r="I3664" s="1">
        <v>0.1</v>
      </c>
      <c r="J3664" s="1">
        <v>0.95987621335515017</v>
      </c>
      <c r="K3664" s="1" t="s">
        <v>181</v>
      </c>
    </row>
    <row r="3665" spans="1:11" x14ac:dyDescent="0.25">
      <c r="A3665" s="1" t="s">
        <v>11622</v>
      </c>
      <c r="B3665" s="1" t="s">
        <v>11623</v>
      </c>
      <c r="D3665" s="1" t="s">
        <v>11624</v>
      </c>
      <c r="E3665" s="1" t="s">
        <v>209</v>
      </c>
      <c r="F3665" s="1" t="s">
        <v>5017</v>
      </c>
      <c r="G3665" s="1" t="s">
        <v>5018</v>
      </c>
      <c r="H3665" s="1">
        <v>0.1</v>
      </c>
      <c r="I3665" s="1">
        <v>0.1</v>
      </c>
      <c r="J3665" s="1">
        <v>0.93440659547941218</v>
      </c>
      <c r="K3665" s="1" t="s">
        <v>181</v>
      </c>
    </row>
    <row r="3666" spans="1:11" x14ac:dyDescent="0.25">
      <c r="A3666" s="1" t="s">
        <v>11625</v>
      </c>
      <c r="B3666" s="1" t="s">
        <v>11626</v>
      </c>
      <c r="D3666" s="1" t="s">
        <v>11627</v>
      </c>
      <c r="E3666" s="1" t="s">
        <v>209</v>
      </c>
      <c r="F3666" s="1" t="s">
        <v>5017</v>
      </c>
      <c r="G3666" s="1" t="s">
        <v>5018</v>
      </c>
      <c r="H3666" s="1">
        <v>0.1</v>
      </c>
      <c r="I3666" s="1">
        <v>0.1</v>
      </c>
      <c r="J3666" s="1">
        <v>0.70221142187793961</v>
      </c>
      <c r="K3666" s="1" t="s">
        <v>181</v>
      </c>
    </row>
    <row r="3667" spans="1:11" x14ac:dyDescent="0.25">
      <c r="A3667" s="1" t="s">
        <v>11628</v>
      </c>
      <c r="B3667" s="1" t="s">
        <v>11629</v>
      </c>
      <c r="D3667" s="1" t="s">
        <v>11630</v>
      </c>
      <c r="E3667" s="1" t="s">
        <v>209</v>
      </c>
      <c r="F3667" s="1" t="s">
        <v>5017</v>
      </c>
      <c r="G3667" s="1" t="s">
        <v>5018</v>
      </c>
      <c r="H3667" s="1">
        <v>0.1</v>
      </c>
      <c r="I3667" s="1">
        <v>0.1</v>
      </c>
      <c r="J3667" s="1">
        <v>0.45496170583555195</v>
      </c>
      <c r="K3667" s="1" t="s">
        <v>181</v>
      </c>
    </row>
    <row r="3668" spans="1:11" x14ac:dyDescent="0.25">
      <c r="A3668" s="1" t="s">
        <v>11631</v>
      </c>
      <c r="B3668" s="1" t="s">
        <v>11632</v>
      </c>
      <c r="D3668" s="1" t="s">
        <v>11633</v>
      </c>
      <c r="E3668" s="1" t="s">
        <v>209</v>
      </c>
      <c r="F3668" s="1" t="s">
        <v>5017</v>
      </c>
      <c r="G3668" s="1" t="s">
        <v>5018</v>
      </c>
      <c r="H3668" s="1">
        <v>0.1</v>
      </c>
      <c r="I3668" s="1">
        <v>0.1</v>
      </c>
      <c r="J3668" s="1">
        <v>0.72900959061011106</v>
      </c>
      <c r="K3668" s="1" t="s">
        <v>181</v>
      </c>
    </row>
    <row r="3669" spans="1:11" x14ac:dyDescent="0.25">
      <c r="A3669" s="1" t="s">
        <v>11634</v>
      </c>
      <c r="B3669" s="1" t="s">
        <v>11635</v>
      </c>
      <c r="D3669" s="1" t="s">
        <v>11636</v>
      </c>
      <c r="E3669" s="1" t="s">
        <v>209</v>
      </c>
      <c r="F3669" s="1" t="s">
        <v>5017</v>
      </c>
      <c r="G3669" s="1" t="s">
        <v>5018</v>
      </c>
      <c r="H3669" s="1">
        <v>0.1</v>
      </c>
      <c r="I3669" s="1">
        <v>0.1</v>
      </c>
      <c r="J3669" s="1">
        <v>0.79639121540367175</v>
      </c>
      <c r="K3669" s="1" t="s">
        <v>181</v>
      </c>
    </row>
    <row r="3670" spans="1:11" x14ac:dyDescent="0.25">
      <c r="A3670" s="1" t="s">
        <v>11637</v>
      </c>
      <c r="B3670" s="1" t="s">
        <v>11638</v>
      </c>
      <c r="D3670" s="1" t="s">
        <v>11639</v>
      </c>
      <c r="E3670" s="1" t="s">
        <v>209</v>
      </c>
      <c r="F3670" s="1" t="s">
        <v>5017</v>
      </c>
      <c r="G3670" s="1" t="s">
        <v>5018</v>
      </c>
      <c r="H3670" s="1">
        <v>0.1</v>
      </c>
      <c r="I3670" s="1">
        <v>0.1</v>
      </c>
      <c r="J3670" s="1">
        <v>0.82950075532037293</v>
      </c>
      <c r="K3670" s="1" t="s">
        <v>181</v>
      </c>
    </row>
    <row r="3671" spans="1:11" x14ac:dyDescent="0.25">
      <c r="A3671" s="1" t="s">
        <v>11640</v>
      </c>
      <c r="B3671" s="1" t="s">
        <v>11641</v>
      </c>
      <c r="D3671" s="1" t="s">
        <v>11642</v>
      </c>
      <c r="E3671" s="1" t="s">
        <v>209</v>
      </c>
      <c r="F3671" s="1" t="s">
        <v>5017</v>
      </c>
      <c r="G3671" s="1" t="s">
        <v>5018</v>
      </c>
      <c r="H3671" s="1">
        <v>0.1</v>
      </c>
      <c r="I3671" s="1">
        <v>0.1</v>
      </c>
      <c r="J3671" s="1">
        <v>0.92247259086476807</v>
      </c>
      <c r="K3671" s="1" t="s">
        <v>181</v>
      </c>
    </row>
    <row r="3672" spans="1:11" x14ac:dyDescent="0.25">
      <c r="A3672" s="1" t="s">
        <v>11643</v>
      </c>
      <c r="B3672" s="1" t="s">
        <v>11644</v>
      </c>
      <c r="D3672" s="1" t="s">
        <v>11645</v>
      </c>
      <c r="E3672" s="1" t="s">
        <v>209</v>
      </c>
      <c r="F3672" s="1" t="s">
        <v>5017</v>
      </c>
      <c r="G3672" s="1" t="s">
        <v>5018</v>
      </c>
      <c r="H3672" s="1">
        <v>0.1</v>
      </c>
      <c r="I3672" s="1">
        <v>0.1</v>
      </c>
      <c r="J3672" s="1">
        <v>0.57801295581252532</v>
      </c>
      <c r="K3672" s="1" t="s">
        <v>181</v>
      </c>
    </row>
    <row r="3673" spans="1:11" x14ac:dyDescent="0.25">
      <c r="A3673" s="1" t="s">
        <v>11646</v>
      </c>
      <c r="B3673" s="1" t="s">
        <v>11647</v>
      </c>
      <c r="D3673" s="1" t="s">
        <v>11648</v>
      </c>
      <c r="E3673" s="1" t="s">
        <v>209</v>
      </c>
      <c r="F3673" s="1" t="s">
        <v>5017</v>
      </c>
      <c r="G3673" s="1" t="s">
        <v>5018</v>
      </c>
      <c r="H3673" s="1">
        <v>0.1</v>
      </c>
      <c r="I3673" s="1">
        <v>0.1</v>
      </c>
      <c r="J3673" s="1">
        <v>0.54408893167937089</v>
      </c>
      <c r="K3673" s="1" t="s">
        <v>181</v>
      </c>
    </row>
    <row r="3674" spans="1:11" x14ac:dyDescent="0.25">
      <c r="A3674" s="1" t="s">
        <v>11649</v>
      </c>
      <c r="B3674" s="1" t="s">
        <v>11650</v>
      </c>
      <c r="D3674" s="1" t="s">
        <v>11651</v>
      </c>
      <c r="E3674" s="1" t="s">
        <v>209</v>
      </c>
      <c r="F3674" s="1" t="s">
        <v>5017</v>
      </c>
      <c r="G3674" s="1" t="s">
        <v>5018</v>
      </c>
      <c r="H3674" s="1">
        <v>0.1</v>
      </c>
      <c r="I3674" s="1">
        <v>0.1</v>
      </c>
      <c r="J3674" s="1">
        <v>0.50385239447408947</v>
      </c>
      <c r="K3674" s="1" t="s">
        <v>181</v>
      </c>
    </row>
    <row r="3675" spans="1:11" x14ac:dyDescent="0.25">
      <c r="A3675" s="1" t="s">
        <v>11652</v>
      </c>
      <c r="B3675" s="1" t="s">
        <v>11653</v>
      </c>
      <c r="D3675" s="1" t="s">
        <v>11654</v>
      </c>
      <c r="E3675" s="1" t="s">
        <v>209</v>
      </c>
      <c r="F3675" s="1" t="s">
        <v>5017</v>
      </c>
      <c r="G3675" s="1" t="s">
        <v>5018</v>
      </c>
      <c r="H3675" s="1">
        <v>0.1</v>
      </c>
      <c r="I3675" s="1">
        <v>0.1</v>
      </c>
      <c r="J3675" s="1">
        <v>0.66137550495836206</v>
      </c>
      <c r="K3675" s="1" t="s">
        <v>181</v>
      </c>
    </row>
    <row r="3676" spans="1:11" x14ac:dyDescent="0.25">
      <c r="A3676" s="1" t="s">
        <v>11655</v>
      </c>
      <c r="B3676" s="1" t="s">
        <v>11656</v>
      </c>
      <c r="D3676" s="1" t="s">
        <v>11657</v>
      </c>
      <c r="E3676" s="1" t="s">
        <v>209</v>
      </c>
      <c r="F3676" s="1" t="s">
        <v>5017</v>
      </c>
      <c r="G3676" s="1" t="s">
        <v>5018</v>
      </c>
      <c r="H3676" s="1">
        <v>0.1</v>
      </c>
      <c r="I3676" s="1">
        <v>0.1</v>
      </c>
      <c r="J3676" s="1">
        <v>0.74238177641580561</v>
      </c>
      <c r="K3676" s="1" t="s">
        <v>181</v>
      </c>
    </row>
    <row r="3677" spans="1:11" x14ac:dyDescent="0.25">
      <c r="A3677" s="1" t="s">
        <v>11658</v>
      </c>
      <c r="B3677" s="1" t="s">
        <v>11659</v>
      </c>
      <c r="D3677" s="1" t="s">
        <v>11660</v>
      </c>
      <c r="E3677" s="1" t="s">
        <v>209</v>
      </c>
      <c r="F3677" s="1" t="s">
        <v>5017</v>
      </c>
      <c r="G3677" s="1" t="s">
        <v>5018</v>
      </c>
      <c r="H3677" s="1">
        <v>0.1</v>
      </c>
      <c r="I3677" s="1">
        <v>0.1</v>
      </c>
      <c r="J3677" s="1">
        <v>0.845066525069747</v>
      </c>
      <c r="K3677" s="1" t="s">
        <v>181</v>
      </c>
    </row>
    <row r="3678" spans="1:11" x14ac:dyDescent="0.25">
      <c r="A3678" s="1" t="s">
        <v>116</v>
      </c>
      <c r="B3678" s="1" t="s">
        <v>11661</v>
      </c>
      <c r="D3678" s="1" t="s">
        <v>11662</v>
      </c>
      <c r="E3678" s="1" t="s">
        <v>209</v>
      </c>
      <c r="F3678" s="1" t="s">
        <v>5017</v>
      </c>
      <c r="G3678" s="1" t="s">
        <v>5018</v>
      </c>
      <c r="H3678" s="1">
        <v>0.1</v>
      </c>
      <c r="I3678" s="1">
        <v>0.1</v>
      </c>
      <c r="J3678" s="1">
        <v>0.61762782627733037</v>
      </c>
      <c r="K3678" s="1" t="s">
        <v>181</v>
      </c>
    </row>
    <row r="3679" spans="1:11" x14ac:dyDescent="0.25">
      <c r="A3679" s="1" t="s">
        <v>72</v>
      </c>
      <c r="B3679" s="1" t="s">
        <v>11663</v>
      </c>
      <c r="D3679" s="1" t="s">
        <v>11664</v>
      </c>
      <c r="E3679" s="1" t="s">
        <v>209</v>
      </c>
      <c r="F3679" s="1" t="s">
        <v>5017</v>
      </c>
      <c r="G3679" s="1" t="s">
        <v>5018</v>
      </c>
      <c r="H3679" s="1">
        <v>0.1</v>
      </c>
      <c r="I3679" s="1">
        <v>0.1</v>
      </c>
      <c r="J3679" s="1">
        <v>0.72258046303535584</v>
      </c>
      <c r="K3679" s="1" t="s">
        <v>181</v>
      </c>
    </row>
    <row r="3680" spans="1:11" x14ac:dyDescent="0.25">
      <c r="A3680" s="1" t="s">
        <v>11665</v>
      </c>
      <c r="B3680" s="1" t="s">
        <v>11666</v>
      </c>
      <c r="D3680" s="1" t="s">
        <v>11667</v>
      </c>
      <c r="E3680" s="1" t="s">
        <v>209</v>
      </c>
      <c r="F3680" s="1" t="s">
        <v>5017</v>
      </c>
      <c r="G3680" s="1" t="s">
        <v>5018</v>
      </c>
      <c r="H3680" s="1">
        <v>0.1</v>
      </c>
      <c r="I3680" s="1">
        <v>0.1</v>
      </c>
      <c r="J3680" s="1">
        <v>0.5683825355677623</v>
      </c>
      <c r="K3680" s="1" t="s">
        <v>181</v>
      </c>
    </row>
    <row r="3681" spans="1:11" x14ac:dyDescent="0.25">
      <c r="A3681" s="1" t="s">
        <v>11668</v>
      </c>
      <c r="B3681" s="1" t="s">
        <v>11669</v>
      </c>
      <c r="D3681" s="1" t="s">
        <v>11670</v>
      </c>
      <c r="E3681" s="1" t="s">
        <v>209</v>
      </c>
      <c r="F3681" s="1" t="s">
        <v>5017</v>
      </c>
      <c r="G3681" s="1" t="s">
        <v>5018</v>
      </c>
      <c r="H3681" s="1">
        <v>0.1</v>
      </c>
      <c r="I3681" s="1">
        <v>0.1</v>
      </c>
      <c r="J3681" s="1">
        <v>0.83048600880591694</v>
      </c>
      <c r="K3681" s="1" t="s">
        <v>181</v>
      </c>
    </row>
    <row r="3682" spans="1:11" x14ac:dyDescent="0.25">
      <c r="A3682" s="1" t="s">
        <v>11671</v>
      </c>
      <c r="B3682" s="1" t="s">
        <v>11672</v>
      </c>
      <c r="D3682" s="1" t="s">
        <v>11673</v>
      </c>
      <c r="E3682" s="1" t="s">
        <v>209</v>
      </c>
      <c r="F3682" s="1" t="s">
        <v>5017</v>
      </c>
      <c r="G3682" s="1" t="s">
        <v>5018</v>
      </c>
      <c r="H3682" s="1">
        <v>0.1</v>
      </c>
      <c r="I3682" s="1">
        <v>0.1</v>
      </c>
      <c r="J3682" s="1">
        <v>0.58505028533243475</v>
      </c>
      <c r="K3682" s="1" t="s">
        <v>181</v>
      </c>
    </row>
    <row r="3683" spans="1:11" x14ac:dyDescent="0.25">
      <c r="A3683" s="1" t="s">
        <v>11674</v>
      </c>
      <c r="B3683" s="1" t="s">
        <v>11675</v>
      </c>
      <c r="D3683" s="1" t="s">
        <v>11676</v>
      </c>
      <c r="E3683" s="1" t="s">
        <v>209</v>
      </c>
      <c r="F3683" s="1" t="s">
        <v>5017</v>
      </c>
      <c r="G3683" s="1" t="s">
        <v>5018</v>
      </c>
      <c r="H3683" s="1">
        <v>0.1</v>
      </c>
      <c r="I3683" s="1">
        <v>0.1</v>
      </c>
      <c r="J3683" s="1">
        <v>0.78782077257232885</v>
      </c>
      <c r="K3683" s="1" t="s">
        <v>181</v>
      </c>
    </row>
    <row r="3684" spans="1:11" x14ac:dyDescent="0.25">
      <c r="A3684" s="1" t="s">
        <v>11677</v>
      </c>
      <c r="B3684" s="1" t="s">
        <v>11678</v>
      </c>
      <c r="D3684" s="1" t="s">
        <v>11679</v>
      </c>
      <c r="E3684" s="1" t="s">
        <v>209</v>
      </c>
      <c r="F3684" s="1" t="s">
        <v>5017</v>
      </c>
      <c r="G3684" s="1" t="s">
        <v>5018</v>
      </c>
      <c r="H3684" s="1">
        <v>0.1</v>
      </c>
      <c r="I3684" s="1">
        <v>0.1</v>
      </c>
      <c r="J3684" s="1">
        <v>0.92087600103980183</v>
      </c>
      <c r="K3684" s="1" t="s">
        <v>181</v>
      </c>
    </row>
    <row r="3685" spans="1:11" x14ac:dyDescent="0.25">
      <c r="A3685" s="1" t="s">
        <v>11680</v>
      </c>
      <c r="B3685" s="1" t="s">
        <v>11681</v>
      </c>
      <c r="D3685" s="1" t="s">
        <v>11682</v>
      </c>
      <c r="E3685" s="1" t="s">
        <v>209</v>
      </c>
      <c r="F3685" s="1" t="s">
        <v>5017</v>
      </c>
      <c r="G3685" s="1" t="s">
        <v>5018</v>
      </c>
      <c r="H3685" s="1">
        <v>0.1</v>
      </c>
      <c r="I3685" s="1">
        <v>0.1</v>
      </c>
      <c r="J3685" s="1">
        <v>0.88980380266040093</v>
      </c>
      <c r="K3685" s="1" t="s">
        <v>181</v>
      </c>
    </row>
    <row r="3686" spans="1:11" x14ac:dyDescent="0.25">
      <c r="A3686" s="1" t="s">
        <v>11683</v>
      </c>
      <c r="B3686" s="1" t="s">
        <v>11684</v>
      </c>
      <c r="D3686" s="1" t="s">
        <v>11685</v>
      </c>
      <c r="E3686" s="1" t="s">
        <v>209</v>
      </c>
      <c r="F3686" s="1" t="s">
        <v>5017</v>
      </c>
      <c r="G3686" s="1" t="s">
        <v>5018</v>
      </c>
      <c r="H3686" s="1">
        <v>0.1</v>
      </c>
      <c r="I3686" s="1">
        <v>0.1</v>
      </c>
      <c r="J3686" s="1">
        <v>0.73644566247885834</v>
      </c>
      <c r="K3686" s="1" t="s">
        <v>181</v>
      </c>
    </row>
    <row r="3687" spans="1:11" x14ac:dyDescent="0.25">
      <c r="A3687" s="1" t="s">
        <v>11686</v>
      </c>
      <c r="B3687" s="1" t="s">
        <v>11687</v>
      </c>
      <c r="D3687" s="1" t="s">
        <v>11688</v>
      </c>
      <c r="E3687" s="1" t="s">
        <v>209</v>
      </c>
      <c r="F3687" s="1" t="s">
        <v>5017</v>
      </c>
      <c r="G3687" s="1" t="s">
        <v>5018</v>
      </c>
      <c r="H3687" s="1">
        <v>0.1</v>
      </c>
      <c r="I3687" s="1">
        <v>0.1</v>
      </c>
      <c r="J3687" s="1">
        <v>0.82740986649358728</v>
      </c>
      <c r="K3687" s="1" t="s">
        <v>181</v>
      </c>
    </row>
    <row r="3688" spans="1:11" x14ac:dyDescent="0.25">
      <c r="A3688" s="1" t="s">
        <v>11689</v>
      </c>
      <c r="B3688" s="1" t="s">
        <v>11690</v>
      </c>
      <c r="D3688" s="1" t="s">
        <v>11691</v>
      </c>
      <c r="E3688" s="1" t="s">
        <v>209</v>
      </c>
      <c r="F3688" s="1" t="s">
        <v>5017</v>
      </c>
      <c r="G3688" s="1" t="s">
        <v>5018</v>
      </c>
      <c r="H3688" s="1">
        <v>0.1</v>
      </c>
      <c r="I3688" s="1">
        <v>0.1</v>
      </c>
      <c r="J3688" s="1">
        <v>0.64391960142435734</v>
      </c>
      <c r="K3688" s="1" t="s">
        <v>181</v>
      </c>
    </row>
    <row r="3689" spans="1:11" x14ac:dyDescent="0.25">
      <c r="A3689" s="1" t="s">
        <v>11692</v>
      </c>
      <c r="B3689" s="1" t="s">
        <v>11693</v>
      </c>
      <c r="D3689" s="1" t="s">
        <v>11694</v>
      </c>
      <c r="E3689" s="1" t="s">
        <v>209</v>
      </c>
      <c r="F3689" s="1" t="s">
        <v>5017</v>
      </c>
      <c r="G3689" s="1" t="s">
        <v>5018</v>
      </c>
      <c r="H3689" s="1">
        <v>0.1</v>
      </c>
      <c r="I3689" s="1">
        <v>0.1</v>
      </c>
      <c r="J3689" s="1">
        <v>0.61868855806479506</v>
      </c>
      <c r="K3689" s="1" t="s">
        <v>181</v>
      </c>
    </row>
    <row r="3690" spans="1:11" x14ac:dyDescent="0.25">
      <c r="A3690" s="1" t="s">
        <v>11695</v>
      </c>
      <c r="B3690" s="1" t="s">
        <v>11696</v>
      </c>
      <c r="D3690" s="1" t="s">
        <v>11697</v>
      </c>
      <c r="E3690" s="1" t="s">
        <v>209</v>
      </c>
      <c r="F3690" s="1" t="s">
        <v>5017</v>
      </c>
      <c r="G3690" s="1" t="s">
        <v>5018</v>
      </c>
      <c r="H3690" s="1">
        <v>0.1</v>
      </c>
      <c r="I3690" s="1">
        <v>0.1</v>
      </c>
      <c r="J3690" s="1">
        <v>0.59751926476741457</v>
      </c>
      <c r="K3690" s="1" t="s">
        <v>181</v>
      </c>
    </row>
    <row r="3691" spans="1:11" x14ac:dyDescent="0.25">
      <c r="A3691" s="1" t="s">
        <v>11698</v>
      </c>
      <c r="B3691" s="1" t="s">
        <v>11699</v>
      </c>
      <c r="D3691" s="1" t="s">
        <v>11700</v>
      </c>
      <c r="E3691" s="1" t="s">
        <v>209</v>
      </c>
      <c r="F3691" s="1" t="s">
        <v>5017</v>
      </c>
      <c r="G3691" s="1" t="s">
        <v>5018</v>
      </c>
      <c r="H3691" s="1">
        <v>0.1</v>
      </c>
      <c r="I3691" s="1">
        <v>0.1</v>
      </c>
      <c r="J3691" s="1">
        <v>0.46014361852608604</v>
      </c>
      <c r="K3691" s="1" t="s">
        <v>181</v>
      </c>
    </row>
    <row r="3692" spans="1:11" x14ac:dyDescent="0.25">
      <c r="A3692" s="1" t="s">
        <v>11701</v>
      </c>
      <c r="B3692" s="1" t="s">
        <v>11702</v>
      </c>
      <c r="D3692" s="1" t="s">
        <v>11703</v>
      </c>
      <c r="E3692" s="1" t="s">
        <v>209</v>
      </c>
      <c r="F3692" s="1" t="s">
        <v>5017</v>
      </c>
      <c r="G3692" s="1" t="s">
        <v>5018</v>
      </c>
      <c r="H3692" s="1">
        <v>0.1</v>
      </c>
      <c r="I3692" s="1">
        <v>0.1</v>
      </c>
      <c r="J3692" s="1">
        <v>0.71526607851334123</v>
      </c>
      <c r="K3692" s="1" t="s">
        <v>181</v>
      </c>
    </row>
    <row r="3693" spans="1:11" x14ac:dyDescent="0.25">
      <c r="A3693" s="1" t="s">
        <v>11704</v>
      </c>
      <c r="B3693" s="1" t="s">
        <v>11705</v>
      </c>
      <c r="D3693" s="1" t="s">
        <v>11706</v>
      </c>
      <c r="E3693" s="1" t="s">
        <v>209</v>
      </c>
      <c r="F3693" s="1" t="s">
        <v>5017</v>
      </c>
      <c r="G3693" s="1" t="s">
        <v>5018</v>
      </c>
      <c r="H3693" s="1">
        <v>0.1</v>
      </c>
      <c r="I3693" s="1">
        <v>0.1</v>
      </c>
      <c r="J3693" s="1">
        <v>1.1696737595235382</v>
      </c>
      <c r="K3693" s="1" t="s">
        <v>181</v>
      </c>
    </row>
    <row r="3694" spans="1:11" x14ac:dyDescent="0.25">
      <c r="A3694" s="1" t="s">
        <v>11707</v>
      </c>
      <c r="B3694" s="1" t="s">
        <v>11708</v>
      </c>
      <c r="D3694" s="1" t="s">
        <v>11709</v>
      </c>
      <c r="E3694" s="1" t="s">
        <v>209</v>
      </c>
      <c r="F3694" s="1" t="s">
        <v>5017</v>
      </c>
      <c r="G3694" s="1" t="s">
        <v>5018</v>
      </c>
      <c r="H3694" s="1">
        <v>0.1</v>
      </c>
      <c r="I3694" s="1">
        <v>0.1</v>
      </c>
      <c r="J3694" s="1">
        <v>0.85824051192208162</v>
      </c>
      <c r="K3694" s="1" t="s">
        <v>181</v>
      </c>
    </row>
    <row r="3695" spans="1:11" x14ac:dyDescent="0.25">
      <c r="A3695" s="1" t="s">
        <v>11710</v>
      </c>
      <c r="B3695" s="1" t="s">
        <v>11711</v>
      </c>
      <c r="D3695" s="1" t="s">
        <v>11712</v>
      </c>
      <c r="E3695" s="1" t="s">
        <v>209</v>
      </c>
      <c r="F3695" s="1" t="s">
        <v>5017</v>
      </c>
      <c r="G3695" s="1" t="s">
        <v>5018</v>
      </c>
      <c r="H3695" s="1">
        <v>0.1</v>
      </c>
      <c r="I3695" s="1">
        <v>0.1</v>
      </c>
      <c r="J3695" s="1">
        <v>0.63290795080893503</v>
      </c>
      <c r="K3695" s="1" t="s">
        <v>181</v>
      </c>
    </row>
    <row r="3696" spans="1:11" x14ac:dyDescent="0.25">
      <c r="A3696" s="1" t="s">
        <v>11713</v>
      </c>
      <c r="B3696" s="1" t="s">
        <v>11714</v>
      </c>
      <c r="D3696" s="1" t="s">
        <v>11715</v>
      </c>
      <c r="E3696" s="1" t="s">
        <v>209</v>
      </c>
      <c r="F3696" s="1" t="s">
        <v>5017</v>
      </c>
      <c r="G3696" s="1" t="s">
        <v>5018</v>
      </c>
      <c r="H3696" s="1">
        <v>0.1</v>
      </c>
      <c r="I3696" s="1">
        <v>0.1</v>
      </c>
      <c r="J3696" s="1">
        <v>0.82476794080713201</v>
      </c>
      <c r="K3696" s="1" t="s">
        <v>181</v>
      </c>
    </row>
    <row r="3697" spans="1:11" x14ac:dyDescent="0.25">
      <c r="A3697" s="1" t="s">
        <v>91</v>
      </c>
      <c r="B3697" s="1" t="s">
        <v>11716</v>
      </c>
      <c r="D3697" s="1" t="s">
        <v>11717</v>
      </c>
      <c r="E3697" s="1" t="s">
        <v>209</v>
      </c>
      <c r="F3697" s="1" t="s">
        <v>5017</v>
      </c>
      <c r="G3697" s="1" t="s">
        <v>5018</v>
      </c>
      <c r="H3697" s="1">
        <v>0.1</v>
      </c>
      <c r="I3697" s="1">
        <v>0.1</v>
      </c>
      <c r="J3697" s="1">
        <v>0.85194058125700756</v>
      </c>
      <c r="K3697" s="1" t="s">
        <v>181</v>
      </c>
    </row>
    <row r="3698" spans="1:11" x14ac:dyDescent="0.25">
      <c r="A3698" s="1" t="s">
        <v>11718</v>
      </c>
      <c r="B3698" s="1" t="s">
        <v>11719</v>
      </c>
      <c r="D3698" s="1" t="s">
        <v>11720</v>
      </c>
      <c r="E3698" s="1" t="s">
        <v>209</v>
      </c>
      <c r="F3698" s="1" t="s">
        <v>5017</v>
      </c>
      <c r="G3698" s="1" t="s">
        <v>5018</v>
      </c>
      <c r="H3698" s="1">
        <v>0.1</v>
      </c>
      <c r="I3698" s="1">
        <v>0.1</v>
      </c>
      <c r="J3698" s="1">
        <v>0.75951176688530653</v>
      </c>
      <c r="K3698" s="1" t="s">
        <v>181</v>
      </c>
    </row>
    <row r="3699" spans="1:11" x14ac:dyDescent="0.25">
      <c r="A3699" s="1" t="s">
        <v>11721</v>
      </c>
      <c r="B3699" s="1" t="s">
        <v>11722</v>
      </c>
      <c r="D3699" s="1" t="s">
        <v>11723</v>
      </c>
      <c r="E3699" s="1" t="s">
        <v>209</v>
      </c>
      <c r="F3699" s="1" t="s">
        <v>5017</v>
      </c>
      <c r="G3699" s="1" t="s">
        <v>5018</v>
      </c>
      <c r="H3699" s="1">
        <v>0.1</v>
      </c>
      <c r="I3699" s="1">
        <v>0.1</v>
      </c>
      <c r="J3699" s="1">
        <v>0.64603707535700305</v>
      </c>
      <c r="K3699" s="1" t="s">
        <v>181</v>
      </c>
    </row>
    <row r="3700" spans="1:11" x14ac:dyDescent="0.25">
      <c r="A3700" s="1" t="s">
        <v>11724</v>
      </c>
      <c r="B3700" s="1" t="s">
        <v>11725</v>
      </c>
      <c r="D3700" s="1" t="s">
        <v>11726</v>
      </c>
      <c r="E3700" s="1" t="s">
        <v>209</v>
      </c>
      <c r="F3700" s="1" t="s">
        <v>5017</v>
      </c>
      <c r="G3700" s="1" t="s">
        <v>5018</v>
      </c>
      <c r="H3700" s="1">
        <v>0.1</v>
      </c>
      <c r="I3700" s="1">
        <v>0.1</v>
      </c>
      <c r="J3700" s="1">
        <v>0.85134406776661864</v>
      </c>
      <c r="K3700" s="1" t="s">
        <v>181</v>
      </c>
    </row>
    <row r="3701" spans="1:11" x14ac:dyDescent="0.25">
      <c r="A3701" s="1" t="s">
        <v>11727</v>
      </c>
      <c r="B3701" s="1" t="s">
        <v>11728</v>
      </c>
      <c r="D3701" s="1" t="s">
        <v>11729</v>
      </c>
      <c r="E3701" s="1" t="s">
        <v>209</v>
      </c>
      <c r="F3701" s="1" t="s">
        <v>5017</v>
      </c>
      <c r="G3701" s="1" t="s">
        <v>5018</v>
      </c>
      <c r="H3701" s="1">
        <v>0.1</v>
      </c>
      <c r="I3701" s="1">
        <v>0.1</v>
      </c>
      <c r="J3701" s="1">
        <v>0.7569702160923486</v>
      </c>
      <c r="K3701" s="1" t="s">
        <v>181</v>
      </c>
    </row>
    <row r="3702" spans="1:11" x14ac:dyDescent="0.25">
      <c r="A3702" s="1" t="s">
        <v>11730</v>
      </c>
      <c r="B3702" s="1" t="s">
        <v>11731</v>
      </c>
      <c r="D3702" s="1" t="s">
        <v>11732</v>
      </c>
      <c r="E3702" s="1" t="s">
        <v>209</v>
      </c>
      <c r="F3702" s="1" t="s">
        <v>5017</v>
      </c>
      <c r="G3702" s="1" t="s">
        <v>5018</v>
      </c>
      <c r="H3702" s="1">
        <v>0.1</v>
      </c>
      <c r="I3702" s="1">
        <v>0.1</v>
      </c>
      <c r="J3702" s="1">
        <v>0.85887218638606133</v>
      </c>
      <c r="K3702" s="1" t="s">
        <v>181</v>
      </c>
    </row>
    <row r="3703" spans="1:11" x14ac:dyDescent="0.25">
      <c r="A3703" s="1" t="s">
        <v>11733</v>
      </c>
      <c r="B3703" s="1" t="s">
        <v>11734</v>
      </c>
      <c r="D3703" s="1" t="s">
        <v>11735</v>
      </c>
      <c r="E3703" s="1" t="s">
        <v>209</v>
      </c>
      <c r="F3703" s="1" t="s">
        <v>5017</v>
      </c>
      <c r="G3703" s="1" t="s">
        <v>5018</v>
      </c>
      <c r="H3703" s="1">
        <v>0.1</v>
      </c>
      <c r="I3703" s="1">
        <v>0.1</v>
      </c>
      <c r="J3703" s="1">
        <v>0.71764215236091944</v>
      </c>
      <c r="K3703" s="1" t="s">
        <v>181</v>
      </c>
    </row>
    <row r="3704" spans="1:11" x14ac:dyDescent="0.25">
      <c r="A3704" s="1" t="s">
        <v>11736</v>
      </c>
      <c r="B3704" s="1" t="s">
        <v>11737</v>
      </c>
      <c r="D3704" s="1" t="s">
        <v>11738</v>
      </c>
      <c r="E3704" s="1" t="s">
        <v>209</v>
      </c>
      <c r="F3704" s="1" t="s">
        <v>5017</v>
      </c>
      <c r="G3704" s="1" t="s">
        <v>5018</v>
      </c>
      <c r="H3704" s="1">
        <v>0.1</v>
      </c>
      <c r="I3704" s="1">
        <v>0.1</v>
      </c>
      <c r="J3704" s="1">
        <v>0.70345624016403752</v>
      </c>
      <c r="K3704" s="1" t="s">
        <v>181</v>
      </c>
    </row>
    <row r="3705" spans="1:11" x14ac:dyDescent="0.25">
      <c r="A3705" s="1" t="s">
        <v>11739</v>
      </c>
      <c r="B3705" s="1" t="s">
        <v>11740</v>
      </c>
      <c r="D3705" s="1" t="s">
        <v>11741</v>
      </c>
      <c r="E3705" s="1" t="s">
        <v>209</v>
      </c>
      <c r="F3705" s="1" t="s">
        <v>5017</v>
      </c>
      <c r="G3705" s="1" t="s">
        <v>5018</v>
      </c>
      <c r="H3705" s="1">
        <v>0.1</v>
      </c>
      <c r="I3705" s="1">
        <v>0.1</v>
      </c>
      <c r="J3705" s="1">
        <v>0.79758684448234496</v>
      </c>
      <c r="K3705" s="1" t="s">
        <v>181</v>
      </c>
    </row>
    <row r="3706" spans="1:11" x14ac:dyDescent="0.25">
      <c r="A3706" s="1" t="s">
        <v>11742</v>
      </c>
      <c r="B3706" s="1" t="s">
        <v>11743</v>
      </c>
      <c r="D3706" s="1" t="s">
        <v>11744</v>
      </c>
      <c r="E3706" s="1" t="s">
        <v>209</v>
      </c>
      <c r="F3706" s="1" t="s">
        <v>5017</v>
      </c>
      <c r="G3706" s="1" t="s">
        <v>5018</v>
      </c>
      <c r="H3706" s="1">
        <v>0.1</v>
      </c>
      <c r="I3706" s="1">
        <v>0.1</v>
      </c>
      <c r="J3706" s="1">
        <v>0.74655523123753376</v>
      </c>
      <c r="K3706" s="1" t="s">
        <v>181</v>
      </c>
    </row>
    <row r="3707" spans="1:11" x14ac:dyDescent="0.25">
      <c r="A3707" s="1" t="s">
        <v>11745</v>
      </c>
      <c r="B3707" s="1" t="s">
        <v>11746</v>
      </c>
      <c r="D3707" s="1" t="s">
        <v>11747</v>
      </c>
      <c r="E3707" s="1" t="s">
        <v>209</v>
      </c>
      <c r="F3707" s="1" t="s">
        <v>5017</v>
      </c>
      <c r="G3707" s="1" t="s">
        <v>5018</v>
      </c>
      <c r="H3707" s="1">
        <v>0.1</v>
      </c>
      <c r="I3707" s="1">
        <v>0.1</v>
      </c>
      <c r="J3707" s="1">
        <v>0.81852956001361576</v>
      </c>
      <c r="K3707" s="1" t="s">
        <v>181</v>
      </c>
    </row>
    <row r="3708" spans="1:11" x14ac:dyDescent="0.25">
      <c r="A3708" s="1" t="s">
        <v>11748</v>
      </c>
      <c r="B3708" s="1" t="s">
        <v>11749</v>
      </c>
      <c r="D3708" s="1" t="s">
        <v>11750</v>
      </c>
      <c r="E3708" s="1" t="s">
        <v>209</v>
      </c>
      <c r="F3708" s="1" t="s">
        <v>5017</v>
      </c>
      <c r="G3708" s="1" t="s">
        <v>5018</v>
      </c>
      <c r="H3708" s="1">
        <v>0.1</v>
      </c>
      <c r="I3708" s="1">
        <v>0.1</v>
      </c>
      <c r="J3708" s="1">
        <v>0.8980898038315801</v>
      </c>
      <c r="K3708" s="1" t="s">
        <v>181</v>
      </c>
    </row>
    <row r="3709" spans="1:11" x14ac:dyDescent="0.25">
      <c r="A3709" s="1" t="s">
        <v>11751</v>
      </c>
      <c r="B3709" s="1" t="s">
        <v>11752</v>
      </c>
      <c r="D3709" s="1" t="s">
        <v>11753</v>
      </c>
      <c r="E3709" s="1" t="s">
        <v>209</v>
      </c>
      <c r="F3709" s="1" t="s">
        <v>5017</v>
      </c>
      <c r="G3709" s="1" t="s">
        <v>5018</v>
      </c>
      <c r="H3709" s="1">
        <v>0.1</v>
      </c>
      <c r="I3709" s="1">
        <v>0.1</v>
      </c>
      <c r="J3709" s="1">
        <v>0.48092748511039934</v>
      </c>
      <c r="K3709" s="1" t="s">
        <v>181</v>
      </c>
    </row>
    <row r="3710" spans="1:11" x14ac:dyDescent="0.25">
      <c r="A3710" s="1" t="s">
        <v>11754</v>
      </c>
      <c r="B3710" s="1" t="s">
        <v>11755</v>
      </c>
      <c r="D3710" s="1" t="s">
        <v>11756</v>
      </c>
      <c r="E3710" s="1" t="s">
        <v>209</v>
      </c>
      <c r="F3710" s="1" t="s">
        <v>5017</v>
      </c>
      <c r="G3710" s="1" t="s">
        <v>5018</v>
      </c>
      <c r="H3710" s="1">
        <v>0.1</v>
      </c>
      <c r="I3710" s="1">
        <v>0.1</v>
      </c>
      <c r="J3710" s="1">
        <v>0.47899807297425251</v>
      </c>
      <c r="K3710" s="1" t="s">
        <v>181</v>
      </c>
    </row>
    <row r="3711" spans="1:11" x14ac:dyDescent="0.25">
      <c r="A3711" s="1" t="s">
        <v>11757</v>
      </c>
      <c r="B3711" s="1" t="s">
        <v>11758</v>
      </c>
      <c r="D3711" s="1" t="s">
        <v>11759</v>
      </c>
      <c r="E3711" s="1" t="s">
        <v>209</v>
      </c>
      <c r="F3711" s="1" t="s">
        <v>5017</v>
      </c>
      <c r="G3711" s="1" t="s">
        <v>5018</v>
      </c>
      <c r="H3711" s="1">
        <v>0.1</v>
      </c>
      <c r="I3711" s="1">
        <v>0.1</v>
      </c>
      <c r="J3711" s="1">
        <v>0.66858158823567237</v>
      </c>
      <c r="K3711" s="1" t="s">
        <v>181</v>
      </c>
    </row>
    <row r="3712" spans="1:11" x14ac:dyDescent="0.25">
      <c r="A3712" s="1" t="s">
        <v>11760</v>
      </c>
      <c r="B3712" s="1" t="s">
        <v>11761</v>
      </c>
      <c r="D3712" s="1" t="s">
        <v>11762</v>
      </c>
      <c r="E3712" s="1" t="s">
        <v>209</v>
      </c>
      <c r="F3712" s="1" t="s">
        <v>5017</v>
      </c>
      <c r="G3712" s="1" t="s">
        <v>5018</v>
      </c>
      <c r="H3712" s="1">
        <v>0.1</v>
      </c>
      <c r="I3712" s="1">
        <v>0.1</v>
      </c>
      <c r="J3712" s="1">
        <v>0.61398786010149009</v>
      </c>
      <c r="K3712" s="1" t="s">
        <v>181</v>
      </c>
    </row>
    <row r="3713" spans="1:11" x14ac:dyDescent="0.25">
      <c r="A3713" s="1" t="s">
        <v>11763</v>
      </c>
      <c r="B3713" s="1" t="s">
        <v>11764</v>
      </c>
      <c r="D3713" s="1" t="s">
        <v>11765</v>
      </c>
      <c r="E3713" s="1" t="s">
        <v>209</v>
      </c>
      <c r="F3713" s="1" t="s">
        <v>5017</v>
      </c>
      <c r="G3713" s="1" t="s">
        <v>5018</v>
      </c>
      <c r="H3713" s="1">
        <v>0.1</v>
      </c>
      <c r="I3713" s="1">
        <v>0.1</v>
      </c>
      <c r="J3713" s="1">
        <v>0.72363579341907414</v>
      </c>
      <c r="K3713" s="1" t="s">
        <v>181</v>
      </c>
    </row>
    <row r="3714" spans="1:11" x14ac:dyDescent="0.25">
      <c r="A3714" s="1" t="s">
        <v>11766</v>
      </c>
      <c r="B3714" s="1" t="s">
        <v>11767</v>
      </c>
      <c r="D3714" s="1" t="s">
        <v>11768</v>
      </c>
      <c r="E3714" s="1" t="s">
        <v>209</v>
      </c>
      <c r="F3714" s="1" t="s">
        <v>5017</v>
      </c>
      <c r="G3714" s="1" t="s">
        <v>5018</v>
      </c>
      <c r="H3714" s="1">
        <v>0.1</v>
      </c>
      <c r="I3714" s="1">
        <v>0.1</v>
      </c>
      <c r="J3714" s="1">
        <v>0.52456629809806454</v>
      </c>
      <c r="K3714" s="1" t="s">
        <v>181</v>
      </c>
    </row>
    <row r="3715" spans="1:11" x14ac:dyDescent="0.25">
      <c r="A3715" s="1" t="s">
        <v>11769</v>
      </c>
      <c r="B3715" s="1" t="s">
        <v>11770</v>
      </c>
      <c r="D3715" s="1" t="s">
        <v>11771</v>
      </c>
      <c r="E3715" s="1" t="s">
        <v>209</v>
      </c>
      <c r="F3715" s="1" t="s">
        <v>5017</v>
      </c>
      <c r="G3715" s="1" t="s">
        <v>5018</v>
      </c>
      <c r="H3715" s="1">
        <v>0.1</v>
      </c>
      <c r="I3715" s="1">
        <v>0.1</v>
      </c>
      <c r="J3715" s="1">
        <v>0.83875408765738668</v>
      </c>
      <c r="K3715" s="1" t="s">
        <v>181</v>
      </c>
    </row>
    <row r="3716" spans="1:11" x14ac:dyDescent="0.25">
      <c r="A3716" s="1" t="s">
        <v>11772</v>
      </c>
      <c r="B3716" s="1" t="s">
        <v>11773</v>
      </c>
      <c r="D3716" s="1" t="s">
        <v>11774</v>
      </c>
      <c r="E3716" s="1" t="s">
        <v>209</v>
      </c>
      <c r="F3716" s="1" t="s">
        <v>5017</v>
      </c>
      <c r="G3716" s="1" t="s">
        <v>5018</v>
      </c>
      <c r="H3716" s="1">
        <v>0.1</v>
      </c>
      <c r="I3716" s="1">
        <v>0.1</v>
      </c>
      <c r="J3716" s="1">
        <v>0.68756446521116588</v>
      </c>
      <c r="K3716" s="1" t="s">
        <v>181</v>
      </c>
    </row>
    <row r="3717" spans="1:11" x14ac:dyDescent="0.25">
      <c r="A3717" s="1" t="s">
        <v>11775</v>
      </c>
      <c r="B3717" s="1" t="s">
        <v>11776</v>
      </c>
      <c r="D3717" s="1" t="s">
        <v>11777</v>
      </c>
      <c r="E3717" s="1" t="s">
        <v>209</v>
      </c>
      <c r="F3717" s="1" t="s">
        <v>5017</v>
      </c>
      <c r="G3717" s="1" t="s">
        <v>5018</v>
      </c>
      <c r="H3717" s="1">
        <v>0.1</v>
      </c>
      <c r="I3717" s="1">
        <v>0.1</v>
      </c>
      <c r="J3717" s="1">
        <v>0.67197505561140514</v>
      </c>
      <c r="K3717" s="1" t="s">
        <v>181</v>
      </c>
    </row>
    <row r="3718" spans="1:11" x14ac:dyDescent="0.25">
      <c r="A3718" s="1" t="s">
        <v>11778</v>
      </c>
      <c r="B3718" s="1" t="s">
        <v>11779</v>
      </c>
      <c r="D3718" s="1" t="s">
        <v>11780</v>
      </c>
      <c r="E3718" s="1" t="s">
        <v>209</v>
      </c>
      <c r="F3718" s="1" t="s">
        <v>5017</v>
      </c>
      <c r="G3718" s="1" t="s">
        <v>5018</v>
      </c>
      <c r="H3718" s="1">
        <v>0.1</v>
      </c>
      <c r="I3718" s="1">
        <v>0.1</v>
      </c>
      <c r="J3718" s="1">
        <v>0.64578758141856629</v>
      </c>
      <c r="K3718" s="1" t="s">
        <v>181</v>
      </c>
    </row>
    <row r="3719" spans="1:11" x14ac:dyDescent="0.25">
      <c r="A3719" s="1" t="s">
        <v>11781</v>
      </c>
      <c r="B3719" s="1" t="s">
        <v>11782</v>
      </c>
      <c r="D3719" s="1" t="s">
        <v>11783</v>
      </c>
      <c r="E3719" s="1" t="s">
        <v>209</v>
      </c>
      <c r="F3719" s="1" t="s">
        <v>5017</v>
      </c>
      <c r="G3719" s="1" t="s">
        <v>5018</v>
      </c>
      <c r="H3719" s="1">
        <v>0.1</v>
      </c>
      <c r="I3719" s="1">
        <v>0.1</v>
      </c>
      <c r="J3719" s="1">
        <v>0.83538840662857949</v>
      </c>
      <c r="K3719" s="1" t="s">
        <v>181</v>
      </c>
    </row>
    <row r="3720" spans="1:11" x14ac:dyDescent="0.25">
      <c r="A3720" s="1" t="s">
        <v>11784</v>
      </c>
      <c r="B3720" s="1" t="s">
        <v>11785</v>
      </c>
      <c r="D3720" s="1" t="s">
        <v>11786</v>
      </c>
      <c r="E3720" s="1" t="s">
        <v>209</v>
      </c>
      <c r="F3720" s="1" t="s">
        <v>5017</v>
      </c>
      <c r="G3720" s="1" t="s">
        <v>5018</v>
      </c>
      <c r="H3720" s="1">
        <v>0.1</v>
      </c>
      <c r="I3720" s="1">
        <v>0.1</v>
      </c>
      <c r="J3720" s="1">
        <v>0.79370815545845597</v>
      </c>
      <c r="K3720" s="1" t="s">
        <v>181</v>
      </c>
    </row>
    <row r="3721" spans="1:11" x14ac:dyDescent="0.25">
      <c r="A3721" s="1" t="s">
        <v>11787</v>
      </c>
      <c r="B3721" s="1" t="s">
        <v>11788</v>
      </c>
      <c r="D3721" s="1" t="s">
        <v>11789</v>
      </c>
      <c r="E3721" s="1" t="s">
        <v>209</v>
      </c>
      <c r="F3721" s="1" t="s">
        <v>5017</v>
      </c>
      <c r="G3721" s="1" t="s">
        <v>5018</v>
      </c>
      <c r="H3721" s="1">
        <v>0.1</v>
      </c>
      <c r="I3721" s="1">
        <v>0.1</v>
      </c>
      <c r="J3721" s="1">
        <v>0.68708129318117861</v>
      </c>
      <c r="K3721" s="1" t="s">
        <v>181</v>
      </c>
    </row>
    <row r="3722" spans="1:11" x14ac:dyDescent="0.25">
      <c r="A3722" s="1" t="s">
        <v>30</v>
      </c>
      <c r="B3722" s="1" t="s">
        <v>11790</v>
      </c>
      <c r="D3722" s="1" t="s">
        <v>11791</v>
      </c>
      <c r="E3722" s="1" t="s">
        <v>209</v>
      </c>
      <c r="F3722" s="1" t="s">
        <v>5017</v>
      </c>
      <c r="G3722" s="1" t="s">
        <v>5018</v>
      </c>
      <c r="H3722" s="1">
        <v>0.1</v>
      </c>
      <c r="I3722" s="1">
        <v>0.1</v>
      </c>
      <c r="J3722" s="1">
        <v>0.90396973781283085</v>
      </c>
      <c r="K3722" s="1" t="s">
        <v>181</v>
      </c>
    </row>
    <row r="3723" spans="1:11" x14ac:dyDescent="0.25">
      <c r="A3723" s="1" t="s">
        <v>11792</v>
      </c>
      <c r="B3723" s="1" t="s">
        <v>11793</v>
      </c>
      <c r="D3723" s="1" t="s">
        <v>11794</v>
      </c>
      <c r="E3723" s="1" t="s">
        <v>209</v>
      </c>
      <c r="F3723" s="1" t="s">
        <v>5017</v>
      </c>
      <c r="G3723" s="1" t="s">
        <v>5018</v>
      </c>
      <c r="H3723" s="1">
        <v>0.1</v>
      </c>
      <c r="I3723" s="1">
        <v>0.1</v>
      </c>
      <c r="J3723" s="1">
        <v>0.89415991231591752</v>
      </c>
      <c r="K3723" s="1" t="s">
        <v>181</v>
      </c>
    </row>
    <row r="3724" spans="1:11" x14ac:dyDescent="0.25">
      <c r="A3724" s="1" t="s">
        <v>11795</v>
      </c>
      <c r="B3724" s="1" t="s">
        <v>11796</v>
      </c>
      <c r="D3724" s="1" t="s">
        <v>11797</v>
      </c>
      <c r="E3724" s="1" t="s">
        <v>209</v>
      </c>
      <c r="F3724" s="1" t="s">
        <v>5017</v>
      </c>
      <c r="G3724" s="1" t="s">
        <v>5018</v>
      </c>
      <c r="H3724" s="1">
        <v>0.1</v>
      </c>
      <c r="I3724" s="1">
        <v>0.1</v>
      </c>
      <c r="J3724" s="1">
        <v>0.86325134474568777</v>
      </c>
      <c r="K3724" s="1" t="s">
        <v>181</v>
      </c>
    </row>
    <row r="3725" spans="1:11" x14ac:dyDescent="0.25">
      <c r="A3725" s="1" t="s">
        <v>11798</v>
      </c>
      <c r="B3725" s="1" t="s">
        <v>11799</v>
      </c>
      <c r="D3725" s="1" t="s">
        <v>11800</v>
      </c>
      <c r="E3725" s="1" t="s">
        <v>209</v>
      </c>
      <c r="F3725" s="1" t="s">
        <v>5017</v>
      </c>
      <c r="G3725" s="1" t="s">
        <v>5018</v>
      </c>
      <c r="H3725" s="1">
        <v>0.1</v>
      </c>
      <c r="I3725" s="1">
        <v>0.1</v>
      </c>
      <c r="J3725" s="1">
        <v>0.90145732864645267</v>
      </c>
      <c r="K3725" s="1" t="s">
        <v>181</v>
      </c>
    </row>
    <row r="3726" spans="1:11" x14ac:dyDescent="0.25">
      <c r="A3726" s="1" t="s">
        <v>11801</v>
      </c>
      <c r="B3726" s="1" t="s">
        <v>11802</v>
      </c>
      <c r="D3726" s="1" t="s">
        <v>11803</v>
      </c>
      <c r="E3726" s="1" t="s">
        <v>209</v>
      </c>
      <c r="F3726" s="1" t="s">
        <v>5017</v>
      </c>
      <c r="G3726" s="1" t="s">
        <v>5018</v>
      </c>
      <c r="H3726" s="1">
        <v>0.1</v>
      </c>
      <c r="I3726" s="1">
        <v>0.1</v>
      </c>
      <c r="J3726" s="1">
        <v>0.6168213480714928</v>
      </c>
      <c r="K3726" s="1" t="s">
        <v>181</v>
      </c>
    </row>
    <row r="3727" spans="1:11" x14ac:dyDescent="0.25">
      <c r="A3727" s="1" t="s">
        <v>11804</v>
      </c>
      <c r="B3727" s="1" t="s">
        <v>11805</v>
      </c>
      <c r="D3727" s="1" t="s">
        <v>11806</v>
      </c>
      <c r="E3727" s="1" t="s">
        <v>209</v>
      </c>
      <c r="F3727" s="1" t="s">
        <v>5017</v>
      </c>
      <c r="G3727" s="1" t="s">
        <v>5018</v>
      </c>
      <c r="H3727" s="1">
        <v>0.1</v>
      </c>
      <c r="I3727" s="1">
        <v>0.1</v>
      </c>
      <c r="J3727" s="1">
        <v>0.87447268748948781</v>
      </c>
      <c r="K3727" s="1" t="s">
        <v>181</v>
      </c>
    </row>
    <row r="3728" spans="1:11" x14ac:dyDescent="0.25">
      <c r="A3728" s="1" t="s">
        <v>92</v>
      </c>
      <c r="B3728" s="1" t="s">
        <v>11807</v>
      </c>
      <c r="D3728" s="1" t="s">
        <v>11808</v>
      </c>
      <c r="E3728" s="1" t="s">
        <v>209</v>
      </c>
      <c r="F3728" s="1" t="s">
        <v>5017</v>
      </c>
      <c r="G3728" s="1" t="s">
        <v>5018</v>
      </c>
      <c r="H3728" s="1">
        <v>0.1</v>
      </c>
      <c r="I3728" s="1">
        <v>0.1</v>
      </c>
      <c r="J3728" s="1">
        <v>0.8356107379622516</v>
      </c>
      <c r="K3728" s="1" t="s">
        <v>181</v>
      </c>
    </row>
    <row r="3729" spans="1:11" x14ac:dyDescent="0.25">
      <c r="A3729" s="1" t="s">
        <v>11809</v>
      </c>
      <c r="B3729" s="1" t="s">
        <v>11810</v>
      </c>
      <c r="D3729" s="1" t="s">
        <v>11811</v>
      </c>
      <c r="E3729" s="1" t="s">
        <v>209</v>
      </c>
      <c r="F3729" s="1" t="s">
        <v>5017</v>
      </c>
      <c r="G3729" s="1" t="s">
        <v>5018</v>
      </c>
      <c r="H3729" s="1">
        <v>0.1</v>
      </c>
      <c r="I3729" s="1">
        <v>0.1</v>
      </c>
      <c r="J3729" s="1">
        <v>0.66219479426389616</v>
      </c>
      <c r="K3729" s="1" t="s">
        <v>181</v>
      </c>
    </row>
    <row r="3730" spans="1:11" x14ac:dyDescent="0.25">
      <c r="A3730" s="1" t="s">
        <v>11812</v>
      </c>
      <c r="B3730" s="1" t="s">
        <v>11813</v>
      </c>
      <c r="D3730" s="1" t="s">
        <v>11814</v>
      </c>
      <c r="E3730" s="1" t="s">
        <v>209</v>
      </c>
      <c r="F3730" s="1" t="s">
        <v>5017</v>
      </c>
      <c r="G3730" s="1" t="s">
        <v>5018</v>
      </c>
      <c r="H3730" s="1">
        <v>0.1</v>
      </c>
      <c r="I3730" s="1">
        <v>0.1</v>
      </c>
      <c r="J3730" s="1">
        <v>0.99113148190409672</v>
      </c>
      <c r="K3730" s="1" t="s">
        <v>181</v>
      </c>
    </row>
    <row r="3731" spans="1:11" x14ac:dyDescent="0.25">
      <c r="A3731" s="1" t="s">
        <v>11815</v>
      </c>
      <c r="B3731" s="1" t="s">
        <v>11816</v>
      </c>
      <c r="D3731" s="1" t="s">
        <v>11817</v>
      </c>
      <c r="E3731" s="1" t="s">
        <v>209</v>
      </c>
      <c r="F3731" s="1" t="s">
        <v>5017</v>
      </c>
      <c r="G3731" s="1" t="s">
        <v>5018</v>
      </c>
      <c r="H3731" s="1">
        <v>0.1</v>
      </c>
      <c r="I3731" s="1">
        <v>0.1</v>
      </c>
      <c r="J3731" s="1">
        <v>0.84294307602857244</v>
      </c>
      <c r="K3731" s="1" t="s">
        <v>181</v>
      </c>
    </row>
    <row r="3732" spans="1:11" x14ac:dyDescent="0.25">
      <c r="A3732" s="1" t="s">
        <v>11818</v>
      </c>
      <c r="B3732" s="1" t="s">
        <v>11819</v>
      </c>
      <c r="D3732" s="1" t="s">
        <v>11820</v>
      </c>
      <c r="E3732" s="1" t="s">
        <v>209</v>
      </c>
      <c r="F3732" s="1" t="s">
        <v>5017</v>
      </c>
      <c r="G3732" s="1" t="s">
        <v>5018</v>
      </c>
      <c r="H3732" s="1">
        <v>0.1</v>
      </c>
      <c r="I3732" s="1">
        <v>0.1</v>
      </c>
      <c r="J3732" s="1">
        <v>0.69550853411507041</v>
      </c>
      <c r="K3732" s="1" t="s">
        <v>181</v>
      </c>
    </row>
    <row r="3733" spans="1:11" x14ac:dyDescent="0.25">
      <c r="A3733" s="1" t="s">
        <v>11821</v>
      </c>
      <c r="B3733" s="1" t="s">
        <v>11822</v>
      </c>
      <c r="D3733" s="1" t="s">
        <v>11823</v>
      </c>
      <c r="E3733" s="1" t="s">
        <v>209</v>
      </c>
      <c r="F3733" s="1" t="s">
        <v>5017</v>
      </c>
      <c r="G3733" s="1" t="s">
        <v>5018</v>
      </c>
      <c r="H3733" s="1">
        <v>0.1</v>
      </c>
      <c r="I3733" s="1">
        <v>0.1</v>
      </c>
      <c r="J3733" s="1">
        <v>0.77523884018404832</v>
      </c>
      <c r="K3733" s="1" t="s">
        <v>181</v>
      </c>
    </row>
    <row r="3734" spans="1:11" x14ac:dyDescent="0.25">
      <c r="A3734" s="1" t="s">
        <v>11824</v>
      </c>
      <c r="B3734" s="1" t="s">
        <v>11825</v>
      </c>
      <c r="D3734" s="1" t="s">
        <v>11826</v>
      </c>
      <c r="E3734" s="1" t="s">
        <v>209</v>
      </c>
      <c r="F3734" s="1" t="s">
        <v>5017</v>
      </c>
      <c r="G3734" s="1" t="s">
        <v>5018</v>
      </c>
      <c r="H3734" s="1">
        <v>0.1</v>
      </c>
      <c r="I3734" s="1">
        <v>0.1</v>
      </c>
      <c r="J3734" s="1">
        <v>0.99421287683762072</v>
      </c>
      <c r="K3734" s="1" t="s">
        <v>181</v>
      </c>
    </row>
    <row r="3735" spans="1:11" x14ac:dyDescent="0.25">
      <c r="A3735" s="1" t="s">
        <v>11827</v>
      </c>
      <c r="B3735" s="1" t="s">
        <v>11828</v>
      </c>
      <c r="D3735" s="1" t="s">
        <v>11829</v>
      </c>
      <c r="E3735" s="1" t="s">
        <v>209</v>
      </c>
      <c r="F3735" s="1" t="s">
        <v>5017</v>
      </c>
      <c r="G3735" s="1" t="s">
        <v>5018</v>
      </c>
      <c r="H3735" s="1">
        <v>0.1</v>
      </c>
      <c r="I3735" s="1">
        <v>0.1</v>
      </c>
      <c r="J3735" s="1">
        <v>0.90951609660778132</v>
      </c>
      <c r="K3735" s="1" t="s">
        <v>181</v>
      </c>
    </row>
    <row r="3736" spans="1:11" x14ac:dyDescent="0.25">
      <c r="A3736" s="1" t="s">
        <v>11830</v>
      </c>
      <c r="B3736" s="1" t="s">
        <v>11831</v>
      </c>
      <c r="D3736" s="1" t="s">
        <v>11832</v>
      </c>
      <c r="E3736" s="1" t="s">
        <v>209</v>
      </c>
      <c r="F3736" s="1" t="s">
        <v>5017</v>
      </c>
      <c r="G3736" s="1" t="s">
        <v>5018</v>
      </c>
      <c r="H3736" s="1">
        <v>0.1</v>
      </c>
      <c r="I3736" s="1">
        <v>0.1</v>
      </c>
      <c r="J3736" s="1">
        <v>0.75209160438574318</v>
      </c>
      <c r="K3736" s="1" t="s">
        <v>181</v>
      </c>
    </row>
    <row r="3737" spans="1:11" x14ac:dyDescent="0.25">
      <c r="A3737" s="1" t="s">
        <v>11833</v>
      </c>
      <c r="B3737" s="1" t="s">
        <v>11834</v>
      </c>
      <c r="D3737" s="1" t="s">
        <v>11835</v>
      </c>
      <c r="E3737" s="1" t="s">
        <v>209</v>
      </c>
      <c r="F3737" s="1" t="s">
        <v>5017</v>
      </c>
      <c r="G3737" s="1" t="s">
        <v>5018</v>
      </c>
      <c r="H3737" s="1">
        <v>0.1</v>
      </c>
      <c r="I3737" s="1">
        <v>0.1</v>
      </c>
      <c r="J3737" s="1">
        <v>0.84966156338712839</v>
      </c>
      <c r="K3737" s="1" t="s">
        <v>181</v>
      </c>
    </row>
    <row r="3738" spans="1:11" x14ac:dyDescent="0.25">
      <c r="A3738" s="1" t="s">
        <v>11836</v>
      </c>
      <c r="B3738" s="1" t="s">
        <v>11837</v>
      </c>
      <c r="D3738" s="1" t="s">
        <v>11838</v>
      </c>
      <c r="E3738" s="1" t="s">
        <v>209</v>
      </c>
      <c r="F3738" s="1" t="s">
        <v>5017</v>
      </c>
      <c r="G3738" s="1" t="s">
        <v>5018</v>
      </c>
      <c r="H3738" s="1">
        <v>0.1</v>
      </c>
      <c r="I3738" s="1">
        <v>0.1</v>
      </c>
      <c r="J3738" s="1">
        <v>0.77017353285875223</v>
      </c>
      <c r="K3738" s="1" t="s">
        <v>181</v>
      </c>
    </row>
    <row r="3739" spans="1:11" x14ac:dyDescent="0.25">
      <c r="A3739" s="1" t="s">
        <v>11839</v>
      </c>
      <c r="B3739" s="1" t="s">
        <v>11840</v>
      </c>
      <c r="D3739" s="1" t="s">
        <v>11841</v>
      </c>
      <c r="E3739" s="1" t="s">
        <v>209</v>
      </c>
      <c r="F3739" s="1" t="s">
        <v>5017</v>
      </c>
      <c r="G3739" s="1" t="s">
        <v>5018</v>
      </c>
      <c r="H3739" s="1">
        <v>0.1</v>
      </c>
      <c r="I3739" s="1">
        <v>0.1</v>
      </c>
      <c r="J3739" s="1">
        <v>0.63171627474724934</v>
      </c>
      <c r="K3739" s="1" t="s">
        <v>181</v>
      </c>
    </row>
    <row r="3740" spans="1:11" x14ac:dyDescent="0.25">
      <c r="A3740" s="1" t="s">
        <v>11842</v>
      </c>
      <c r="B3740" s="1" t="s">
        <v>11843</v>
      </c>
      <c r="D3740" s="1" t="s">
        <v>11844</v>
      </c>
      <c r="E3740" s="1" t="s">
        <v>209</v>
      </c>
      <c r="F3740" s="1" t="s">
        <v>5017</v>
      </c>
      <c r="G3740" s="1" t="s">
        <v>5018</v>
      </c>
      <c r="H3740" s="1">
        <v>0.1</v>
      </c>
      <c r="I3740" s="1">
        <v>0.1</v>
      </c>
      <c r="J3740" s="1">
        <v>0.64057985928351102</v>
      </c>
      <c r="K3740" s="1" t="s">
        <v>181</v>
      </c>
    </row>
    <row r="3741" spans="1:11" x14ac:dyDescent="0.25">
      <c r="A3741" s="1" t="s">
        <v>11845</v>
      </c>
      <c r="B3741" s="1" t="s">
        <v>11846</v>
      </c>
      <c r="D3741" s="1" t="s">
        <v>11847</v>
      </c>
      <c r="E3741" s="1" t="s">
        <v>209</v>
      </c>
      <c r="F3741" s="1" t="s">
        <v>5017</v>
      </c>
      <c r="G3741" s="1" t="s">
        <v>5018</v>
      </c>
      <c r="H3741" s="1">
        <v>0.1</v>
      </c>
      <c r="I3741" s="1">
        <v>0.1</v>
      </c>
      <c r="J3741" s="1">
        <v>0.81855817061642588</v>
      </c>
      <c r="K3741" s="1" t="s">
        <v>181</v>
      </c>
    </row>
    <row r="3742" spans="1:11" x14ac:dyDescent="0.25">
      <c r="A3742" s="1" t="s">
        <v>11848</v>
      </c>
      <c r="B3742" s="1" t="s">
        <v>11849</v>
      </c>
      <c r="D3742" s="1" t="s">
        <v>11850</v>
      </c>
      <c r="E3742" s="1" t="s">
        <v>209</v>
      </c>
      <c r="F3742" s="1" t="s">
        <v>5017</v>
      </c>
      <c r="G3742" s="1" t="s">
        <v>5018</v>
      </c>
      <c r="H3742" s="1">
        <v>0.1</v>
      </c>
      <c r="I3742" s="1">
        <v>0.1</v>
      </c>
      <c r="J3742" s="1">
        <v>0.75935038498579355</v>
      </c>
      <c r="K3742" s="1" t="s">
        <v>181</v>
      </c>
    </row>
    <row r="3743" spans="1:11" x14ac:dyDescent="0.25">
      <c r="A3743" s="1" t="s">
        <v>11851</v>
      </c>
      <c r="B3743" s="1" t="s">
        <v>11852</v>
      </c>
      <c r="D3743" s="1" t="s">
        <v>11853</v>
      </c>
      <c r="E3743" s="1" t="s">
        <v>209</v>
      </c>
      <c r="F3743" s="1" t="s">
        <v>5017</v>
      </c>
      <c r="G3743" s="1" t="s">
        <v>5018</v>
      </c>
      <c r="H3743" s="1">
        <v>0.1</v>
      </c>
      <c r="I3743" s="1">
        <v>0.1</v>
      </c>
      <c r="J3743" s="1">
        <v>0.5648199926878017</v>
      </c>
      <c r="K3743" s="1" t="s">
        <v>181</v>
      </c>
    </row>
    <row r="3744" spans="1:11" x14ac:dyDescent="0.25">
      <c r="A3744" s="1" t="s">
        <v>11854</v>
      </c>
      <c r="B3744" s="1" t="s">
        <v>11855</v>
      </c>
      <c r="D3744" s="1" t="s">
        <v>11856</v>
      </c>
      <c r="E3744" s="1" t="s">
        <v>209</v>
      </c>
      <c r="F3744" s="1" t="s">
        <v>5017</v>
      </c>
      <c r="G3744" s="1" t="s">
        <v>5018</v>
      </c>
      <c r="H3744" s="1">
        <v>0.1</v>
      </c>
      <c r="I3744" s="1">
        <v>0.1</v>
      </c>
      <c r="J3744" s="1">
        <v>0.52042794759513467</v>
      </c>
      <c r="K3744" s="1" t="s">
        <v>181</v>
      </c>
    </row>
    <row r="3745" spans="1:11" x14ac:dyDescent="0.25">
      <c r="A3745" s="1" t="s">
        <v>11857</v>
      </c>
      <c r="B3745" s="1" t="s">
        <v>11858</v>
      </c>
      <c r="D3745" s="1" t="s">
        <v>11859</v>
      </c>
      <c r="E3745" s="1" t="s">
        <v>209</v>
      </c>
      <c r="F3745" s="1" t="s">
        <v>5017</v>
      </c>
      <c r="G3745" s="1" t="s">
        <v>5018</v>
      </c>
      <c r="H3745" s="1">
        <v>0.1</v>
      </c>
      <c r="I3745" s="1">
        <v>0.1</v>
      </c>
      <c r="J3745" s="1">
        <v>0.50825606268587198</v>
      </c>
      <c r="K3745" s="1" t="s">
        <v>181</v>
      </c>
    </row>
    <row r="3746" spans="1:11" x14ac:dyDescent="0.25">
      <c r="A3746" s="1" t="s">
        <v>11860</v>
      </c>
      <c r="B3746" s="1" t="s">
        <v>11861</v>
      </c>
      <c r="D3746" s="1" t="s">
        <v>11862</v>
      </c>
      <c r="E3746" s="1" t="s">
        <v>209</v>
      </c>
      <c r="F3746" s="1" t="s">
        <v>5017</v>
      </c>
      <c r="G3746" s="1" t="s">
        <v>5018</v>
      </c>
      <c r="H3746" s="1">
        <v>0.1</v>
      </c>
      <c r="I3746" s="1">
        <v>0.1</v>
      </c>
      <c r="J3746" s="1">
        <v>0.73961550821435973</v>
      </c>
      <c r="K3746" s="1" t="s">
        <v>181</v>
      </c>
    </row>
    <row r="3747" spans="1:11" x14ac:dyDescent="0.25">
      <c r="A3747" s="1" t="s">
        <v>11863</v>
      </c>
      <c r="B3747" s="1" t="s">
        <v>11864</v>
      </c>
      <c r="D3747" s="1" t="s">
        <v>11865</v>
      </c>
      <c r="E3747" s="1" t="s">
        <v>209</v>
      </c>
      <c r="F3747" s="1" t="s">
        <v>5017</v>
      </c>
      <c r="G3747" s="1" t="s">
        <v>5018</v>
      </c>
      <c r="H3747" s="1">
        <v>0.1</v>
      </c>
      <c r="I3747" s="1">
        <v>0.1</v>
      </c>
      <c r="J3747" s="1">
        <v>0.72583564667144673</v>
      </c>
      <c r="K3747" s="1" t="s">
        <v>181</v>
      </c>
    </row>
    <row r="3748" spans="1:11" x14ac:dyDescent="0.25">
      <c r="A3748" s="1" t="s">
        <v>11866</v>
      </c>
      <c r="B3748" s="1" t="s">
        <v>11867</v>
      </c>
      <c r="D3748" s="1" t="s">
        <v>11868</v>
      </c>
      <c r="E3748" s="1" t="s">
        <v>209</v>
      </c>
      <c r="F3748" s="1" t="s">
        <v>5017</v>
      </c>
      <c r="G3748" s="1" t="s">
        <v>5018</v>
      </c>
      <c r="H3748" s="1">
        <v>0.1</v>
      </c>
      <c r="I3748" s="1">
        <v>0.1</v>
      </c>
      <c r="J3748" s="1">
        <v>0.77605038892754497</v>
      </c>
      <c r="K3748" s="1" t="s">
        <v>181</v>
      </c>
    </row>
    <row r="3749" spans="1:11" x14ac:dyDescent="0.25">
      <c r="A3749" s="1" t="s">
        <v>11869</v>
      </c>
      <c r="B3749" s="1" t="s">
        <v>11870</v>
      </c>
      <c r="D3749" s="1" t="s">
        <v>11871</v>
      </c>
      <c r="E3749" s="1" t="s">
        <v>209</v>
      </c>
      <c r="F3749" s="1" t="s">
        <v>5017</v>
      </c>
      <c r="G3749" s="1" t="s">
        <v>5018</v>
      </c>
      <c r="H3749" s="1">
        <v>0.1</v>
      </c>
      <c r="I3749" s="1">
        <v>0.1</v>
      </c>
      <c r="J3749" s="1">
        <v>0.7170715226381349</v>
      </c>
      <c r="K3749" s="1" t="s">
        <v>181</v>
      </c>
    </row>
    <row r="3750" spans="1:11" x14ac:dyDescent="0.25">
      <c r="A3750" s="1" t="s">
        <v>11872</v>
      </c>
      <c r="B3750" s="1" t="s">
        <v>11873</v>
      </c>
      <c r="D3750" s="1" t="s">
        <v>11874</v>
      </c>
      <c r="E3750" s="1" t="s">
        <v>209</v>
      </c>
      <c r="F3750" s="1" t="s">
        <v>5017</v>
      </c>
      <c r="G3750" s="1" t="s">
        <v>5018</v>
      </c>
      <c r="H3750" s="1">
        <v>0.1</v>
      </c>
      <c r="I3750" s="1">
        <v>0.1</v>
      </c>
      <c r="J3750" s="1">
        <v>0.58114010920575709</v>
      </c>
      <c r="K3750" s="1" t="s">
        <v>181</v>
      </c>
    </row>
    <row r="3751" spans="1:11" x14ac:dyDescent="0.25">
      <c r="A3751" s="1" t="s">
        <v>11875</v>
      </c>
      <c r="B3751" s="1" t="s">
        <v>11876</v>
      </c>
      <c r="D3751" s="1" t="s">
        <v>11877</v>
      </c>
      <c r="E3751" s="1" t="s">
        <v>209</v>
      </c>
      <c r="F3751" s="1" t="s">
        <v>5017</v>
      </c>
      <c r="G3751" s="1" t="s">
        <v>5018</v>
      </c>
      <c r="H3751" s="1">
        <v>0.1</v>
      </c>
      <c r="I3751" s="1">
        <v>0.1</v>
      </c>
      <c r="J3751" s="1">
        <v>0.62291833770761929</v>
      </c>
      <c r="K3751" s="1" t="s">
        <v>181</v>
      </c>
    </row>
    <row r="3752" spans="1:11" x14ac:dyDescent="0.25">
      <c r="A3752" s="1" t="s">
        <v>11878</v>
      </c>
      <c r="B3752" s="1" t="s">
        <v>11879</v>
      </c>
      <c r="D3752" s="1" t="s">
        <v>11880</v>
      </c>
      <c r="E3752" s="1" t="s">
        <v>209</v>
      </c>
      <c r="F3752" s="1" t="s">
        <v>5017</v>
      </c>
      <c r="G3752" s="1" t="s">
        <v>5018</v>
      </c>
      <c r="H3752" s="1">
        <v>0.1</v>
      </c>
      <c r="I3752" s="1">
        <v>0.1</v>
      </c>
      <c r="J3752" s="1">
        <v>1.1557968645334167</v>
      </c>
      <c r="K3752" s="1" t="s">
        <v>181</v>
      </c>
    </row>
    <row r="3753" spans="1:11" x14ac:dyDescent="0.25">
      <c r="A3753" s="1" t="s">
        <v>11881</v>
      </c>
      <c r="B3753" s="1" t="s">
        <v>11882</v>
      </c>
      <c r="D3753" s="1" t="s">
        <v>11883</v>
      </c>
      <c r="E3753" s="1" t="s">
        <v>209</v>
      </c>
      <c r="F3753" s="1" t="s">
        <v>5017</v>
      </c>
      <c r="G3753" s="1" t="s">
        <v>5018</v>
      </c>
      <c r="H3753" s="1">
        <v>0.1</v>
      </c>
      <c r="I3753" s="1">
        <v>0.1</v>
      </c>
      <c r="J3753" s="1">
        <v>0.74637866106693185</v>
      </c>
      <c r="K3753" s="1" t="s">
        <v>181</v>
      </c>
    </row>
    <row r="3754" spans="1:11" x14ac:dyDescent="0.25">
      <c r="A3754" s="1" t="s">
        <v>11884</v>
      </c>
      <c r="B3754" s="1" t="s">
        <v>11885</v>
      </c>
      <c r="D3754" s="1" t="s">
        <v>11886</v>
      </c>
      <c r="E3754" s="1" t="s">
        <v>209</v>
      </c>
      <c r="F3754" s="1" t="s">
        <v>5017</v>
      </c>
      <c r="G3754" s="1" t="s">
        <v>5018</v>
      </c>
      <c r="H3754" s="1">
        <v>0.1</v>
      </c>
      <c r="I3754" s="1">
        <v>0.1</v>
      </c>
      <c r="J3754" s="1">
        <v>0.75774015146772589</v>
      </c>
      <c r="K3754" s="1" t="s">
        <v>181</v>
      </c>
    </row>
    <row r="3755" spans="1:11" x14ac:dyDescent="0.25">
      <c r="A3755" s="1" t="s">
        <v>11887</v>
      </c>
      <c r="B3755" s="1" t="s">
        <v>11888</v>
      </c>
      <c r="D3755" s="1" t="s">
        <v>11889</v>
      </c>
      <c r="E3755" s="1" t="s">
        <v>209</v>
      </c>
      <c r="F3755" s="1" t="s">
        <v>5017</v>
      </c>
      <c r="G3755" s="1" t="s">
        <v>5018</v>
      </c>
      <c r="H3755" s="1">
        <v>0.1</v>
      </c>
      <c r="I3755" s="1">
        <v>0.1</v>
      </c>
      <c r="J3755" s="1">
        <v>0.69052175608692667</v>
      </c>
      <c r="K3755" s="1" t="s">
        <v>181</v>
      </c>
    </row>
    <row r="3756" spans="1:11" x14ac:dyDescent="0.25">
      <c r="A3756" s="1" t="s">
        <v>11890</v>
      </c>
      <c r="B3756" s="1" t="s">
        <v>11891</v>
      </c>
      <c r="D3756" s="1" t="s">
        <v>11892</v>
      </c>
      <c r="E3756" s="1" t="s">
        <v>209</v>
      </c>
      <c r="F3756" s="1" t="s">
        <v>5017</v>
      </c>
      <c r="G3756" s="1" t="s">
        <v>5018</v>
      </c>
      <c r="H3756" s="1">
        <v>0.1</v>
      </c>
      <c r="I3756" s="1">
        <v>0.1</v>
      </c>
      <c r="J3756" s="1">
        <v>0.67883659578302979</v>
      </c>
      <c r="K3756" s="1" t="s">
        <v>181</v>
      </c>
    </row>
    <row r="3757" spans="1:11" x14ac:dyDescent="0.25">
      <c r="A3757" s="1" t="s">
        <v>11893</v>
      </c>
      <c r="B3757" s="1" t="s">
        <v>11894</v>
      </c>
      <c r="D3757" s="1" t="s">
        <v>11895</v>
      </c>
      <c r="E3757" s="1" t="s">
        <v>209</v>
      </c>
      <c r="F3757" s="1" t="s">
        <v>5017</v>
      </c>
      <c r="G3757" s="1" t="s">
        <v>5018</v>
      </c>
      <c r="H3757" s="1">
        <v>0.1</v>
      </c>
      <c r="I3757" s="1">
        <v>0.1</v>
      </c>
      <c r="J3757" s="1">
        <v>0.74324908438094439</v>
      </c>
      <c r="K3757" s="1" t="s">
        <v>181</v>
      </c>
    </row>
    <row r="3758" spans="1:11" x14ac:dyDescent="0.25">
      <c r="A3758" s="1" t="s">
        <v>11896</v>
      </c>
      <c r="B3758" s="1" t="s">
        <v>11897</v>
      </c>
      <c r="D3758" s="1" t="s">
        <v>11898</v>
      </c>
      <c r="E3758" s="1" t="s">
        <v>209</v>
      </c>
      <c r="F3758" s="1" t="s">
        <v>5017</v>
      </c>
      <c r="G3758" s="1" t="s">
        <v>5018</v>
      </c>
      <c r="H3758" s="1">
        <v>0.1</v>
      </c>
      <c r="I3758" s="1">
        <v>0.1</v>
      </c>
      <c r="J3758" s="1">
        <v>0.75499219448929711</v>
      </c>
      <c r="K3758" s="1" t="s">
        <v>181</v>
      </c>
    </row>
    <row r="3759" spans="1:11" x14ac:dyDescent="0.25">
      <c r="A3759" s="1" t="s">
        <v>11899</v>
      </c>
      <c r="B3759" s="1" t="s">
        <v>11900</v>
      </c>
      <c r="D3759" s="1" t="s">
        <v>11901</v>
      </c>
      <c r="E3759" s="1" t="s">
        <v>209</v>
      </c>
      <c r="F3759" s="1" t="s">
        <v>5017</v>
      </c>
      <c r="G3759" s="1" t="s">
        <v>5018</v>
      </c>
      <c r="H3759" s="1">
        <v>0.1</v>
      </c>
      <c r="I3759" s="1">
        <v>0.1</v>
      </c>
      <c r="J3759" s="1">
        <v>0.7032815263239478</v>
      </c>
      <c r="K3759" s="1" t="s">
        <v>181</v>
      </c>
    </row>
    <row r="3760" spans="1:11" x14ac:dyDescent="0.25">
      <c r="A3760" s="1" t="s">
        <v>11902</v>
      </c>
      <c r="B3760" s="1" t="s">
        <v>11903</v>
      </c>
      <c r="D3760" s="1" t="s">
        <v>11904</v>
      </c>
      <c r="E3760" s="1" t="s">
        <v>209</v>
      </c>
      <c r="F3760" s="1" t="s">
        <v>5017</v>
      </c>
      <c r="G3760" s="1" t="s">
        <v>5018</v>
      </c>
      <c r="H3760" s="1">
        <v>0.1</v>
      </c>
      <c r="I3760" s="1">
        <v>0.1</v>
      </c>
      <c r="J3760" s="1">
        <v>0.68120234373801103</v>
      </c>
      <c r="K3760" s="1" t="s">
        <v>181</v>
      </c>
    </row>
    <row r="3761" spans="1:11" x14ac:dyDescent="0.25">
      <c r="A3761" s="1" t="s">
        <v>11905</v>
      </c>
      <c r="B3761" s="1" t="s">
        <v>11906</v>
      </c>
      <c r="D3761" s="1" t="s">
        <v>11907</v>
      </c>
      <c r="E3761" s="1" t="s">
        <v>209</v>
      </c>
      <c r="F3761" s="1" t="s">
        <v>5017</v>
      </c>
      <c r="G3761" s="1" t="s">
        <v>5018</v>
      </c>
      <c r="H3761" s="1">
        <v>0.1</v>
      </c>
      <c r="I3761" s="1">
        <v>0.1</v>
      </c>
      <c r="J3761" s="1">
        <v>0.7514798285819555</v>
      </c>
      <c r="K3761" s="1" t="s">
        <v>181</v>
      </c>
    </row>
    <row r="3762" spans="1:11" x14ac:dyDescent="0.25">
      <c r="A3762" s="1" t="s">
        <v>11908</v>
      </c>
      <c r="B3762" s="1" t="s">
        <v>11909</v>
      </c>
      <c r="D3762" s="1" t="s">
        <v>11910</v>
      </c>
      <c r="E3762" s="1" t="s">
        <v>209</v>
      </c>
      <c r="F3762" s="1" t="s">
        <v>5017</v>
      </c>
      <c r="G3762" s="1" t="s">
        <v>5018</v>
      </c>
      <c r="H3762" s="1">
        <v>0.1</v>
      </c>
      <c r="I3762" s="1">
        <v>0.1</v>
      </c>
      <c r="J3762" s="1">
        <v>0.7425782142618913</v>
      </c>
      <c r="K3762" s="1" t="s">
        <v>181</v>
      </c>
    </row>
    <row r="3763" spans="1:11" x14ac:dyDescent="0.25">
      <c r="A3763" s="1" t="s">
        <v>11911</v>
      </c>
      <c r="B3763" s="1" t="s">
        <v>11912</v>
      </c>
      <c r="D3763" s="1" t="s">
        <v>11913</v>
      </c>
      <c r="E3763" s="1" t="s">
        <v>209</v>
      </c>
      <c r="F3763" s="1" t="s">
        <v>5017</v>
      </c>
      <c r="G3763" s="1" t="s">
        <v>5018</v>
      </c>
      <c r="H3763" s="1">
        <v>0.1</v>
      </c>
      <c r="I3763" s="1">
        <v>0.1</v>
      </c>
      <c r="J3763" s="1">
        <v>0.8694660811806082</v>
      </c>
      <c r="K3763" s="1" t="s">
        <v>181</v>
      </c>
    </row>
    <row r="3764" spans="1:11" x14ac:dyDescent="0.25">
      <c r="A3764" s="1" t="s">
        <v>11914</v>
      </c>
      <c r="B3764" s="1" t="s">
        <v>11915</v>
      </c>
      <c r="D3764" s="1" t="s">
        <v>11916</v>
      </c>
      <c r="E3764" s="1" t="s">
        <v>209</v>
      </c>
      <c r="F3764" s="1" t="s">
        <v>5017</v>
      </c>
      <c r="G3764" s="1" t="s">
        <v>5018</v>
      </c>
      <c r="H3764" s="1">
        <v>0.1</v>
      </c>
      <c r="I3764" s="1">
        <v>0.1</v>
      </c>
      <c r="J3764" s="1">
        <v>0.7655933462661294</v>
      </c>
      <c r="K3764" s="1" t="s">
        <v>181</v>
      </c>
    </row>
    <row r="3765" spans="1:11" x14ac:dyDescent="0.25">
      <c r="A3765" s="1" t="s">
        <v>11917</v>
      </c>
      <c r="B3765" s="1" t="s">
        <v>11918</v>
      </c>
      <c r="D3765" s="1" t="s">
        <v>11919</v>
      </c>
      <c r="E3765" s="1" t="s">
        <v>209</v>
      </c>
      <c r="F3765" s="1" t="s">
        <v>5017</v>
      </c>
      <c r="G3765" s="1" t="s">
        <v>5018</v>
      </c>
      <c r="H3765" s="1">
        <v>0.1</v>
      </c>
      <c r="I3765" s="1">
        <v>0.1</v>
      </c>
      <c r="J3765" s="1">
        <v>0.76609161446948659</v>
      </c>
      <c r="K3765" s="1" t="s">
        <v>181</v>
      </c>
    </row>
    <row r="3766" spans="1:11" x14ac:dyDescent="0.25">
      <c r="A3766" s="1" t="s">
        <v>11920</v>
      </c>
      <c r="B3766" s="1" t="s">
        <v>11921</v>
      </c>
      <c r="D3766" s="1" t="s">
        <v>11922</v>
      </c>
      <c r="E3766" s="1" t="s">
        <v>209</v>
      </c>
      <c r="F3766" s="1" t="s">
        <v>5017</v>
      </c>
      <c r="G3766" s="1" t="s">
        <v>5018</v>
      </c>
      <c r="H3766" s="1">
        <v>0.1</v>
      </c>
      <c r="I3766" s="1">
        <v>0.1</v>
      </c>
      <c r="J3766" s="1">
        <v>0.73383471578143789</v>
      </c>
      <c r="K3766" s="1" t="s">
        <v>181</v>
      </c>
    </row>
    <row r="3767" spans="1:11" x14ac:dyDescent="0.25">
      <c r="A3767" s="1" t="s">
        <v>11923</v>
      </c>
      <c r="B3767" s="1" t="s">
        <v>11924</v>
      </c>
      <c r="D3767" s="1" t="s">
        <v>11925</v>
      </c>
      <c r="E3767" s="1" t="s">
        <v>209</v>
      </c>
      <c r="F3767" s="1" t="s">
        <v>5017</v>
      </c>
      <c r="G3767" s="1" t="s">
        <v>5018</v>
      </c>
      <c r="H3767" s="1">
        <v>0.1</v>
      </c>
      <c r="I3767" s="1">
        <v>0.1</v>
      </c>
      <c r="J3767" s="1">
        <v>0.63241685177792029</v>
      </c>
      <c r="K3767" s="1" t="s">
        <v>181</v>
      </c>
    </row>
    <row r="3768" spans="1:11" x14ac:dyDescent="0.25">
      <c r="A3768" s="1" t="s">
        <v>11926</v>
      </c>
      <c r="B3768" s="1" t="s">
        <v>11927</v>
      </c>
      <c r="D3768" s="1" t="s">
        <v>11928</v>
      </c>
      <c r="E3768" s="1" t="s">
        <v>209</v>
      </c>
      <c r="F3768" s="1" t="s">
        <v>5017</v>
      </c>
      <c r="G3768" s="1" t="s">
        <v>5018</v>
      </c>
      <c r="H3768" s="1">
        <v>0.1</v>
      </c>
      <c r="I3768" s="1">
        <v>0.1</v>
      </c>
      <c r="J3768" s="1">
        <v>0.68013777430834443</v>
      </c>
      <c r="K3768" s="1" t="s">
        <v>181</v>
      </c>
    </row>
    <row r="3769" spans="1:11" x14ac:dyDescent="0.25">
      <c r="A3769" s="1" t="s">
        <v>11929</v>
      </c>
      <c r="B3769" s="1" t="s">
        <v>11930</v>
      </c>
      <c r="D3769" s="1" t="s">
        <v>11931</v>
      </c>
      <c r="E3769" s="1" t="s">
        <v>209</v>
      </c>
      <c r="F3769" s="1" t="s">
        <v>5017</v>
      </c>
      <c r="G3769" s="1" t="s">
        <v>5018</v>
      </c>
      <c r="H3769" s="1">
        <v>0.1</v>
      </c>
      <c r="I3769" s="1">
        <v>0.1</v>
      </c>
      <c r="J3769" s="1">
        <v>0.66349146203860243</v>
      </c>
      <c r="K3769" s="1" t="s">
        <v>181</v>
      </c>
    </row>
    <row r="3770" spans="1:11" x14ac:dyDescent="0.25">
      <c r="A3770" s="1" t="s">
        <v>11932</v>
      </c>
      <c r="B3770" s="1" t="s">
        <v>11933</v>
      </c>
      <c r="D3770" s="1" t="s">
        <v>11934</v>
      </c>
      <c r="E3770" s="1" t="s">
        <v>209</v>
      </c>
      <c r="F3770" s="1" t="s">
        <v>5017</v>
      </c>
      <c r="G3770" s="1" t="s">
        <v>5018</v>
      </c>
      <c r="H3770" s="1">
        <v>0.1</v>
      </c>
      <c r="I3770" s="1">
        <v>0.1</v>
      </c>
      <c r="J3770" s="1">
        <v>0.55240682105933159</v>
      </c>
      <c r="K3770" s="1" t="s">
        <v>181</v>
      </c>
    </row>
    <row r="3771" spans="1:11" x14ac:dyDescent="0.25">
      <c r="A3771" s="1" t="s">
        <v>11935</v>
      </c>
      <c r="B3771" s="1" t="s">
        <v>11936</v>
      </c>
      <c r="D3771" s="1" t="s">
        <v>11937</v>
      </c>
      <c r="E3771" s="1" t="s">
        <v>209</v>
      </c>
      <c r="F3771" s="1" t="s">
        <v>5017</v>
      </c>
      <c r="G3771" s="1" t="s">
        <v>5018</v>
      </c>
      <c r="H3771" s="1">
        <v>0.1</v>
      </c>
      <c r="I3771" s="1">
        <v>0.1</v>
      </c>
      <c r="J3771" s="1">
        <v>0.8386358294909082</v>
      </c>
      <c r="K3771" s="1" t="s">
        <v>181</v>
      </c>
    </row>
    <row r="3772" spans="1:11" x14ac:dyDescent="0.25">
      <c r="A3772" s="1" t="s">
        <v>11938</v>
      </c>
      <c r="B3772" s="1" t="s">
        <v>11939</v>
      </c>
      <c r="D3772" s="1" t="s">
        <v>11940</v>
      </c>
      <c r="E3772" s="1" t="s">
        <v>209</v>
      </c>
      <c r="F3772" s="1" t="s">
        <v>5017</v>
      </c>
      <c r="G3772" s="1" t="s">
        <v>5018</v>
      </c>
      <c r="H3772" s="1">
        <v>0.1</v>
      </c>
      <c r="I3772" s="1">
        <v>0.1</v>
      </c>
      <c r="J3772" s="1">
        <v>0.66102790201622208</v>
      </c>
      <c r="K3772" s="1" t="s">
        <v>181</v>
      </c>
    </row>
    <row r="3773" spans="1:11" x14ac:dyDescent="0.25">
      <c r="A3773" s="1" t="s">
        <v>11941</v>
      </c>
      <c r="B3773" s="1" t="s">
        <v>11942</v>
      </c>
      <c r="D3773" s="1" t="s">
        <v>11943</v>
      </c>
      <c r="E3773" s="1" t="s">
        <v>209</v>
      </c>
      <c r="F3773" s="1" t="s">
        <v>5017</v>
      </c>
      <c r="G3773" s="1" t="s">
        <v>5018</v>
      </c>
      <c r="H3773" s="1">
        <v>0.1</v>
      </c>
      <c r="I3773" s="1">
        <v>0.1</v>
      </c>
      <c r="J3773" s="1">
        <v>0.70359888778117263</v>
      </c>
      <c r="K3773" s="1" t="s">
        <v>181</v>
      </c>
    </row>
    <row r="3774" spans="1:11" x14ac:dyDescent="0.25">
      <c r="A3774" s="1" t="s">
        <v>11944</v>
      </c>
      <c r="B3774" s="1" t="s">
        <v>11945</v>
      </c>
      <c r="D3774" s="1" t="s">
        <v>11946</v>
      </c>
      <c r="E3774" s="1" t="s">
        <v>209</v>
      </c>
      <c r="F3774" s="1" t="s">
        <v>5017</v>
      </c>
      <c r="G3774" s="1" t="s">
        <v>5018</v>
      </c>
      <c r="H3774" s="1">
        <v>0.1</v>
      </c>
      <c r="I3774" s="1">
        <v>0.1</v>
      </c>
      <c r="J3774" s="1">
        <v>0.69951048938359839</v>
      </c>
      <c r="K3774" s="1" t="s">
        <v>181</v>
      </c>
    </row>
    <row r="3775" spans="1:11" x14ac:dyDescent="0.25">
      <c r="A3775" s="1" t="s">
        <v>11947</v>
      </c>
      <c r="B3775" s="1" t="s">
        <v>11948</v>
      </c>
      <c r="D3775" s="1" t="s">
        <v>11949</v>
      </c>
      <c r="E3775" s="1" t="s">
        <v>209</v>
      </c>
      <c r="F3775" s="1" t="s">
        <v>5017</v>
      </c>
      <c r="G3775" s="1" t="s">
        <v>5018</v>
      </c>
      <c r="H3775" s="1">
        <v>0.1</v>
      </c>
      <c r="I3775" s="1">
        <v>0.1</v>
      </c>
      <c r="J3775" s="1">
        <v>0.83572289504699016</v>
      </c>
      <c r="K3775" s="1" t="s">
        <v>181</v>
      </c>
    </row>
    <row r="3776" spans="1:11" x14ac:dyDescent="0.25">
      <c r="A3776" s="1" t="s">
        <v>11950</v>
      </c>
      <c r="B3776" s="1" t="s">
        <v>11951</v>
      </c>
      <c r="D3776" s="1" t="s">
        <v>11952</v>
      </c>
      <c r="E3776" s="1" t="s">
        <v>209</v>
      </c>
      <c r="F3776" s="1" t="s">
        <v>5017</v>
      </c>
      <c r="G3776" s="1" t="s">
        <v>5018</v>
      </c>
      <c r="H3776" s="1">
        <v>0.1</v>
      </c>
      <c r="I3776" s="1">
        <v>0.1</v>
      </c>
      <c r="J3776" s="1">
        <v>0.84759691650023528</v>
      </c>
      <c r="K3776" s="1" t="s">
        <v>181</v>
      </c>
    </row>
    <row r="3777" spans="1:11" x14ac:dyDescent="0.25">
      <c r="A3777" s="1" t="s">
        <v>11953</v>
      </c>
      <c r="B3777" s="1" t="s">
        <v>11954</v>
      </c>
      <c r="D3777" s="1" t="s">
        <v>11955</v>
      </c>
      <c r="E3777" s="1" t="s">
        <v>209</v>
      </c>
      <c r="F3777" s="1" t="s">
        <v>5017</v>
      </c>
      <c r="G3777" s="1" t="s">
        <v>5018</v>
      </c>
      <c r="H3777" s="1">
        <v>0.1</v>
      </c>
      <c r="I3777" s="1">
        <v>0.1</v>
      </c>
      <c r="J3777" s="1">
        <v>0.83044905707025329</v>
      </c>
      <c r="K3777" s="1" t="s">
        <v>181</v>
      </c>
    </row>
    <row r="3778" spans="1:11" x14ac:dyDescent="0.25">
      <c r="A3778" s="1" t="s">
        <v>11956</v>
      </c>
      <c r="B3778" s="1" t="s">
        <v>11957</v>
      </c>
      <c r="D3778" s="1" t="s">
        <v>11958</v>
      </c>
      <c r="E3778" s="1" t="s">
        <v>209</v>
      </c>
      <c r="F3778" s="1" t="s">
        <v>5017</v>
      </c>
      <c r="G3778" s="1" t="s">
        <v>5018</v>
      </c>
      <c r="H3778" s="1">
        <v>0.1</v>
      </c>
      <c r="I3778" s="1">
        <v>0.1</v>
      </c>
      <c r="J3778" s="1">
        <v>0.8047703393615091</v>
      </c>
      <c r="K3778" s="1" t="s">
        <v>181</v>
      </c>
    </row>
    <row r="3779" spans="1:11" x14ac:dyDescent="0.25">
      <c r="A3779" s="1" t="s">
        <v>11959</v>
      </c>
      <c r="B3779" s="1" t="s">
        <v>11960</v>
      </c>
      <c r="D3779" s="1" t="s">
        <v>11961</v>
      </c>
      <c r="E3779" s="1" t="s">
        <v>209</v>
      </c>
      <c r="F3779" s="1" t="s">
        <v>5017</v>
      </c>
      <c r="G3779" s="1" t="s">
        <v>5018</v>
      </c>
      <c r="H3779" s="1">
        <v>0.1</v>
      </c>
      <c r="I3779" s="1">
        <v>0.1</v>
      </c>
      <c r="J3779" s="1">
        <v>0.79984043652597847</v>
      </c>
      <c r="K3779" s="1" t="s">
        <v>181</v>
      </c>
    </row>
    <row r="3780" spans="1:11" x14ac:dyDescent="0.25">
      <c r="A3780" s="1" t="s">
        <v>11962</v>
      </c>
      <c r="B3780" s="1" t="s">
        <v>11963</v>
      </c>
      <c r="D3780" s="1" t="s">
        <v>11964</v>
      </c>
      <c r="E3780" s="1" t="s">
        <v>209</v>
      </c>
      <c r="F3780" s="1" t="s">
        <v>5017</v>
      </c>
      <c r="G3780" s="1" t="s">
        <v>5018</v>
      </c>
      <c r="H3780" s="1">
        <v>0.1</v>
      </c>
      <c r="I3780" s="1">
        <v>0.1</v>
      </c>
      <c r="J3780" s="1">
        <v>0.62774137202811453</v>
      </c>
      <c r="K3780" s="1" t="s">
        <v>181</v>
      </c>
    </row>
    <row r="3781" spans="1:11" x14ac:dyDescent="0.25">
      <c r="A3781" s="1" t="s">
        <v>11965</v>
      </c>
      <c r="B3781" s="1" t="s">
        <v>11966</v>
      </c>
      <c r="D3781" s="1" t="s">
        <v>11967</v>
      </c>
      <c r="E3781" s="1" t="s">
        <v>209</v>
      </c>
      <c r="F3781" s="1" t="s">
        <v>5017</v>
      </c>
      <c r="G3781" s="1" t="s">
        <v>5018</v>
      </c>
      <c r="H3781" s="1">
        <v>0.1</v>
      </c>
      <c r="I3781" s="1">
        <v>0.1</v>
      </c>
      <c r="J3781" s="1">
        <v>0.60014979459974871</v>
      </c>
      <c r="K3781" s="1" t="s">
        <v>181</v>
      </c>
    </row>
    <row r="3782" spans="1:11" x14ac:dyDescent="0.25">
      <c r="A3782" s="1" t="s">
        <v>11968</v>
      </c>
      <c r="B3782" s="1" t="s">
        <v>11969</v>
      </c>
      <c r="D3782" s="1" t="s">
        <v>11970</v>
      </c>
      <c r="E3782" s="1" t="s">
        <v>209</v>
      </c>
      <c r="F3782" s="1" t="s">
        <v>5017</v>
      </c>
      <c r="G3782" s="1" t="s">
        <v>5018</v>
      </c>
      <c r="H3782" s="1">
        <v>0.1</v>
      </c>
      <c r="I3782" s="1">
        <v>0.1</v>
      </c>
      <c r="J3782" s="1">
        <v>0.87936319813774255</v>
      </c>
      <c r="K3782" s="1" t="s">
        <v>181</v>
      </c>
    </row>
    <row r="3783" spans="1:11" x14ac:dyDescent="0.25">
      <c r="A3783" s="1" t="s">
        <v>11971</v>
      </c>
      <c r="B3783" s="1" t="s">
        <v>11972</v>
      </c>
      <c r="D3783" s="1" t="s">
        <v>11973</v>
      </c>
      <c r="E3783" s="1" t="s">
        <v>209</v>
      </c>
      <c r="F3783" s="1" t="s">
        <v>5017</v>
      </c>
      <c r="G3783" s="1" t="s">
        <v>5018</v>
      </c>
      <c r="H3783" s="1">
        <v>0.1</v>
      </c>
      <c r="I3783" s="1">
        <v>0.1</v>
      </c>
      <c r="J3783" s="1">
        <v>0.49958696949214282</v>
      </c>
      <c r="K3783" s="1" t="s">
        <v>181</v>
      </c>
    </row>
    <row r="3784" spans="1:11" x14ac:dyDescent="0.25">
      <c r="A3784" s="1" t="s">
        <v>11974</v>
      </c>
      <c r="B3784" s="1" t="s">
        <v>11975</v>
      </c>
      <c r="D3784" s="1" t="s">
        <v>11976</v>
      </c>
      <c r="E3784" s="1" t="s">
        <v>209</v>
      </c>
      <c r="F3784" s="1" t="s">
        <v>5017</v>
      </c>
      <c r="G3784" s="1" t="s">
        <v>5018</v>
      </c>
      <c r="H3784" s="1">
        <v>0.1</v>
      </c>
      <c r="I3784" s="1">
        <v>0.1</v>
      </c>
      <c r="J3784" s="1">
        <v>0.547032402327982</v>
      </c>
      <c r="K3784" s="1" t="s">
        <v>181</v>
      </c>
    </row>
    <row r="3785" spans="1:11" x14ac:dyDescent="0.25">
      <c r="A3785" s="1" t="s">
        <v>11977</v>
      </c>
      <c r="B3785" s="1" t="s">
        <v>11978</v>
      </c>
      <c r="D3785" s="1" t="s">
        <v>11979</v>
      </c>
      <c r="E3785" s="1" t="s">
        <v>209</v>
      </c>
      <c r="F3785" s="1" t="s">
        <v>5017</v>
      </c>
      <c r="G3785" s="1" t="s">
        <v>5018</v>
      </c>
      <c r="H3785" s="1">
        <v>0.1</v>
      </c>
      <c r="I3785" s="1">
        <v>0.1</v>
      </c>
      <c r="J3785" s="1">
        <v>0.41525110542886995</v>
      </c>
      <c r="K3785" s="1" t="s">
        <v>181</v>
      </c>
    </row>
    <row r="3786" spans="1:11" x14ac:dyDescent="0.25">
      <c r="A3786" s="1" t="s">
        <v>11980</v>
      </c>
      <c r="B3786" s="1" t="s">
        <v>11981</v>
      </c>
      <c r="D3786" s="1" t="s">
        <v>11982</v>
      </c>
      <c r="E3786" s="1" t="s">
        <v>209</v>
      </c>
      <c r="F3786" s="1" t="s">
        <v>5017</v>
      </c>
      <c r="G3786" s="1" t="s">
        <v>5018</v>
      </c>
      <c r="H3786" s="1">
        <v>0.1</v>
      </c>
      <c r="I3786" s="1">
        <v>0.1</v>
      </c>
      <c r="J3786" s="1">
        <v>1.2071779883487384</v>
      </c>
      <c r="K3786" s="1" t="s">
        <v>181</v>
      </c>
    </row>
    <row r="3787" spans="1:11" x14ac:dyDescent="0.25">
      <c r="A3787" s="1" t="s">
        <v>11983</v>
      </c>
      <c r="B3787" s="1" t="s">
        <v>11984</v>
      </c>
      <c r="D3787" s="1" t="s">
        <v>11985</v>
      </c>
      <c r="E3787" s="1" t="s">
        <v>209</v>
      </c>
      <c r="F3787" s="1" t="s">
        <v>5017</v>
      </c>
      <c r="G3787" s="1" t="s">
        <v>5018</v>
      </c>
      <c r="H3787" s="1">
        <v>0.1</v>
      </c>
      <c r="I3787" s="1">
        <v>0.1</v>
      </c>
      <c r="J3787" s="1">
        <v>1.3740280316526035</v>
      </c>
      <c r="K3787" s="1" t="s">
        <v>181</v>
      </c>
    </row>
    <row r="3788" spans="1:11" x14ac:dyDescent="0.25">
      <c r="A3788" s="1" t="s">
        <v>11986</v>
      </c>
      <c r="B3788" s="1" t="s">
        <v>11987</v>
      </c>
      <c r="D3788" s="1" t="s">
        <v>11988</v>
      </c>
      <c r="E3788" s="1" t="s">
        <v>209</v>
      </c>
      <c r="F3788" s="1" t="s">
        <v>5017</v>
      </c>
      <c r="G3788" s="1" t="s">
        <v>5018</v>
      </c>
      <c r="H3788" s="1">
        <v>0.1</v>
      </c>
      <c r="I3788" s="1">
        <v>0.1</v>
      </c>
      <c r="J3788" s="1">
        <v>0.50508915226838669</v>
      </c>
      <c r="K3788" s="1" t="s">
        <v>181</v>
      </c>
    </row>
    <row r="3789" spans="1:11" x14ac:dyDescent="0.25">
      <c r="A3789" s="1" t="s">
        <v>11989</v>
      </c>
      <c r="B3789" s="1" t="s">
        <v>11990</v>
      </c>
      <c r="D3789" s="1" t="s">
        <v>11991</v>
      </c>
      <c r="E3789" s="1" t="s">
        <v>209</v>
      </c>
      <c r="F3789" s="1" t="s">
        <v>5017</v>
      </c>
      <c r="G3789" s="1" t="s">
        <v>5018</v>
      </c>
      <c r="H3789" s="1">
        <v>0.1</v>
      </c>
      <c r="I3789" s="1">
        <v>0.1</v>
      </c>
      <c r="J3789" s="1">
        <v>0.58176492885512299</v>
      </c>
      <c r="K3789" s="1" t="s">
        <v>181</v>
      </c>
    </row>
    <row r="3790" spans="1:11" x14ac:dyDescent="0.25">
      <c r="A3790" s="1" t="s">
        <v>11992</v>
      </c>
      <c r="B3790" s="1" t="s">
        <v>11993</v>
      </c>
      <c r="D3790" s="1" t="s">
        <v>11994</v>
      </c>
      <c r="E3790" s="1" t="s">
        <v>209</v>
      </c>
      <c r="F3790" s="1" t="s">
        <v>5017</v>
      </c>
      <c r="G3790" s="1" t="s">
        <v>5018</v>
      </c>
      <c r="H3790" s="1">
        <v>0.1</v>
      </c>
      <c r="I3790" s="1">
        <v>0.1</v>
      </c>
      <c r="J3790" s="1">
        <v>0.74463940927785244</v>
      </c>
      <c r="K3790" s="1" t="s">
        <v>181</v>
      </c>
    </row>
    <row r="3791" spans="1:11" x14ac:dyDescent="0.25">
      <c r="A3791" s="1" t="s">
        <v>11995</v>
      </c>
      <c r="B3791" s="1" t="s">
        <v>11996</v>
      </c>
      <c r="D3791" s="1" t="s">
        <v>11997</v>
      </c>
      <c r="E3791" s="1" t="s">
        <v>209</v>
      </c>
      <c r="F3791" s="1" t="s">
        <v>5017</v>
      </c>
      <c r="G3791" s="1" t="s">
        <v>5018</v>
      </c>
      <c r="H3791" s="1">
        <v>0.1</v>
      </c>
      <c r="I3791" s="1">
        <v>0.1</v>
      </c>
      <c r="J3791" s="1">
        <v>0.7808375225488442</v>
      </c>
      <c r="K3791" s="1" t="s">
        <v>181</v>
      </c>
    </row>
    <row r="3792" spans="1:11" x14ac:dyDescent="0.25">
      <c r="A3792" s="1" t="s">
        <v>11998</v>
      </c>
      <c r="B3792" s="1" t="s">
        <v>11999</v>
      </c>
      <c r="D3792" s="1" t="s">
        <v>12000</v>
      </c>
      <c r="E3792" s="1" t="s">
        <v>209</v>
      </c>
      <c r="F3792" s="1" t="s">
        <v>5017</v>
      </c>
      <c r="G3792" s="1" t="s">
        <v>5018</v>
      </c>
      <c r="H3792" s="1">
        <v>0.1</v>
      </c>
      <c r="I3792" s="1">
        <v>0.1</v>
      </c>
      <c r="J3792" s="1">
        <v>0.79042828447697566</v>
      </c>
      <c r="K3792" s="1" t="s">
        <v>181</v>
      </c>
    </row>
    <row r="3793" spans="1:11" x14ac:dyDescent="0.25">
      <c r="A3793" s="1" t="s">
        <v>12001</v>
      </c>
      <c r="B3793" s="1" t="s">
        <v>12002</v>
      </c>
      <c r="D3793" s="1" t="s">
        <v>12003</v>
      </c>
      <c r="E3793" s="1" t="s">
        <v>209</v>
      </c>
      <c r="F3793" s="1" t="s">
        <v>5017</v>
      </c>
      <c r="G3793" s="1" t="s">
        <v>5018</v>
      </c>
      <c r="H3793" s="1">
        <v>0.1</v>
      </c>
      <c r="I3793" s="1">
        <v>0.1</v>
      </c>
      <c r="J3793" s="1">
        <v>0.8154741190797351</v>
      </c>
      <c r="K3793" s="1" t="s">
        <v>181</v>
      </c>
    </row>
    <row r="3794" spans="1:11" x14ac:dyDescent="0.25">
      <c r="A3794" s="1" t="s">
        <v>12004</v>
      </c>
      <c r="B3794" s="1" t="s">
        <v>12005</v>
      </c>
      <c r="D3794" s="1" t="s">
        <v>12006</v>
      </c>
      <c r="E3794" s="1" t="s">
        <v>209</v>
      </c>
      <c r="F3794" s="1" t="s">
        <v>5017</v>
      </c>
      <c r="G3794" s="1" t="s">
        <v>5018</v>
      </c>
      <c r="H3794" s="1">
        <v>0.1</v>
      </c>
      <c r="I3794" s="1">
        <v>0.1</v>
      </c>
      <c r="J3794" s="1">
        <v>0.78928535917510845</v>
      </c>
      <c r="K3794" s="1" t="s">
        <v>181</v>
      </c>
    </row>
    <row r="3795" spans="1:11" x14ac:dyDescent="0.25">
      <c r="A3795" s="1" t="s">
        <v>12007</v>
      </c>
      <c r="B3795" s="1" t="s">
        <v>12008</v>
      </c>
      <c r="D3795" s="1" t="s">
        <v>12009</v>
      </c>
      <c r="E3795" s="1" t="s">
        <v>209</v>
      </c>
      <c r="F3795" s="1" t="s">
        <v>5017</v>
      </c>
      <c r="G3795" s="1" t="s">
        <v>5018</v>
      </c>
      <c r="H3795" s="1">
        <v>0.1</v>
      </c>
      <c r="I3795" s="1">
        <v>0.1</v>
      </c>
      <c r="J3795" s="1">
        <v>0.81908900457172629</v>
      </c>
      <c r="K3795" s="1" t="s">
        <v>181</v>
      </c>
    </row>
    <row r="3796" spans="1:11" x14ac:dyDescent="0.25">
      <c r="A3796" s="1" t="s">
        <v>12010</v>
      </c>
      <c r="B3796" s="1" t="s">
        <v>12011</v>
      </c>
      <c r="D3796" s="1" t="s">
        <v>12012</v>
      </c>
      <c r="E3796" s="1" t="s">
        <v>209</v>
      </c>
      <c r="F3796" s="1" t="s">
        <v>5017</v>
      </c>
      <c r="G3796" s="1" t="s">
        <v>5018</v>
      </c>
      <c r="H3796" s="1">
        <v>0.1</v>
      </c>
      <c r="I3796" s="1">
        <v>0.1</v>
      </c>
      <c r="J3796" s="1">
        <v>0.40328463401555259</v>
      </c>
      <c r="K3796" s="1" t="s">
        <v>181</v>
      </c>
    </row>
    <row r="3797" spans="1:11" x14ac:dyDescent="0.25">
      <c r="A3797" s="1" t="s">
        <v>12013</v>
      </c>
      <c r="B3797" s="1" t="s">
        <v>12014</v>
      </c>
      <c r="D3797" s="1" t="s">
        <v>12015</v>
      </c>
      <c r="E3797" s="1" t="s">
        <v>209</v>
      </c>
      <c r="F3797" s="1" t="s">
        <v>5017</v>
      </c>
      <c r="G3797" s="1" t="s">
        <v>5018</v>
      </c>
      <c r="H3797" s="1">
        <v>0.1</v>
      </c>
      <c r="I3797" s="1">
        <v>0.1</v>
      </c>
      <c r="J3797" s="1">
        <v>0.61529041629692982</v>
      </c>
      <c r="K3797" s="1" t="s">
        <v>181</v>
      </c>
    </row>
    <row r="3798" spans="1:11" x14ac:dyDescent="0.25">
      <c r="A3798" s="1" t="s">
        <v>12016</v>
      </c>
      <c r="B3798" s="1" t="s">
        <v>12017</v>
      </c>
      <c r="D3798" s="1" t="s">
        <v>12018</v>
      </c>
      <c r="E3798" s="1" t="s">
        <v>209</v>
      </c>
      <c r="F3798" s="1" t="s">
        <v>5017</v>
      </c>
      <c r="G3798" s="1" t="s">
        <v>5018</v>
      </c>
      <c r="H3798" s="1">
        <v>0.1</v>
      </c>
      <c r="I3798" s="1">
        <v>0.1</v>
      </c>
      <c r="J3798" s="1">
        <v>0.51070862559580998</v>
      </c>
      <c r="K3798" s="1" t="s">
        <v>181</v>
      </c>
    </row>
    <row r="3799" spans="1:11" x14ac:dyDescent="0.25">
      <c r="A3799" s="1" t="s">
        <v>12019</v>
      </c>
      <c r="B3799" s="1" t="s">
        <v>12020</v>
      </c>
      <c r="D3799" s="1" t="s">
        <v>12021</v>
      </c>
      <c r="E3799" s="1" t="s">
        <v>209</v>
      </c>
      <c r="F3799" s="1" t="s">
        <v>5017</v>
      </c>
      <c r="G3799" s="1" t="s">
        <v>5018</v>
      </c>
      <c r="H3799" s="1">
        <v>0.1</v>
      </c>
      <c r="I3799" s="1">
        <v>0.1</v>
      </c>
      <c r="J3799" s="1">
        <v>0.58822365866771331</v>
      </c>
      <c r="K3799" s="1" t="s">
        <v>181</v>
      </c>
    </row>
    <row r="3800" spans="1:11" x14ac:dyDescent="0.25">
      <c r="A3800" s="1" t="s">
        <v>12022</v>
      </c>
      <c r="B3800" s="1" t="s">
        <v>12023</v>
      </c>
      <c r="D3800" s="1" t="s">
        <v>12024</v>
      </c>
      <c r="E3800" s="1" t="s">
        <v>209</v>
      </c>
      <c r="F3800" s="1" t="s">
        <v>5017</v>
      </c>
      <c r="G3800" s="1" t="s">
        <v>5018</v>
      </c>
      <c r="H3800" s="1">
        <v>0.1</v>
      </c>
      <c r="I3800" s="1">
        <v>0.1</v>
      </c>
      <c r="J3800" s="1">
        <v>0.44769987669691669</v>
      </c>
      <c r="K3800" s="1" t="s">
        <v>181</v>
      </c>
    </row>
    <row r="3801" spans="1:11" x14ac:dyDescent="0.25">
      <c r="A3801" s="1" t="s">
        <v>12025</v>
      </c>
      <c r="B3801" s="1" t="s">
        <v>12026</v>
      </c>
      <c r="D3801" s="1" t="s">
        <v>12027</v>
      </c>
      <c r="E3801" s="1" t="s">
        <v>209</v>
      </c>
      <c r="F3801" s="1" t="s">
        <v>5017</v>
      </c>
      <c r="G3801" s="1" t="s">
        <v>5018</v>
      </c>
      <c r="H3801" s="1">
        <v>0.1</v>
      </c>
      <c r="I3801" s="1">
        <v>0.1</v>
      </c>
      <c r="J3801" s="1">
        <v>0.55325585137913991</v>
      </c>
      <c r="K3801" s="1" t="s">
        <v>181</v>
      </c>
    </row>
    <row r="3802" spans="1:11" x14ac:dyDescent="0.25">
      <c r="A3802" s="1" t="s">
        <v>12028</v>
      </c>
      <c r="B3802" s="1" t="s">
        <v>12029</v>
      </c>
      <c r="D3802" s="1" t="s">
        <v>12030</v>
      </c>
      <c r="E3802" s="1" t="s">
        <v>209</v>
      </c>
      <c r="F3802" s="1" t="s">
        <v>5017</v>
      </c>
      <c r="G3802" s="1" t="s">
        <v>5018</v>
      </c>
      <c r="H3802" s="1">
        <v>0.1</v>
      </c>
      <c r="I3802" s="1">
        <v>0.1</v>
      </c>
      <c r="J3802" s="1">
        <v>0.8026621190620572</v>
      </c>
      <c r="K3802" s="1" t="s">
        <v>181</v>
      </c>
    </row>
    <row r="3803" spans="1:11" x14ac:dyDescent="0.25">
      <c r="A3803" s="1" t="s">
        <v>12031</v>
      </c>
      <c r="B3803" s="1" t="s">
        <v>12032</v>
      </c>
      <c r="D3803" s="1" t="s">
        <v>12033</v>
      </c>
      <c r="E3803" s="1" t="s">
        <v>209</v>
      </c>
      <c r="F3803" s="1" t="s">
        <v>5017</v>
      </c>
      <c r="G3803" s="1" t="s">
        <v>5018</v>
      </c>
      <c r="H3803" s="1">
        <v>0.1</v>
      </c>
      <c r="I3803" s="1">
        <v>0.1</v>
      </c>
      <c r="J3803" s="1">
        <v>0.76461681726073272</v>
      </c>
      <c r="K3803" s="1" t="s">
        <v>181</v>
      </c>
    </row>
    <row r="3804" spans="1:11" x14ac:dyDescent="0.25">
      <c r="A3804" s="1" t="s">
        <v>12034</v>
      </c>
      <c r="B3804" s="1" t="s">
        <v>12035</v>
      </c>
      <c r="D3804" s="1" t="s">
        <v>12036</v>
      </c>
      <c r="E3804" s="1" t="s">
        <v>209</v>
      </c>
      <c r="F3804" s="1" t="s">
        <v>5017</v>
      </c>
      <c r="G3804" s="1" t="s">
        <v>5018</v>
      </c>
      <c r="H3804" s="1">
        <v>0.1</v>
      </c>
      <c r="I3804" s="1">
        <v>0.1</v>
      </c>
      <c r="J3804" s="1">
        <v>0.60592397847023693</v>
      </c>
      <c r="K3804" s="1" t="s">
        <v>181</v>
      </c>
    </row>
    <row r="3805" spans="1:11" x14ac:dyDescent="0.25">
      <c r="A3805" s="1" t="s">
        <v>12037</v>
      </c>
      <c r="B3805" s="1" t="s">
        <v>12038</v>
      </c>
      <c r="D3805" s="1" t="s">
        <v>12039</v>
      </c>
      <c r="E3805" s="1" t="s">
        <v>209</v>
      </c>
      <c r="F3805" s="1" t="s">
        <v>5017</v>
      </c>
      <c r="G3805" s="1" t="s">
        <v>5018</v>
      </c>
      <c r="H3805" s="1">
        <v>0.1</v>
      </c>
      <c r="I3805" s="1">
        <v>0.1</v>
      </c>
      <c r="J3805" s="1">
        <v>0.67171454450108148</v>
      </c>
      <c r="K3805" s="1" t="s">
        <v>181</v>
      </c>
    </row>
    <row r="3806" spans="1:11" x14ac:dyDescent="0.25">
      <c r="A3806" s="1" t="s">
        <v>12040</v>
      </c>
      <c r="B3806" s="1" t="s">
        <v>12041</v>
      </c>
      <c r="D3806" s="1" t="s">
        <v>12042</v>
      </c>
      <c r="E3806" s="1" t="s">
        <v>209</v>
      </c>
      <c r="F3806" s="1" t="s">
        <v>5017</v>
      </c>
      <c r="G3806" s="1" t="s">
        <v>5018</v>
      </c>
      <c r="H3806" s="1">
        <v>0.1</v>
      </c>
      <c r="I3806" s="1">
        <v>0.1</v>
      </c>
      <c r="J3806" s="1">
        <v>0.44922398675570085</v>
      </c>
      <c r="K3806" s="1" t="s">
        <v>181</v>
      </c>
    </row>
    <row r="3807" spans="1:11" x14ac:dyDescent="0.25">
      <c r="A3807" s="1" t="s">
        <v>12043</v>
      </c>
      <c r="B3807" s="1" t="s">
        <v>12044</v>
      </c>
      <c r="D3807" s="1" t="s">
        <v>12045</v>
      </c>
      <c r="E3807" s="1" t="s">
        <v>209</v>
      </c>
      <c r="F3807" s="1" t="s">
        <v>5017</v>
      </c>
      <c r="G3807" s="1" t="s">
        <v>5018</v>
      </c>
      <c r="H3807" s="1">
        <v>0.1</v>
      </c>
      <c r="I3807" s="1">
        <v>0.1</v>
      </c>
      <c r="J3807" s="1">
        <v>0.68932714981909793</v>
      </c>
      <c r="K3807" s="1" t="s">
        <v>181</v>
      </c>
    </row>
    <row r="3808" spans="1:11" x14ac:dyDescent="0.25">
      <c r="A3808" s="1" t="s">
        <v>12046</v>
      </c>
      <c r="B3808" s="1" t="s">
        <v>12047</v>
      </c>
      <c r="D3808" s="1" t="s">
        <v>12048</v>
      </c>
      <c r="E3808" s="1" t="s">
        <v>209</v>
      </c>
      <c r="F3808" s="1" t="s">
        <v>5017</v>
      </c>
      <c r="G3808" s="1" t="s">
        <v>5018</v>
      </c>
      <c r="H3808" s="1">
        <v>0.1</v>
      </c>
      <c r="I3808" s="1">
        <v>0.1</v>
      </c>
      <c r="J3808" s="1">
        <v>0.75569581442188138</v>
      </c>
      <c r="K3808" s="1" t="s">
        <v>181</v>
      </c>
    </row>
    <row r="3809" spans="1:11" x14ac:dyDescent="0.25">
      <c r="A3809" s="1" t="s">
        <v>12049</v>
      </c>
      <c r="B3809" s="1" t="s">
        <v>12050</v>
      </c>
      <c r="D3809" s="1" t="s">
        <v>12051</v>
      </c>
      <c r="E3809" s="1" t="s">
        <v>209</v>
      </c>
      <c r="F3809" s="1" t="s">
        <v>5017</v>
      </c>
      <c r="G3809" s="1" t="s">
        <v>5018</v>
      </c>
      <c r="H3809" s="1">
        <v>0.1</v>
      </c>
      <c r="I3809" s="1">
        <v>0.1</v>
      </c>
      <c r="J3809" s="1">
        <v>0.61783384667832486</v>
      </c>
      <c r="K3809" s="1" t="s">
        <v>181</v>
      </c>
    </row>
    <row r="3810" spans="1:11" x14ac:dyDescent="0.25">
      <c r="A3810" s="1" t="s">
        <v>12052</v>
      </c>
      <c r="B3810" s="1" t="s">
        <v>12053</v>
      </c>
      <c r="D3810" s="1" t="s">
        <v>12054</v>
      </c>
      <c r="E3810" s="1" t="s">
        <v>209</v>
      </c>
      <c r="F3810" s="1" t="s">
        <v>5017</v>
      </c>
      <c r="G3810" s="1" t="s">
        <v>5018</v>
      </c>
      <c r="H3810" s="1">
        <v>0.1</v>
      </c>
      <c r="I3810" s="1">
        <v>0.1</v>
      </c>
      <c r="J3810" s="1">
        <v>0.62153486384100221</v>
      </c>
      <c r="K3810" s="1" t="s">
        <v>181</v>
      </c>
    </row>
    <row r="3811" spans="1:11" x14ac:dyDescent="0.25">
      <c r="A3811" s="1" t="s">
        <v>12055</v>
      </c>
      <c r="B3811" s="1" t="s">
        <v>12056</v>
      </c>
      <c r="D3811" s="1" t="s">
        <v>12057</v>
      </c>
      <c r="E3811" s="1" t="s">
        <v>209</v>
      </c>
      <c r="F3811" s="1" t="s">
        <v>5017</v>
      </c>
      <c r="G3811" s="1" t="s">
        <v>5018</v>
      </c>
      <c r="H3811" s="1">
        <v>0.1</v>
      </c>
      <c r="I3811" s="1">
        <v>0.1</v>
      </c>
      <c r="J3811" s="1">
        <v>0.59162416583048705</v>
      </c>
      <c r="K3811" s="1" t="s">
        <v>181</v>
      </c>
    </row>
    <row r="3812" spans="1:11" x14ac:dyDescent="0.25">
      <c r="A3812" s="1" t="s">
        <v>12058</v>
      </c>
      <c r="B3812" s="1" t="s">
        <v>12059</v>
      </c>
      <c r="D3812" s="1" t="s">
        <v>12060</v>
      </c>
      <c r="E3812" s="1" t="s">
        <v>209</v>
      </c>
      <c r="F3812" s="1" t="s">
        <v>5017</v>
      </c>
      <c r="G3812" s="1" t="s">
        <v>5018</v>
      </c>
      <c r="H3812" s="1">
        <v>0.1</v>
      </c>
      <c r="I3812" s="1">
        <v>0.1</v>
      </c>
      <c r="J3812" s="1">
        <v>0.7759278452569971</v>
      </c>
      <c r="K3812" s="1" t="s">
        <v>181</v>
      </c>
    </row>
    <row r="3813" spans="1:11" x14ac:dyDescent="0.25">
      <c r="A3813" s="1" t="s">
        <v>12061</v>
      </c>
      <c r="B3813" s="1" t="s">
        <v>12062</v>
      </c>
      <c r="D3813" s="1" t="s">
        <v>12063</v>
      </c>
      <c r="E3813" s="1" t="s">
        <v>209</v>
      </c>
      <c r="F3813" s="1" t="s">
        <v>5017</v>
      </c>
      <c r="G3813" s="1" t="s">
        <v>5018</v>
      </c>
      <c r="H3813" s="1">
        <v>0.1</v>
      </c>
      <c r="I3813" s="1">
        <v>0.1</v>
      </c>
      <c r="J3813" s="1">
        <v>0.70115286416810108</v>
      </c>
      <c r="K3813" s="1" t="s">
        <v>181</v>
      </c>
    </row>
    <row r="3814" spans="1:11" x14ac:dyDescent="0.25">
      <c r="A3814" s="1" t="s">
        <v>12064</v>
      </c>
      <c r="B3814" s="1" t="s">
        <v>12065</v>
      </c>
      <c r="D3814" s="1" t="s">
        <v>12066</v>
      </c>
      <c r="E3814" s="1" t="s">
        <v>209</v>
      </c>
      <c r="F3814" s="1" t="s">
        <v>5017</v>
      </c>
      <c r="G3814" s="1" t="s">
        <v>5018</v>
      </c>
      <c r="H3814" s="1">
        <v>0.1</v>
      </c>
      <c r="I3814" s="1">
        <v>0.1</v>
      </c>
      <c r="J3814" s="1">
        <v>0.7274188271393387</v>
      </c>
      <c r="K3814" s="1" t="s">
        <v>181</v>
      </c>
    </row>
    <row r="3815" spans="1:11" x14ac:dyDescent="0.25">
      <c r="A3815" s="1" t="s">
        <v>12067</v>
      </c>
      <c r="B3815" s="1" t="s">
        <v>12068</v>
      </c>
      <c r="D3815" s="1" t="s">
        <v>12069</v>
      </c>
      <c r="E3815" s="1" t="s">
        <v>209</v>
      </c>
      <c r="F3815" s="1" t="s">
        <v>5017</v>
      </c>
      <c r="G3815" s="1" t="s">
        <v>5018</v>
      </c>
      <c r="H3815" s="1">
        <v>0.1</v>
      </c>
      <c r="I3815" s="1">
        <v>0.1</v>
      </c>
      <c r="J3815" s="1">
        <v>0.74446820246437206</v>
      </c>
      <c r="K3815" s="1" t="s">
        <v>181</v>
      </c>
    </row>
    <row r="3816" spans="1:11" x14ac:dyDescent="0.25">
      <c r="A3816" s="1" t="s">
        <v>12070</v>
      </c>
      <c r="B3816" s="1" t="s">
        <v>12071</v>
      </c>
      <c r="D3816" s="1" t="s">
        <v>12072</v>
      </c>
      <c r="E3816" s="1" t="s">
        <v>209</v>
      </c>
      <c r="F3816" s="1" t="s">
        <v>5017</v>
      </c>
      <c r="G3816" s="1" t="s">
        <v>5018</v>
      </c>
      <c r="H3816" s="1">
        <v>0.1</v>
      </c>
      <c r="I3816" s="1">
        <v>0.1</v>
      </c>
      <c r="J3816" s="1">
        <v>0.65000090287080103</v>
      </c>
      <c r="K3816" s="1" t="s">
        <v>181</v>
      </c>
    </row>
    <row r="3817" spans="1:11" x14ac:dyDescent="0.25">
      <c r="A3817" s="1" t="s">
        <v>12073</v>
      </c>
      <c r="B3817" s="1" t="s">
        <v>12074</v>
      </c>
      <c r="D3817" s="1" t="s">
        <v>12075</v>
      </c>
      <c r="E3817" s="1" t="s">
        <v>209</v>
      </c>
      <c r="F3817" s="1" t="s">
        <v>5017</v>
      </c>
      <c r="G3817" s="1" t="s">
        <v>5018</v>
      </c>
      <c r="H3817" s="1">
        <v>0.1</v>
      </c>
      <c r="I3817" s="1">
        <v>0.1</v>
      </c>
      <c r="J3817" s="1">
        <v>0.83959698933824511</v>
      </c>
      <c r="K3817" s="1" t="s">
        <v>181</v>
      </c>
    </row>
    <row r="3818" spans="1:11" x14ac:dyDescent="0.25">
      <c r="A3818" s="1" t="s">
        <v>12076</v>
      </c>
      <c r="B3818" s="1" t="s">
        <v>12077</v>
      </c>
      <c r="D3818" s="1" t="s">
        <v>12078</v>
      </c>
      <c r="E3818" s="1" t="s">
        <v>209</v>
      </c>
      <c r="F3818" s="1" t="s">
        <v>5017</v>
      </c>
      <c r="G3818" s="1" t="s">
        <v>5018</v>
      </c>
      <c r="H3818" s="1">
        <v>0.1</v>
      </c>
      <c r="I3818" s="1">
        <v>0.1</v>
      </c>
      <c r="J3818" s="1">
        <v>0.48197017334807579</v>
      </c>
      <c r="K3818" s="1" t="s">
        <v>181</v>
      </c>
    </row>
    <row r="3819" spans="1:11" x14ac:dyDescent="0.25">
      <c r="A3819" s="1" t="s">
        <v>12079</v>
      </c>
      <c r="B3819" s="1" t="s">
        <v>12080</v>
      </c>
      <c r="D3819" s="1" t="s">
        <v>12081</v>
      </c>
      <c r="E3819" s="1" t="s">
        <v>209</v>
      </c>
      <c r="F3819" s="1" t="s">
        <v>5017</v>
      </c>
      <c r="G3819" s="1" t="s">
        <v>5018</v>
      </c>
      <c r="H3819" s="1">
        <v>0.1</v>
      </c>
      <c r="I3819" s="1">
        <v>0.1</v>
      </c>
      <c r="J3819" s="1">
        <v>0.63366858513786573</v>
      </c>
      <c r="K3819" s="1" t="s">
        <v>181</v>
      </c>
    </row>
    <row r="3820" spans="1:11" x14ac:dyDescent="0.25">
      <c r="A3820" s="1" t="s">
        <v>12082</v>
      </c>
      <c r="B3820" s="1" t="s">
        <v>12083</v>
      </c>
      <c r="D3820" s="1" t="s">
        <v>12084</v>
      </c>
      <c r="E3820" s="1" t="s">
        <v>209</v>
      </c>
      <c r="F3820" s="1" t="s">
        <v>5017</v>
      </c>
      <c r="G3820" s="1" t="s">
        <v>5018</v>
      </c>
      <c r="H3820" s="1">
        <v>0.1</v>
      </c>
      <c r="I3820" s="1">
        <v>0.1</v>
      </c>
      <c r="J3820" s="1">
        <v>0.60527910321967215</v>
      </c>
      <c r="K3820" s="1" t="s">
        <v>181</v>
      </c>
    </row>
    <row r="3821" spans="1:11" x14ac:dyDescent="0.25">
      <c r="A3821" s="1" t="s">
        <v>12085</v>
      </c>
      <c r="B3821" s="1" t="s">
        <v>12086</v>
      </c>
      <c r="D3821" s="1" t="s">
        <v>12087</v>
      </c>
      <c r="E3821" s="1" t="s">
        <v>209</v>
      </c>
      <c r="F3821" s="1" t="s">
        <v>5017</v>
      </c>
      <c r="G3821" s="1" t="s">
        <v>5018</v>
      </c>
      <c r="H3821" s="1">
        <v>0.1</v>
      </c>
      <c r="I3821" s="1">
        <v>0.1</v>
      </c>
      <c r="J3821" s="1">
        <v>0.75566581695689727</v>
      </c>
      <c r="K3821" s="1" t="s">
        <v>181</v>
      </c>
    </row>
    <row r="3822" spans="1:11" x14ac:dyDescent="0.25">
      <c r="A3822" s="1" t="s">
        <v>12088</v>
      </c>
      <c r="B3822" s="1" t="s">
        <v>12089</v>
      </c>
      <c r="D3822" s="1" t="s">
        <v>12090</v>
      </c>
      <c r="E3822" s="1" t="s">
        <v>209</v>
      </c>
      <c r="F3822" s="1" t="s">
        <v>5017</v>
      </c>
      <c r="G3822" s="1" t="s">
        <v>5018</v>
      </c>
      <c r="H3822" s="1">
        <v>0.1</v>
      </c>
      <c r="I3822" s="1">
        <v>0.1</v>
      </c>
      <c r="J3822" s="1">
        <v>0.76798985444475176</v>
      </c>
      <c r="K3822" s="1" t="s">
        <v>181</v>
      </c>
    </row>
    <row r="3823" spans="1:11" x14ac:dyDescent="0.25">
      <c r="A3823" s="1" t="s">
        <v>12091</v>
      </c>
      <c r="B3823" s="1" t="s">
        <v>12092</v>
      </c>
      <c r="D3823" s="1" t="s">
        <v>12093</v>
      </c>
      <c r="E3823" s="1" t="s">
        <v>209</v>
      </c>
      <c r="F3823" s="1" t="s">
        <v>5017</v>
      </c>
      <c r="G3823" s="1" t="s">
        <v>5018</v>
      </c>
      <c r="H3823" s="1">
        <v>0.1</v>
      </c>
      <c r="I3823" s="1">
        <v>0.1</v>
      </c>
      <c r="J3823" s="1">
        <v>0.88770775929784973</v>
      </c>
      <c r="K3823" s="1" t="s">
        <v>181</v>
      </c>
    </row>
    <row r="3824" spans="1:11" x14ac:dyDescent="0.25">
      <c r="A3824" s="1" t="s">
        <v>12094</v>
      </c>
      <c r="B3824" s="1" t="s">
        <v>12095</v>
      </c>
      <c r="D3824" s="1" t="s">
        <v>12096</v>
      </c>
      <c r="E3824" s="1" t="s">
        <v>209</v>
      </c>
      <c r="F3824" s="1" t="s">
        <v>5017</v>
      </c>
      <c r="G3824" s="1" t="s">
        <v>5018</v>
      </c>
      <c r="H3824" s="1">
        <v>0.1</v>
      </c>
      <c r="I3824" s="1">
        <v>0.1</v>
      </c>
      <c r="J3824" s="1">
        <v>0.50543777768635734</v>
      </c>
      <c r="K3824" s="1" t="s">
        <v>181</v>
      </c>
    </row>
    <row r="3825" spans="1:11" x14ac:dyDescent="0.25">
      <c r="A3825" s="1" t="s">
        <v>12097</v>
      </c>
      <c r="B3825" s="1" t="s">
        <v>12098</v>
      </c>
      <c r="D3825" s="1" t="s">
        <v>12099</v>
      </c>
      <c r="E3825" s="1" t="s">
        <v>209</v>
      </c>
      <c r="F3825" s="1" t="s">
        <v>5017</v>
      </c>
      <c r="G3825" s="1" t="s">
        <v>5018</v>
      </c>
      <c r="H3825" s="1">
        <v>0.1</v>
      </c>
      <c r="I3825" s="1">
        <v>0.1</v>
      </c>
      <c r="J3825" s="1">
        <v>0.85744444837003342</v>
      </c>
      <c r="K3825" s="1" t="s">
        <v>181</v>
      </c>
    </row>
    <row r="3826" spans="1:11" x14ac:dyDescent="0.25">
      <c r="A3826" s="1" t="s">
        <v>12100</v>
      </c>
      <c r="B3826" s="1" t="s">
        <v>12101</v>
      </c>
      <c r="D3826" s="1" t="s">
        <v>12102</v>
      </c>
      <c r="E3826" s="1" t="s">
        <v>209</v>
      </c>
      <c r="F3826" s="1" t="s">
        <v>5017</v>
      </c>
      <c r="G3826" s="1" t="s">
        <v>5018</v>
      </c>
      <c r="H3826" s="1">
        <v>0.1</v>
      </c>
      <c r="I3826" s="1">
        <v>0.1</v>
      </c>
      <c r="J3826" s="1">
        <v>0.78238005379533226</v>
      </c>
      <c r="K3826" s="1" t="s">
        <v>181</v>
      </c>
    </row>
    <row r="3827" spans="1:11" x14ac:dyDescent="0.25">
      <c r="A3827" s="1" t="s">
        <v>12103</v>
      </c>
      <c r="B3827" s="1" t="s">
        <v>12104</v>
      </c>
      <c r="D3827" s="1" t="s">
        <v>12105</v>
      </c>
      <c r="E3827" s="1" t="s">
        <v>209</v>
      </c>
      <c r="F3827" s="1" t="s">
        <v>5017</v>
      </c>
      <c r="G3827" s="1" t="s">
        <v>5018</v>
      </c>
      <c r="H3827" s="1">
        <v>0.1</v>
      </c>
      <c r="I3827" s="1">
        <v>0.1</v>
      </c>
      <c r="J3827" s="1">
        <v>0.78627872907207408</v>
      </c>
      <c r="K3827" s="1" t="s">
        <v>181</v>
      </c>
    </row>
    <row r="3828" spans="1:11" x14ac:dyDescent="0.25">
      <c r="A3828" s="1" t="s">
        <v>12106</v>
      </c>
      <c r="B3828" s="1" t="s">
        <v>12107</v>
      </c>
      <c r="D3828" s="1" t="s">
        <v>12108</v>
      </c>
      <c r="E3828" s="1" t="s">
        <v>209</v>
      </c>
      <c r="F3828" s="1" t="s">
        <v>5017</v>
      </c>
      <c r="G3828" s="1" t="s">
        <v>5018</v>
      </c>
      <c r="H3828" s="1">
        <v>0.1</v>
      </c>
      <c r="I3828" s="1">
        <v>0.1</v>
      </c>
      <c r="J3828" s="1">
        <v>0.90340219044315284</v>
      </c>
      <c r="K3828" s="1" t="s">
        <v>181</v>
      </c>
    </row>
    <row r="3829" spans="1:11" x14ac:dyDescent="0.25">
      <c r="A3829" s="1" t="s">
        <v>12109</v>
      </c>
      <c r="B3829" s="1" t="s">
        <v>12110</v>
      </c>
      <c r="D3829" s="1" t="s">
        <v>12111</v>
      </c>
      <c r="E3829" s="1" t="s">
        <v>209</v>
      </c>
      <c r="F3829" s="1" t="s">
        <v>5017</v>
      </c>
      <c r="G3829" s="1" t="s">
        <v>5018</v>
      </c>
      <c r="H3829" s="1">
        <v>0.1</v>
      </c>
      <c r="I3829" s="1">
        <v>0.1</v>
      </c>
      <c r="J3829" s="1">
        <v>0.82678273317410322</v>
      </c>
      <c r="K3829" s="1" t="s">
        <v>181</v>
      </c>
    </row>
    <row r="3830" spans="1:11" x14ac:dyDescent="0.25">
      <c r="A3830" s="1" t="s">
        <v>12112</v>
      </c>
      <c r="B3830" s="1" t="s">
        <v>12113</v>
      </c>
      <c r="D3830" s="1" t="s">
        <v>12114</v>
      </c>
      <c r="E3830" s="1" t="s">
        <v>209</v>
      </c>
      <c r="F3830" s="1" t="s">
        <v>5017</v>
      </c>
      <c r="G3830" s="1" t="s">
        <v>5018</v>
      </c>
      <c r="H3830" s="1">
        <v>0.1</v>
      </c>
      <c r="I3830" s="1">
        <v>0.1</v>
      </c>
      <c r="J3830" s="1">
        <v>0.87526958701381585</v>
      </c>
      <c r="K3830" s="1" t="s">
        <v>181</v>
      </c>
    </row>
    <row r="3831" spans="1:11" x14ac:dyDescent="0.25">
      <c r="A3831" s="1" t="s">
        <v>12115</v>
      </c>
      <c r="B3831" s="1" t="s">
        <v>12116</v>
      </c>
      <c r="D3831" s="1" t="s">
        <v>12117</v>
      </c>
      <c r="E3831" s="1" t="s">
        <v>209</v>
      </c>
      <c r="F3831" s="1" t="s">
        <v>5017</v>
      </c>
      <c r="G3831" s="1" t="s">
        <v>5018</v>
      </c>
      <c r="H3831" s="1">
        <v>0.1</v>
      </c>
      <c r="I3831" s="1">
        <v>0.1</v>
      </c>
      <c r="J3831" s="1">
        <v>0.55245540133053361</v>
      </c>
      <c r="K3831" s="1" t="s">
        <v>181</v>
      </c>
    </row>
    <row r="3832" spans="1:11" x14ac:dyDescent="0.25">
      <c r="A3832" s="1" t="s">
        <v>12118</v>
      </c>
      <c r="B3832" s="1" t="s">
        <v>12119</v>
      </c>
      <c r="D3832" s="1" t="s">
        <v>12120</v>
      </c>
      <c r="E3832" s="1" t="s">
        <v>209</v>
      </c>
      <c r="F3832" s="1" t="s">
        <v>5017</v>
      </c>
      <c r="G3832" s="1" t="s">
        <v>5018</v>
      </c>
      <c r="H3832" s="1">
        <v>0.1</v>
      </c>
      <c r="I3832" s="1">
        <v>0.1</v>
      </c>
      <c r="J3832" s="1">
        <v>0.7520586899993732</v>
      </c>
      <c r="K3832" s="1" t="s">
        <v>181</v>
      </c>
    </row>
    <row r="3833" spans="1:11" x14ac:dyDescent="0.25">
      <c r="A3833" s="1" t="s">
        <v>12121</v>
      </c>
      <c r="B3833" s="1" t="s">
        <v>12122</v>
      </c>
      <c r="D3833" s="1" t="s">
        <v>12123</v>
      </c>
      <c r="E3833" s="1" t="s">
        <v>209</v>
      </c>
      <c r="F3833" s="1" t="s">
        <v>5017</v>
      </c>
      <c r="G3833" s="1" t="s">
        <v>5018</v>
      </c>
      <c r="H3833" s="1">
        <v>0.1</v>
      </c>
      <c r="I3833" s="1">
        <v>0.1</v>
      </c>
      <c r="J3833" s="1">
        <v>0.78954164384732273</v>
      </c>
      <c r="K3833" s="1" t="s">
        <v>181</v>
      </c>
    </row>
    <row r="3834" spans="1:11" x14ac:dyDescent="0.25">
      <c r="A3834" s="1" t="s">
        <v>12124</v>
      </c>
      <c r="B3834" s="1" t="s">
        <v>12125</v>
      </c>
      <c r="D3834" s="1" t="s">
        <v>12126</v>
      </c>
      <c r="E3834" s="1" t="s">
        <v>209</v>
      </c>
      <c r="F3834" s="1" t="s">
        <v>5017</v>
      </c>
      <c r="G3834" s="1" t="s">
        <v>5018</v>
      </c>
      <c r="H3834" s="1">
        <v>0.1</v>
      </c>
      <c r="I3834" s="1">
        <v>0.1</v>
      </c>
      <c r="J3834" s="1">
        <v>0.86316162722349954</v>
      </c>
      <c r="K3834" s="1" t="s">
        <v>181</v>
      </c>
    </row>
    <row r="3835" spans="1:11" x14ac:dyDescent="0.25">
      <c r="A3835" s="1" t="s">
        <v>12127</v>
      </c>
      <c r="B3835" s="1" t="s">
        <v>12128</v>
      </c>
      <c r="D3835" s="1" t="s">
        <v>12129</v>
      </c>
      <c r="E3835" s="1" t="s">
        <v>209</v>
      </c>
      <c r="F3835" s="1" t="s">
        <v>5017</v>
      </c>
      <c r="G3835" s="1" t="s">
        <v>5018</v>
      </c>
      <c r="H3835" s="1">
        <v>0.1</v>
      </c>
      <c r="I3835" s="1">
        <v>0.1</v>
      </c>
      <c r="J3835" s="1">
        <v>0.872715913639875</v>
      </c>
      <c r="K3835" s="1" t="s">
        <v>181</v>
      </c>
    </row>
    <row r="3836" spans="1:11" x14ac:dyDescent="0.25">
      <c r="A3836" s="1" t="s">
        <v>12130</v>
      </c>
      <c r="B3836" s="1" t="s">
        <v>12131</v>
      </c>
      <c r="D3836" s="1" t="s">
        <v>12132</v>
      </c>
      <c r="E3836" s="1" t="s">
        <v>209</v>
      </c>
      <c r="F3836" s="1" t="s">
        <v>5017</v>
      </c>
      <c r="G3836" s="1" t="s">
        <v>5018</v>
      </c>
      <c r="H3836" s="1">
        <v>0.1</v>
      </c>
      <c r="I3836" s="1">
        <v>0.1</v>
      </c>
      <c r="J3836" s="1">
        <v>0.67030940008145723</v>
      </c>
      <c r="K3836" s="1" t="s">
        <v>181</v>
      </c>
    </row>
    <row r="3837" spans="1:11" x14ac:dyDescent="0.25">
      <c r="A3837" s="1" t="s">
        <v>12133</v>
      </c>
      <c r="B3837" s="1" t="s">
        <v>12134</v>
      </c>
      <c r="D3837" s="1" t="s">
        <v>12135</v>
      </c>
      <c r="E3837" s="1" t="s">
        <v>209</v>
      </c>
      <c r="F3837" s="1" t="s">
        <v>5017</v>
      </c>
      <c r="G3837" s="1" t="s">
        <v>5018</v>
      </c>
      <c r="H3837" s="1">
        <v>0.1</v>
      </c>
      <c r="I3837" s="1">
        <v>0.1</v>
      </c>
      <c r="J3837" s="1">
        <v>0.51243829995442791</v>
      </c>
      <c r="K3837" s="1" t="s">
        <v>181</v>
      </c>
    </row>
    <row r="3838" spans="1:11" x14ac:dyDescent="0.25">
      <c r="A3838" s="1" t="s">
        <v>12136</v>
      </c>
      <c r="B3838" s="1" t="s">
        <v>12137</v>
      </c>
      <c r="D3838" s="1" t="s">
        <v>12138</v>
      </c>
      <c r="E3838" s="1" t="s">
        <v>209</v>
      </c>
      <c r="F3838" s="1" t="s">
        <v>5017</v>
      </c>
      <c r="G3838" s="1" t="s">
        <v>5018</v>
      </c>
      <c r="H3838" s="1">
        <v>0.1</v>
      </c>
      <c r="I3838" s="1">
        <v>0.1</v>
      </c>
      <c r="J3838" s="1">
        <v>0.52123287917271499</v>
      </c>
      <c r="K3838" s="1" t="s">
        <v>181</v>
      </c>
    </row>
    <row r="3839" spans="1:11" x14ac:dyDescent="0.25">
      <c r="A3839" s="1" t="s">
        <v>12139</v>
      </c>
      <c r="B3839" s="1" t="s">
        <v>12140</v>
      </c>
      <c r="D3839" s="1" t="s">
        <v>12141</v>
      </c>
      <c r="E3839" s="1" t="s">
        <v>209</v>
      </c>
      <c r="F3839" s="1" t="s">
        <v>5017</v>
      </c>
      <c r="G3839" s="1" t="s">
        <v>5018</v>
      </c>
      <c r="H3839" s="1">
        <v>0.1</v>
      </c>
      <c r="I3839" s="1">
        <v>0.1</v>
      </c>
      <c r="J3839" s="1">
        <v>0.36769583987270771</v>
      </c>
      <c r="K3839" s="1" t="s">
        <v>181</v>
      </c>
    </row>
    <row r="3840" spans="1:11" x14ac:dyDescent="0.25">
      <c r="A3840" s="1" t="s">
        <v>12142</v>
      </c>
      <c r="B3840" s="1" t="s">
        <v>12143</v>
      </c>
      <c r="D3840" s="1" t="s">
        <v>12144</v>
      </c>
      <c r="E3840" s="1" t="s">
        <v>209</v>
      </c>
      <c r="F3840" s="1" t="s">
        <v>5017</v>
      </c>
      <c r="G3840" s="1" t="s">
        <v>5018</v>
      </c>
      <c r="H3840" s="1">
        <v>0.1</v>
      </c>
      <c r="I3840" s="1">
        <v>0.1</v>
      </c>
      <c r="J3840" s="1">
        <v>0.37766910333251524</v>
      </c>
      <c r="K3840" s="1" t="s">
        <v>181</v>
      </c>
    </row>
    <row r="3841" spans="1:11" x14ac:dyDescent="0.25">
      <c r="A3841" s="1" t="s">
        <v>12145</v>
      </c>
      <c r="B3841" s="1" t="s">
        <v>12146</v>
      </c>
      <c r="D3841" s="1" t="s">
        <v>12147</v>
      </c>
      <c r="E3841" s="1" t="s">
        <v>209</v>
      </c>
      <c r="F3841" s="1" t="s">
        <v>5017</v>
      </c>
      <c r="G3841" s="1" t="s">
        <v>5018</v>
      </c>
      <c r="H3841" s="1">
        <v>0.1</v>
      </c>
      <c r="I3841" s="1">
        <v>0.1</v>
      </c>
      <c r="J3841" s="1">
        <v>0.39646413031002981</v>
      </c>
      <c r="K3841" s="1" t="s">
        <v>181</v>
      </c>
    </row>
    <row r="3842" spans="1:11" x14ac:dyDescent="0.25">
      <c r="A3842" s="1" t="s">
        <v>12148</v>
      </c>
      <c r="B3842" s="1" t="s">
        <v>12149</v>
      </c>
      <c r="D3842" s="1" t="s">
        <v>12150</v>
      </c>
      <c r="E3842" s="1" t="s">
        <v>209</v>
      </c>
      <c r="F3842" s="1" t="s">
        <v>5017</v>
      </c>
      <c r="G3842" s="1" t="s">
        <v>5018</v>
      </c>
      <c r="H3842" s="1">
        <v>0.1</v>
      </c>
      <c r="I3842" s="1">
        <v>0.1</v>
      </c>
      <c r="J3842" s="1">
        <v>0.77886477072072102</v>
      </c>
      <c r="K3842" s="1" t="s">
        <v>181</v>
      </c>
    </row>
    <row r="3843" spans="1:11" x14ac:dyDescent="0.25">
      <c r="A3843" s="1" t="s">
        <v>12151</v>
      </c>
      <c r="B3843" s="1" t="s">
        <v>12152</v>
      </c>
      <c r="D3843" s="1" t="s">
        <v>12153</v>
      </c>
      <c r="E3843" s="1" t="s">
        <v>209</v>
      </c>
      <c r="F3843" s="1" t="s">
        <v>5017</v>
      </c>
      <c r="G3843" s="1" t="s">
        <v>5018</v>
      </c>
      <c r="H3843" s="1">
        <v>0.1</v>
      </c>
      <c r="I3843" s="1">
        <v>0.1</v>
      </c>
      <c r="J3843" s="1">
        <v>0.54824670485566285</v>
      </c>
      <c r="K3843" s="1" t="s">
        <v>181</v>
      </c>
    </row>
    <row r="3844" spans="1:11" x14ac:dyDescent="0.25">
      <c r="A3844" s="1" t="s">
        <v>12154</v>
      </c>
      <c r="B3844" s="1" t="s">
        <v>12155</v>
      </c>
      <c r="D3844" s="1" t="s">
        <v>12156</v>
      </c>
      <c r="E3844" s="1" t="s">
        <v>209</v>
      </c>
      <c r="F3844" s="1" t="s">
        <v>5017</v>
      </c>
      <c r="G3844" s="1" t="s">
        <v>5018</v>
      </c>
      <c r="H3844" s="1">
        <v>0.1</v>
      </c>
      <c r="I3844" s="1">
        <v>0.1</v>
      </c>
      <c r="J3844" s="1">
        <v>0.52512920802379992</v>
      </c>
      <c r="K3844" s="1" t="s">
        <v>181</v>
      </c>
    </row>
    <row r="3845" spans="1:11" x14ac:dyDescent="0.25">
      <c r="A3845" s="1" t="s">
        <v>12157</v>
      </c>
      <c r="B3845" s="1" t="s">
        <v>12158</v>
      </c>
      <c r="D3845" s="1" t="s">
        <v>12159</v>
      </c>
      <c r="E3845" s="1" t="s">
        <v>209</v>
      </c>
      <c r="F3845" s="1" t="s">
        <v>5017</v>
      </c>
      <c r="G3845" s="1" t="s">
        <v>5018</v>
      </c>
      <c r="H3845" s="1">
        <v>0.1</v>
      </c>
      <c r="I3845" s="1">
        <v>0.1</v>
      </c>
      <c r="J3845" s="1">
        <v>0.65326168803943141</v>
      </c>
      <c r="K3845" s="1" t="s">
        <v>181</v>
      </c>
    </row>
    <row r="3846" spans="1:11" x14ac:dyDescent="0.25">
      <c r="A3846" s="1" t="s">
        <v>12160</v>
      </c>
      <c r="B3846" s="1" t="s">
        <v>12161</v>
      </c>
      <c r="D3846" s="1" t="s">
        <v>12162</v>
      </c>
      <c r="E3846" s="1" t="s">
        <v>209</v>
      </c>
      <c r="F3846" s="1" t="s">
        <v>5017</v>
      </c>
      <c r="G3846" s="1" t="s">
        <v>5018</v>
      </c>
      <c r="H3846" s="1">
        <v>0.1</v>
      </c>
      <c r="I3846" s="1">
        <v>0.1</v>
      </c>
      <c r="J3846" s="1">
        <v>0.42147050742579784</v>
      </c>
      <c r="K3846" s="1" t="s">
        <v>181</v>
      </c>
    </row>
    <row r="3847" spans="1:11" x14ac:dyDescent="0.25">
      <c r="A3847" s="1" t="s">
        <v>12163</v>
      </c>
      <c r="B3847" s="1" t="s">
        <v>12164</v>
      </c>
      <c r="D3847" s="1" t="s">
        <v>12165</v>
      </c>
      <c r="E3847" s="1" t="s">
        <v>209</v>
      </c>
      <c r="F3847" s="1" t="s">
        <v>5017</v>
      </c>
      <c r="G3847" s="1" t="s">
        <v>5018</v>
      </c>
      <c r="H3847" s="1">
        <v>0.1</v>
      </c>
      <c r="I3847" s="1">
        <v>0.1</v>
      </c>
      <c r="J3847" s="1">
        <v>0.62130808112174252</v>
      </c>
      <c r="K3847" s="1" t="s">
        <v>181</v>
      </c>
    </row>
    <row r="3848" spans="1:11" x14ac:dyDescent="0.25">
      <c r="A3848" s="1" t="s">
        <v>12166</v>
      </c>
      <c r="B3848" s="1" t="s">
        <v>12167</v>
      </c>
      <c r="D3848" s="1" t="s">
        <v>12168</v>
      </c>
      <c r="E3848" s="1" t="s">
        <v>209</v>
      </c>
      <c r="F3848" s="1" t="s">
        <v>5017</v>
      </c>
      <c r="G3848" s="1" t="s">
        <v>5018</v>
      </c>
      <c r="H3848" s="1">
        <v>0.1</v>
      </c>
      <c r="I3848" s="1">
        <v>0.1</v>
      </c>
      <c r="J3848" s="1">
        <v>0.80410363718912592</v>
      </c>
      <c r="K3848" s="1" t="s">
        <v>181</v>
      </c>
    </row>
    <row r="3849" spans="1:11" x14ac:dyDescent="0.25">
      <c r="A3849" s="1" t="s">
        <v>12169</v>
      </c>
      <c r="B3849" s="1" t="s">
        <v>12170</v>
      </c>
      <c r="D3849" s="1" t="s">
        <v>12171</v>
      </c>
      <c r="E3849" s="1" t="s">
        <v>209</v>
      </c>
      <c r="F3849" s="1" t="s">
        <v>5017</v>
      </c>
      <c r="G3849" s="1" t="s">
        <v>5018</v>
      </c>
      <c r="H3849" s="1">
        <v>0.1</v>
      </c>
      <c r="I3849" s="1">
        <v>0.1</v>
      </c>
      <c r="J3849" s="1">
        <v>0.60895237337339925</v>
      </c>
      <c r="K3849" s="1" t="s">
        <v>181</v>
      </c>
    </row>
    <row r="3850" spans="1:11" x14ac:dyDescent="0.25">
      <c r="A3850" s="1" t="s">
        <v>12172</v>
      </c>
      <c r="B3850" s="1" t="s">
        <v>12173</v>
      </c>
      <c r="D3850" s="1" t="s">
        <v>12174</v>
      </c>
      <c r="E3850" s="1" t="s">
        <v>209</v>
      </c>
      <c r="F3850" s="1" t="s">
        <v>5017</v>
      </c>
      <c r="G3850" s="1" t="s">
        <v>5018</v>
      </c>
      <c r="H3850" s="1">
        <v>0.1</v>
      </c>
      <c r="I3850" s="1">
        <v>0.1</v>
      </c>
      <c r="J3850" s="1">
        <v>0.66830323025618832</v>
      </c>
      <c r="K3850" s="1" t="s">
        <v>181</v>
      </c>
    </row>
    <row r="3851" spans="1:11" x14ac:dyDescent="0.25">
      <c r="A3851" s="1" t="s">
        <v>12175</v>
      </c>
      <c r="B3851" s="1" t="s">
        <v>12176</v>
      </c>
      <c r="D3851" s="1" t="s">
        <v>12177</v>
      </c>
      <c r="E3851" s="1" t="s">
        <v>209</v>
      </c>
      <c r="F3851" s="1" t="s">
        <v>5017</v>
      </c>
      <c r="G3851" s="1" t="s">
        <v>5018</v>
      </c>
      <c r="H3851" s="1">
        <v>0.1</v>
      </c>
      <c r="I3851" s="1">
        <v>0.1</v>
      </c>
      <c r="J3851" s="1">
        <v>0.80775535018535416</v>
      </c>
      <c r="K3851" s="1" t="s">
        <v>181</v>
      </c>
    </row>
    <row r="3852" spans="1:11" x14ac:dyDescent="0.25">
      <c r="A3852" s="1" t="s">
        <v>12178</v>
      </c>
      <c r="B3852" s="1" t="s">
        <v>12179</v>
      </c>
      <c r="D3852" s="1" t="s">
        <v>12180</v>
      </c>
      <c r="E3852" s="1" t="s">
        <v>209</v>
      </c>
      <c r="F3852" s="1" t="s">
        <v>5017</v>
      </c>
      <c r="G3852" s="1" t="s">
        <v>5018</v>
      </c>
      <c r="H3852" s="1">
        <v>0.1</v>
      </c>
      <c r="I3852" s="1">
        <v>0.1</v>
      </c>
      <c r="J3852" s="1">
        <v>0.69273593801349798</v>
      </c>
      <c r="K3852" s="1" t="s">
        <v>181</v>
      </c>
    </row>
    <row r="3853" spans="1:11" x14ac:dyDescent="0.25">
      <c r="A3853" s="1" t="s">
        <v>152</v>
      </c>
      <c r="B3853" s="1" t="s">
        <v>12181</v>
      </c>
      <c r="D3853" s="1" t="s">
        <v>12182</v>
      </c>
      <c r="E3853" s="1" t="s">
        <v>209</v>
      </c>
      <c r="F3853" s="1" t="s">
        <v>5017</v>
      </c>
      <c r="G3853" s="1" t="s">
        <v>5018</v>
      </c>
      <c r="H3853" s="1">
        <v>0.1</v>
      </c>
      <c r="I3853" s="1">
        <v>0.1</v>
      </c>
      <c r="J3853" s="1">
        <v>0.65094177827710131</v>
      </c>
      <c r="K3853" s="1" t="s">
        <v>181</v>
      </c>
    </row>
    <row r="3854" spans="1:11" x14ac:dyDescent="0.25">
      <c r="A3854" s="1" t="s">
        <v>12183</v>
      </c>
      <c r="B3854" s="1" t="s">
        <v>12184</v>
      </c>
      <c r="D3854" s="1" t="s">
        <v>12185</v>
      </c>
      <c r="E3854" s="1" t="s">
        <v>209</v>
      </c>
      <c r="F3854" s="1" t="s">
        <v>5017</v>
      </c>
      <c r="G3854" s="1" t="s">
        <v>5018</v>
      </c>
      <c r="H3854" s="1">
        <v>0.1</v>
      </c>
      <c r="I3854" s="1">
        <v>0.1</v>
      </c>
      <c r="J3854" s="1">
        <v>0.74916309593941244</v>
      </c>
      <c r="K3854" s="1" t="s">
        <v>181</v>
      </c>
    </row>
    <row r="3855" spans="1:11" x14ac:dyDescent="0.25">
      <c r="A3855" s="1" t="s">
        <v>12186</v>
      </c>
      <c r="B3855" s="1" t="s">
        <v>12187</v>
      </c>
      <c r="D3855" s="1" t="s">
        <v>12188</v>
      </c>
      <c r="E3855" s="1" t="s">
        <v>209</v>
      </c>
      <c r="F3855" s="1" t="s">
        <v>5017</v>
      </c>
      <c r="G3855" s="1" t="s">
        <v>5018</v>
      </c>
      <c r="H3855" s="1">
        <v>0.1</v>
      </c>
      <c r="I3855" s="1">
        <v>0.1</v>
      </c>
      <c r="J3855" s="1">
        <v>0.80002628000674092</v>
      </c>
      <c r="K3855" s="1" t="s">
        <v>181</v>
      </c>
    </row>
    <row r="3856" spans="1:11" x14ac:dyDescent="0.25">
      <c r="A3856" s="1" t="s">
        <v>12189</v>
      </c>
      <c r="B3856" s="1" t="s">
        <v>12190</v>
      </c>
      <c r="D3856" s="1" t="s">
        <v>12191</v>
      </c>
      <c r="E3856" s="1" t="s">
        <v>209</v>
      </c>
      <c r="F3856" s="1" t="s">
        <v>5017</v>
      </c>
      <c r="G3856" s="1" t="s">
        <v>5018</v>
      </c>
      <c r="H3856" s="1">
        <v>0.1</v>
      </c>
      <c r="I3856" s="1">
        <v>0.1</v>
      </c>
      <c r="J3856" s="1">
        <v>0.78275526445545718</v>
      </c>
      <c r="K3856" s="1" t="s">
        <v>181</v>
      </c>
    </row>
    <row r="3857" spans="1:11" x14ac:dyDescent="0.25">
      <c r="A3857" s="1" t="s">
        <v>12192</v>
      </c>
      <c r="B3857" s="1" t="s">
        <v>12193</v>
      </c>
      <c r="D3857" s="1" t="s">
        <v>12194</v>
      </c>
      <c r="E3857" s="1" t="s">
        <v>209</v>
      </c>
      <c r="F3857" s="1" t="s">
        <v>5017</v>
      </c>
      <c r="G3857" s="1" t="s">
        <v>5018</v>
      </c>
      <c r="H3857" s="1">
        <v>0.1</v>
      </c>
      <c r="I3857" s="1">
        <v>0.1</v>
      </c>
      <c r="J3857" s="1">
        <v>0.58649450572116879</v>
      </c>
      <c r="K3857" s="1" t="s">
        <v>181</v>
      </c>
    </row>
    <row r="3858" spans="1:11" x14ac:dyDescent="0.25">
      <c r="A3858" s="1" t="s">
        <v>12195</v>
      </c>
      <c r="B3858" s="1" t="s">
        <v>12196</v>
      </c>
      <c r="D3858" s="1" t="s">
        <v>12197</v>
      </c>
      <c r="E3858" s="1" t="s">
        <v>209</v>
      </c>
      <c r="F3858" s="1" t="s">
        <v>5017</v>
      </c>
      <c r="G3858" s="1" t="s">
        <v>5018</v>
      </c>
      <c r="H3858" s="1">
        <v>0.1</v>
      </c>
      <c r="I3858" s="1">
        <v>0.1</v>
      </c>
      <c r="J3858" s="1">
        <v>0.48051976063145152</v>
      </c>
      <c r="K3858" s="1" t="s">
        <v>181</v>
      </c>
    </row>
    <row r="3859" spans="1:11" x14ac:dyDescent="0.25">
      <c r="A3859" s="1" t="s">
        <v>12198</v>
      </c>
      <c r="B3859" s="1" t="s">
        <v>12199</v>
      </c>
      <c r="D3859" s="1" t="s">
        <v>12200</v>
      </c>
      <c r="E3859" s="1" t="s">
        <v>209</v>
      </c>
      <c r="F3859" s="1" t="s">
        <v>5017</v>
      </c>
      <c r="G3859" s="1" t="s">
        <v>5018</v>
      </c>
      <c r="H3859" s="1">
        <v>0.1</v>
      </c>
      <c r="I3859" s="1">
        <v>0.1</v>
      </c>
      <c r="J3859" s="1">
        <v>0.75983497813564493</v>
      </c>
      <c r="K3859" s="1" t="s">
        <v>181</v>
      </c>
    </row>
    <row r="3860" spans="1:11" x14ac:dyDescent="0.25">
      <c r="A3860" s="1" t="s">
        <v>12201</v>
      </c>
      <c r="B3860" s="1" t="s">
        <v>12202</v>
      </c>
      <c r="D3860" s="1" t="s">
        <v>12203</v>
      </c>
      <c r="E3860" s="1" t="s">
        <v>209</v>
      </c>
      <c r="F3860" s="1" t="s">
        <v>5017</v>
      </c>
      <c r="G3860" s="1" t="s">
        <v>5018</v>
      </c>
      <c r="H3860" s="1">
        <v>0.1</v>
      </c>
      <c r="I3860" s="1">
        <v>0.1</v>
      </c>
      <c r="J3860" s="1">
        <v>0.79496197403187308</v>
      </c>
      <c r="K3860" s="1" t="s">
        <v>181</v>
      </c>
    </row>
    <row r="3861" spans="1:11" x14ac:dyDescent="0.25">
      <c r="A3861" s="1" t="s">
        <v>12204</v>
      </c>
      <c r="B3861" s="1" t="s">
        <v>12205</v>
      </c>
      <c r="D3861" s="1" t="s">
        <v>12206</v>
      </c>
      <c r="E3861" s="1" t="s">
        <v>209</v>
      </c>
      <c r="F3861" s="1" t="s">
        <v>5017</v>
      </c>
      <c r="G3861" s="1" t="s">
        <v>5018</v>
      </c>
      <c r="H3861" s="1">
        <v>0.1</v>
      </c>
      <c r="I3861" s="1">
        <v>0.1</v>
      </c>
      <c r="J3861" s="1">
        <v>0.76694503594229313</v>
      </c>
      <c r="K3861" s="1" t="s">
        <v>181</v>
      </c>
    </row>
    <row r="3862" spans="1:11" x14ac:dyDescent="0.25">
      <c r="A3862" s="1" t="s">
        <v>12207</v>
      </c>
      <c r="B3862" s="1" t="s">
        <v>12208</v>
      </c>
      <c r="D3862" s="1" t="s">
        <v>12209</v>
      </c>
      <c r="E3862" s="1" t="s">
        <v>209</v>
      </c>
      <c r="F3862" s="1" t="s">
        <v>5017</v>
      </c>
      <c r="G3862" s="1" t="s">
        <v>5018</v>
      </c>
      <c r="H3862" s="1">
        <v>0.1</v>
      </c>
      <c r="I3862" s="1">
        <v>0.1</v>
      </c>
      <c r="J3862" s="1">
        <v>0.69964844938705284</v>
      </c>
      <c r="K3862" s="1" t="s">
        <v>181</v>
      </c>
    </row>
    <row r="3863" spans="1:11" x14ac:dyDescent="0.25">
      <c r="A3863" s="1" t="s">
        <v>12210</v>
      </c>
      <c r="B3863" s="1" t="s">
        <v>12211</v>
      </c>
      <c r="D3863" s="1" t="s">
        <v>12212</v>
      </c>
      <c r="E3863" s="1" t="s">
        <v>209</v>
      </c>
      <c r="F3863" s="1" t="s">
        <v>5017</v>
      </c>
      <c r="G3863" s="1" t="s">
        <v>5018</v>
      </c>
      <c r="H3863" s="1">
        <v>0.1</v>
      </c>
      <c r="I3863" s="1">
        <v>0.1</v>
      </c>
      <c r="J3863" s="1">
        <v>0.65899076680444846</v>
      </c>
      <c r="K3863" s="1" t="s">
        <v>181</v>
      </c>
    </row>
    <row r="3864" spans="1:11" x14ac:dyDescent="0.25">
      <c r="A3864" s="1" t="s">
        <v>12213</v>
      </c>
      <c r="B3864" s="1" t="s">
        <v>12214</v>
      </c>
      <c r="D3864" s="1" t="s">
        <v>12215</v>
      </c>
      <c r="E3864" s="1" t="s">
        <v>209</v>
      </c>
      <c r="F3864" s="1" t="s">
        <v>5017</v>
      </c>
      <c r="G3864" s="1" t="s">
        <v>5018</v>
      </c>
      <c r="H3864" s="1">
        <v>0.1</v>
      </c>
      <c r="I3864" s="1">
        <v>0.1</v>
      </c>
      <c r="J3864" s="1">
        <v>0.62591654929398455</v>
      </c>
      <c r="K3864" s="1" t="s">
        <v>181</v>
      </c>
    </row>
    <row r="3865" spans="1:11" x14ac:dyDescent="0.25">
      <c r="A3865" s="1" t="s">
        <v>12216</v>
      </c>
      <c r="B3865" s="1" t="s">
        <v>12217</v>
      </c>
      <c r="D3865" s="1" t="s">
        <v>12218</v>
      </c>
      <c r="E3865" s="1" t="s">
        <v>209</v>
      </c>
      <c r="F3865" s="1" t="s">
        <v>5017</v>
      </c>
      <c r="G3865" s="1" t="s">
        <v>5018</v>
      </c>
      <c r="H3865" s="1">
        <v>0.1</v>
      </c>
      <c r="I3865" s="1">
        <v>0.1</v>
      </c>
      <c r="J3865" s="1">
        <v>0.70217452909490607</v>
      </c>
      <c r="K3865" s="1" t="s">
        <v>181</v>
      </c>
    </row>
    <row r="3866" spans="1:11" x14ac:dyDescent="0.25">
      <c r="A3866" s="1" t="s">
        <v>12219</v>
      </c>
      <c r="B3866" s="1" t="s">
        <v>12220</v>
      </c>
      <c r="D3866" s="1" t="s">
        <v>12221</v>
      </c>
      <c r="E3866" s="1" t="s">
        <v>209</v>
      </c>
      <c r="F3866" s="1" t="s">
        <v>5017</v>
      </c>
      <c r="G3866" s="1" t="s">
        <v>5018</v>
      </c>
      <c r="H3866" s="1">
        <v>0.1</v>
      </c>
      <c r="I3866" s="1">
        <v>0.1</v>
      </c>
      <c r="J3866" s="1">
        <v>0.6587499067722058</v>
      </c>
      <c r="K3866" s="1" t="s">
        <v>181</v>
      </c>
    </row>
    <row r="3867" spans="1:11" x14ac:dyDescent="0.25">
      <c r="A3867" s="1" t="s">
        <v>12222</v>
      </c>
      <c r="B3867" s="1" t="s">
        <v>12223</v>
      </c>
      <c r="D3867" s="1" t="s">
        <v>12224</v>
      </c>
      <c r="E3867" s="1" t="s">
        <v>209</v>
      </c>
      <c r="F3867" s="1" t="s">
        <v>5017</v>
      </c>
      <c r="G3867" s="1" t="s">
        <v>5018</v>
      </c>
      <c r="H3867" s="1">
        <v>0.1</v>
      </c>
      <c r="I3867" s="1">
        <v>0.1</v>
      </c>
      <c r="J3867" s="1">
        <v>0.61466057773849525</v>
      </c>
      <c r="K3867" s="1" t="s">
        <v>181</v>
      </c>
    </row>
    <row r="3868" spans="1:11" x14ac:dyDescent="0.25">
      <c r="A3868" s="1" t="s">
        <v>12225</v>
      </c>
      <c r="B3868" s="1" t="s">
        <v>12226</v>
      </c>
      <c r="D3868" s="1" t="s">
        <v>12227</v>
      </c>
      <c r="E3868" s="1" t="s">
        <v>209</v>
      </c>
      <c r="F3868" s="1" t="s">
        <v>5017</v>
      </c>
      <c r="G3868" s="1" t="s">
        <v>5018</v>
      </c>
      <c r="H3868" s="1">
        <v>0.1</v>
      </c>
      <c r="I3868" s="1">
        <v>0.1</v>
      </c>
      <c r="J3868" s="1">
        <v>0.69384975588364317</v>
      </c>
      <c r="K3868" s="1" t="s">
        <v>181</v>
      </c>
    </row>
    <row r="3869" spans="1:11" x14ac:dyDescent="0.25">
      <c r="A3869" s="1" t="s">
        <v>12228</v>
      </c>
      <c r="B3869" s="1" t="s">
        <v>12229</v>
      </c>
      <c r="D3869" s="1" t="s">
        <v>12230</v>
      </c>
      <c r="E3869" s="1" t="s">
        <v>209</v>
      </c>
      <c r="F3869" s="1" t="s">
        <v>5017</v>
      </c>
      <c r="G3869" s="1" t="s">
        <v>5018</v>
      </c>
      <c r="H3869" s="1">
        <v>0.1</v>
      </c>
      <c r="I3869" s="1">
        <v>0.1</v>
      </c>
      <c r="J3869" s="1">
        <v>0.92259048792224141</v>
      </c>
      <c r="K3869" s="1" t="s">
        <v>181</v>
      </c>
    </row>
    <row r="3870" spans="1:11" x14ac:dyDescent="0.25">
      <c r="A3870" s="1" t="s">
        <v>12231</v>
      </c>
      <c r="B3870" s="1" t="s">
        <v>12232</v>
      </c>
      <c r="D3870" s="1" t="s">
        <v>12233</v>
      </c>
      <c r="E3870" s="1" t="s">
        <v>209</v>
      </c>
      <c r="F3870" s="1" t="s">
        <v>5017</v>
      </c>
      <c r="G3870" s="1" t="s">
        <v>5018</v>
      </c>
      <c r="H3870" s="1">
        <v>0.1</v>
      </c>
      <c r="I3870" s="1">
        <v>0.1</v>
      </c>
      <c r="J3870" s="1">
        <v>0.62806602264572686</v>
      </c>
      <c r="K3870" s="1" t="s">
        <v>181</v>
      </c>
    </row>
    <row r="3871" spans="1:11" x14ac:dyDescent="0.25">
      <c r="A3871" s="1" t="s">
        <v>12234</v>
      </c>
      <c r="B3871" s="1" t="s">
        <v>12235</v>
      </c>
      <c r="D3871" s="1" t="s">
        <v>12236</v>
      </c>
      <c r="E3871" s="1" t="s">
        <v>209</v>
      </c>
      <c r="F3871" s="1" t="s">
        <v>5017</v>
      </c>
      <c r="G3871" s="1" t="s">
        <v>5018</v>
      </c>
      <c r="H3871" s="1">
        <v>0.1</v>
      </c>
      <c r="I3871" s="1">
        <v>0.1</v>
      </c>
      <c r="J3871" s="1">
        <v>0.86097812380415395</v>
      </c>
      <c r="K3871" s="1" t="s">
        <v>181</v>
      </c>
    </row>
    <row r="3872" spans="1:11" x14ac:dyDescent="0.25">
      <c r="A3872" s="1" t="s">
        <v>12237</v>
      </c>
      <c r="B3872" s="1" t="s">
        <v>12238</v>
      </c>
      <c r="D3872" s="1" t="s">
        <v>12239</v>
      </c>
      <c r="E3872" s="1" t="s">
        <v>209</v>
      </c>
      <c r="F3872" s="1" t="s">
        <v>5017</v>
      </c>
      <c r="G3872" s="1" t="s">
        <v>5018</v>
      </c>
      <c r="H3872" s="1">
        <v>0.1</v>
      </c>
      <c r="I3872" s="1">
        <v>0.1</v>
      </c>
      <c r="J3872" s="1">
        <v>0.39544612103346455</v>
      </c>
      <c r="K3872" s="1" t="s">
        <v>181</v>
      </c>
    </row>
    <row r="3873" spans="1:11" x14ac:dyDescent="0.25">
      <c r="A3873" s="1" t="s">
        <v>12240</v>
      </c>
      <c r="B3873" s="1" t="s">
        <v>12241</v>
      </c>
      <c r="D3873" s="1" t="s">
        <v>12242</v>
      </c>
      <c r="E3873" s="1" t="s">
        <v>209</v>
      </c>
      <c r="F3873" s="1" t="s">
        <v>5017</v>
      </c>
      <c r="G3873" s="1" t="s">
        <v>5018</v>
      </c>
      <c r="H3873" s="1">
        <v>0.1</v>
      </c>
      <c r="I3873" s="1">
        <v>0.1</v>
      </c>
      <c r="J3873" s="1">
        <v>0.81177168343732065</v>
      </c>
      <c r="K3873" s="1" t="s">
        <v>181</v>
      </c>
    </row>
    <row r="3874" spans="1:11" x14ac:dyDescent="0.25">
      <c r="A3874" s="1" t="s">
        <v>12243</v>
      </c>
      <c r="B3874" s="1" t="s">
        <v>12244</v>
      </c>
      <c r="D3874" s="1" t="s">
        <v>12245</v>
      </c>
      <c r="E3874" s="1" t="s">
        <v>209</v>
      </c>
      <c r="F3874" s="1" t="s">
        <v>5017</v>
      </c>
      <c r="G3874" s="1" t="s">
        <v>5018</v>
      </c>
      <c r="H3874" s="1">
        <v>0.1</v>
      </c>
      <c r="I3874" s="1">
        <v>0.1</v>
      </c>
      <c r="J3874" s="1">
        <v>0.422587382774884</v>
      </c>
      <c r="K3874" s="1" t="s">
        <v>181</v>
      </c>
    </row>
    <row r="3875" spans="1:11" x14ac:dyDescent="0.25">
      <c r="A3875" s="1" t="s">
        <v>12246</v>
      </c>
      <c r="B3875" s="1" t="s">
        <v>12247</v>
      </c>
      <c r="D3875" s="1" t="s">
        <v>12248</v>
      </c>
      <c r="E3875" s="1" t="s">
        <v>209</v>
      </c>
      <c r="F3875" s="1" t="s">
        <v>5017</v>
      </c>
      <c r="G3875" s="1" t="s">
        <v>5018</v>
      </c>
      <c r="H3875" s="1">
        <v>0.1</v>
      </c>
      <c r="I3875" s="1">
        <v>0.1</v>
      </c>
      <c r="J3875" s="1">
        <v>0.59359841987796769</v>
      </c>
      <c r="K3875" s="1" t="s">
        <v>181</v>
      </c>
    </row>
    <row r="3876" spans="1:11" x14ac:dyDescent="0.25">
      <c r="A3876" s="1" t="s">
        <v>12249</v>
      </c>
      <c r="B3876" s="1" t="s">
        <v>12250</v>
      </c>
      <c r="D3876" s="1" t="s">
        <v>12251</v>
      </c>
      <c r="E3876" s="1" t="s">
        <v>209</v>
      </c>
      <c r="F3876" s="1" t="s">
        <v>5017</v>
      </c>
      <c r="G3876" s="1" t="s">
        <v>5018</v>
      </c>
      <c r="H3876" s="1">
        <v>0.1</v>
      </c>
      <c r="I3876" s="1">
        <v>0.1</v>
      </c>
      <c r="J3876" s="1">
        <v>0.56185231939264058</v>
      </c>
      <c r="K3876" s="1" t="s">
        <v>181</v>
      </c>
    </row>
    <row r="3877" spans="1:11" x14ac:dyDescent="0.25">
      <c r="A3877" s="1" t="s">
        <v>12252</v>
      </c>
      <c r="B3877" s="1" t="s">
        <v>12253</v>
      </c>
      <c r="D3877" s="1" t="s">
        <v>12254</v>
      </c>
      <c r="E3877" s="1" t="s">
        <v>209</v>
      </c>
      <c r="F3877" s="1" t="s">
        <v>5017</v>
      </c>
      <c r="G3877" s="1" t="s">
        <v>5018</v>
      </c>
      <c r="H3877" s="1">
        <v>0.1</v>
      </c>
      <c r="I3877" s="1">
        <v>0.1</v>
      </c>
      <c r="J3877" s="1">
        <v>0.38638932099540546</v>
      </c>
      <c r="K3877" s="1" t="s">
        <v>181</v>
      </c>
    </row>
    <row r="3878" spans="1:11" x14ac:dyDescent="0.25">
      <c r="A3878" s="1" t="s">
        <v>12255</v>
      </c>
      <c r="B3878" s="1" t="s">
        <v>12256</v>
      </c>
      <c r="D3878" s="1" t="s">
        <v>12257</v>
      </c>
      <c r="E3878" s="1" t="s">
        <v>209</v>
      </c>
      <c r="F3878" s="1" t="s">
        <v>5017</v>
      </c>
      <c r="G3878" s="1" t="s">
        <v>5018</v>
      </c>
      <c r="H3878" s="1">
        <v>0.1</v>
      </c>
      <c r="I3878" s="1">
        <v>0.1</v>
      </c>
      <c r="J3878" s="1">
        <v>0.44758356222867551</v>
      </c>
      <c r="K3878" s="1" t="s">
        <v>181</v>
      </c>
    </row>
    <row r="3879" spans="1:11" x14ac:dyDescent="0.25">
      <c r="A3879" s="1" t="s">
        <v>12258</v>
      </c>
      <c r="B3879" s="1" t="s">
        <v>12259</v>
      </c>
      <c r="D3879" s="1" t="s">
        <v>12260</v>
      </c>
      <c r="E3879" s="1" t="s">
        <v>209</v>
      </c>
      <c r="F3879" s="1" t="s">
        <v>5017</v>
      </c>
      <c r="G3879" s="1" t="s">
        <v>5018</v>
      </c>
      <c r="H3879" s="1">
        <v>0.1</v>
      </c>
      <c r="I3879" s="1">
        <v>0.1</v>
      </c>
      <c r="J3879" s="1">
        <v>0.83287080900080168</v>
      </c>
      <c r="K3879" s="1" t="s">
        <v>181</v>
      </c>
    </row>
    <row r="3880" spans="1:11" x14ac:dyDescent="0.25">
      <c r="A3880" s="1" t="s">
        <v>12261</v>
      </c>
      <c r="B3880" s="1" t="s">
        <v>12262</v>
      </c>
      <c r="D3880" s="1" t="s">
        <v>12263</v>
      </c>
      <c r="E3880" s="1" t="s">
        <v>209</v>
      </c>
      <c r="F3880" s="1" t="s">
        <v>5017</v>
      </c>
      <c r="G3880" s="1" t="s">
        <v>5018</v>
      </c>
      <c r="H3880" s="1">
        <v>0.1</v>
      </c>
      <c r="I3880" s="1">
        <v>0.1</v>
      </c>
      <c r="J3880" s="1">
        <v>1.0104143810932835</v>
      </c>
      <c r="K3880" s="1" t="s">
        <v>181</v>
      </c>
    </row>
    <row r="3881" spans="1:11" x14ac:dyDescent="0.25">
      <c r="A3881" s="1" t="s">
        <v>12264</v>
      </c>
      <c r="B3881" s="1" t="s">
        <v>12265</v>
      </c>
      <c r="D3881" s="1" t="s">
        <v>12266</v>
      </c>
      <c r="E3881" s="1" t="s">
        <v>209</v>
      </c>
      <c r="F3881" s="1" t="s">
        <v>5017</v>
      </c>
      <c r="G3881" s="1" t="s">
        <v>5018</v>
      </c>
      <c r="H3881" s="1">
        <v>0.1</v>
      </c>
      <c r="I3881" s="1">
        <v>0.1</v>
      </c>
      <c r="J3881" s="1">
        <v>0.61083763430956095</v>
      </c>
      <c r="K3881" s="1" t="s">
        <v>181</v>
      </c>
    </row>
    <row r="3882" spans="1:11" x14ac:dyDescent="0.25">
      <c r="A3882" s="1" t="s">
        <v>12267</v>
      </c>
      <c r="B3882" s="1" t="s">
        <v>12268</v>
      </c>
      <c r="D3882" s="1" t="s">
        <v>12269</v>
      </c>
      <c r="E3882" s="1" t="s">
        <v>209</v>
      </c>
      <c r="F3882" s="1" t="s">
        <v>5017</v>
      </c>
      <c r="G3882" s="1" t="s">
        <v>5018</v>
      </c>
      <c r="H3882" s="1">
        <v>0.1</v>
      </c>
      <c r="I3882" s="1">
        <v>0.1</v>
      </c>
      <c r="J3882" s="1">
        <v>0.67154601811483572</v>
      </c>
      <c r="K3882" s="1" t="s">
        <v>181</v>
      </c>
    </row>
    <row r="3883" spans="1:11" x14ac:dyDescent="0.25">
      <c r="A3883" s="1" t="s">
        <v>12270</v>
      </c>
      <c r="B3883" s="1" t="s">
        <v>12271</v>
      </c>
      <c r="D3883" s="1" t="s">
        <v>12272</v>
      </c>
      <c r="E3883" s="1" t="s">
        <v>209</v>
      </c>
      <c r="F3883" s="1" t="s">
        <v>5017</v>
      </c>
      <c r="G3883" s="1" t="s">
        <v>5018</v>
      </c>
      <c r="H3883" s="1">
        <v>0.1</v>
      </c>
      <c r="I3883" s="1">
        <v>0.1</v>
      </c>
      <c r="J3883" s="1">
        <v>0.82566520762959694</v>
      </c>
      <c r="K3883" s="1" t="s">
        <v>181</v>
      </c>
    </row>
    <row r="3884" spans="1:11" x14ac:dyDescent="0.25">
      <c r="A3884" s="1" t="s">
        <v>12273</v>
      </c>
      <c r="B3884" s="1" t="s">
        <v>12274</v>
      </c>
      <c r="D3884" s="1" t="s">
        <v>12275</v>
      </c>
      <c r="E3884" s="1" t="s">
        <v>209</v>
      </c>
      <c r="F3884" s="1" t="s">
        <v>5017</v>
      </c>
      <c r="G3884" s="1" t="s">
        <v>5018</v>
      </c>
      <c r="H3884" s="1">
        <v>0.1</v>
      </c>
      <c r="I3884" s="1">
        <v>0.1</v>
      </c>
      <c r="J3884" s="1">
        <v>0.6344600837397848</v>
      </c>
      <c r="K3884" s="1" t="s">
        <v>181</v>
      </c>
    </row>
    <row r="3885" spans="1:11" x14ac:dyDescent="0.25">
      <c r="A3885" s="1" t="s">
        <v>12276</v>
      </c>
      <c r="B3885" s="1" t="s">
        <v>12277</v>
      </c>
      <c r="D3885" s="1" t="s">
        <v>12278</v>
      </c>
      <c r="E3885" s="1" t="s">
        <v>209</v>
      </c>
      <c r="F3885" s="1" t="s">
        <v>5017</v>
      </c>
      <c r="G3885" s="1" t="s">
        <v>5018</v>
      </c>
      <c r="H3885" s="1">
        <v>0.1</v>
      </c>
      <c r="I3885" s="1">
        <v>0.1</v>
      </c>
      <c r="J3885" s="1">
        <v>0.77843550492086466</v>
      </c>
      <c r="K3885" s="1" t="s">
        <v>181</v>
      </c>
    </row>
    <row r="3886" spans="1:11" x14ac:dyDescent="0.25">
      <c r="A3886" s="1" t="s">
        <v>12279</v>
      </c>
      <c r="B3886" s="1" t="s">
        <v>12280</v>
      </c>
      <c r="D3886" s="1" t="s">
        <v>12281</v>
      </c>
      <c r="E3886" s="1" t="s">
        <v>209</v>
      </c>
      <c r="F3886" s="1" t="s">
        <v>5017</v>
      </c>
      <c r="G3886" s="1" t="s">
        <v>5018</v>
      </c>
      <c r="H3886" s="1">
        <v>0.1</v>
      </c>
      <c r="I3886" s="1">
        <v>0.1</v>
      </c>
      <c r="J3886" s="1">
        <v>0.74492738276499115</v>
      </c>
      <c r="K3886" s="1" t="s">
        <v>181</v>
      </c>
    </row>
    <row r="3887" spans="1:11" x14ac:dyDescent="0.25">
      <c r="A3887" s="1" t="s">
        <v>12282</v>
      </c>
      <c r="B3887" s="1" t="s">
        <v>12283</v>
      </c>
      <c r="D3887" s="1" t="s">
        <v>12284</v>
      </c>
      <c r="E3887" s="1" t="s">
        <v>209</v>
      </c>
      <c r="F3887" s="1" t="s">
        <v>5017</v>
      </c>
      <c r="G3887" s="1" t="s">
        <v>5018</v>
      </c>
      <c r="H3887" s="1">
        <v>0.1</v>
      </c>
      <c r="I3887" s="1">
        <v>0.1</v>
      </c>
      <c r="J3887" s="1">
        <v>0.81766770641717701</v>
      </c>
      <c r="K3887" s="1" t="s">
        <v>181</v>
      </c>
    </row>
    <row r="3888" spans="1:11" x14ac:dyDescent="0.25">
      <c r="A3888" s="1" t="s">
        <v>12285</v>
      </c>
      <c r="B3888" s="1" t="s">
        <v>12286</v>
      </c>
      <c r="D3888" s="1" t="s">
        <v>12287</v>
      </c>
      <c r="E3888" s="1" t="s">
        <v>209</v>
      </c>
      <c r="F3888" s="1" t="s">
        <v>5017</v>
      </c>
      <c r="G3888" s="1" t="s">
        <v>5018</v>
      </c>
      <c r="H3888" s="1">
        <v>0.1</v>
      </c>
      <c r="I3888" s="1">
        <v>0.1</v>
      </c>
      <c r="J3888" s="1">
        <v>0.42921670016391034</v>
      </c>
      <c r="K3888" s="1" t="s">
        <v>181</v>
      </c>
    </row>
    <row r="3889" spans="1:11" x14ac:dyDescent="0.25">
      <c r="A3889" s="1" t="s">
        <v>12288</v>
      </c>
      <c r="B3889" s="1" t="s">
        <v>12289</v>
      </c>
      <c r="D3889" s="1" t="s">
        <v>12290</v>
      </c>
      <c r="E3889" s="1" t="s">
        <v>209</v>
      </c>
      <c r="F3889" s="1" t="s">
        <v>5017</v>
      </c>
      <c r="G3889" s="1" t="s">
        <v>5018</v>
      </c>
      <c r="H3889" s="1">
        <v>0.1</v>
      </c>
      <c r="I3889" s="1">
        <v>0.1</v>
      </c>
      <c r="J3889" s="1">
        <v>0.60934161227081196</v>
      </c>
      <c r="K3889" s="1" t="s">
        <v>181</v>
      </c>
    </row>
    <row r="3890" spans="1:11" x14ac:dyDescent="0.25">
      <c r="A3890" s="1" t="s">
        <v>12291</v>
      </c>
      <c r="B3890" s="1" t="s">
        <v>12292</v>
      </c>
      <c r="D3890" s="1" t="s">
        <v>12293</v>
      </c>
      <c r="E3890" s="1" t="s">
        <v>209</v>
      </c>
      <c r="F3890" s="1" t="s">
        <v>5017</v>
      </c>
      <c r="G3890" s="1" t="s">
        <v>5018</v>
      </c>
      <c r="H3890" s="1">
        <v>0.1</v>
      </c>
      <c r="I3890" s="1">
        <v>0.1</v>
      </c>
      <c r="J3890" s="1">
        <v>0.48930060502138734</v>
      </c>
      <c r="K3890" s="1" t="s">
        <v>181</v>
      </c>
    </row>
    <row r="3891" spans="1:11" x14ac:dyDescent="0.25">
      <c r="A3891" s="1" t="s">
        <v>12294</v>
      </c>
      <c r="B3891" s="1" t="s">
        <v>12295</v>
      </c>
      <c r="D3891" s="1" t="s">
        <v>12296</v>
      </c>
      <c r="E3891" s="1" t="s">
        <v>209</v>
      </c>
      <c r="F3891" s="1" t="s">
        <v>5017</v>
      </c>
      <c r="G3891" s="1" t="s">
        <v>5018</v>
      </c>
      <c r="H3891" s="1">
        <v>0.1</v>
      </c>
      <c r="I3891" s="1">
        <v>0.1</v>
      </c>
      <c r="J3891" s="1">
        <v>0.87215281789552201</v>
      </c>
      <c r="K3891" s="1" t="s">
        <v>181</v>
      </c>
    </row>
    <row r="3892" spans="1:11" x14ac:dyDescent="0.25">
      <c r="A3892" s="1" t="s">
        <v>12297</v>
      </c>
      <c r="B3892" s="1" t="s">
        <v>12298</v>
      </c>
      <c r="D3892" s="1" t="s">
        <v>12299</v>
      </c>
      <c r="E3892" s="1" t="s">
        <v>209</v>
      </c>
      <c r="F3892" s="1" t="s">
        <v>5017</v>
      </c>
      <c r="G3892" s="1" t="s">
        <v>5018</v>
      </c>
      <c r="H3892" s="1">
        <v>0.1</v>
      </c>
      <c r="I3892" s="1">
        <v>0.1</v>
      </c>
      <c r="J3892" s="1">
        <v>0.46848978466534452</v>
      </c>
      <c r="K3892" s="1" t="s">
        <v>181</v>
      </c>
    </row>
    <row r="3893" spans="1:11" x14ac:dyDescent="0.25">
      <c r="A3893" s="1" t="s">
        <v>12300</v>
      </c>
      <c r="B3893" s="1" t="s">
        <v>12301</v>
      </c>
      <c r="D3893" s="1" t="s">
        <v>12302</v>
      </c>
      <c r="E3893" s="1" t="s">
        <v>209</v>
      </c>
      <c r="F3893" s="1" t="s">
        <v>5017</v>
      </c>
      <c r="G3893" s="1" t="s">
        <v>5018</v>
      </c>
      <c r="H3893" s="1">
        <v>0.1</v>
      </c>
      <c r="I3893" s="1">
        <v>0.1</v>
      </c>
      <c r="J3893" s="1">
        <v>0.52479017223130564</v>
      </c>
      <c r="K3893" s="1" t="s">
        <v>181</v>
      </c>
    </row>
    <row r="3894" spans="1:11" x14ac:dyDescent="0.25">
      <c r="A3894" s="1" t="s">
        <v>12303</v>
      </c>
      <c r="B3894" s="1" t="s">
        <v>12304</v>
      </c>
      <c r="D3894" s="1" t="s">
        <v>12305</v>
      </c>
      <c r="E3894" s="1" t="s">
        <v>209</v>
      </c>
      <c r="F3894" s="1" t="s">
        <v>5017</v>
      </c>
      <c r="G3894" s="1" t="s">
        <v>5018</v>
      </c>
      <c r="H3894" s="1">
        <v>0.1</v>
      </c>
      <c r="I3894" s="1">
        <v>0.1</v>
      </c>
      <c r="J3894" s="1">
        <v>0.89534281738862809</v>
      </c>
      <c r="K3894" s="1" t="s">
        <v>181</v>
      </c>
    </row>
    <row r="3895" spans="1:11" x14ac:dyDescent="0.25">
      <c r="A3895" s="1" t="s">
        <v>12306</v>
      </c>
      <c r="B3895" s="1" t="s">
        <v>12307</v>
      </c>
      <c r="D3895" s="1" t="s">
        <v>12308</v>
      </c>
      <c r="E3895" s="1" t="s">
        <v>209</v>
      </c>
      <c r="F3895" s="1" t="s">
        <v>5017</v>
      </c>
      <c r="G3895" s="1" t="s">
        <v>5018</v>
      </c>
      <c r="H3895" s="1">
        <v>0.1</v>
      </c>
      <c r="I3895" s="1">
        <v>0.1</v>
      </c>
      <c r="J3895" s="1">
        <v>0.91611345789861554</v>
      </c>
      <c r="K3895" s="1" t="s">
        <v>181</v>
      </c>
    </row>
    <row r="3896" spans="1:11" x14ac:dyDescent="0.25">
      <c r="A3896" s="1" t="s">
        <v>12309</v>
      </c>
      <c r="B3896" s="1" t="s">
        <v>12310</v>
      </c>
      <c r="D3896" s="1" t="s">
        <v>12311</v>
      </c>
      <c r="E3896" s="1" t="s">
        <v>209</v>
      </c>
      <c r="F3896" s="1" t="s">
        <v>5017</v>
      </c>
      <c r="G3896" s="1" t="s">
        <v>5018</v>
      </c>
      <c r="H3896" s="1">
        <v>0.1</v>
      </c>
      <c r="I3896" s="1">
        <v>0.1</v>
      </c>
      <c r="J3896" s="1">
        <v>0.57980471315914528</v>
      </c>
      <c r="K3896" s="1" t="s">
        <v>181</v>
      </c>
    </row>
    <row r="3897" spans="1:11" x14ac:dyDescent="0.25">
      <c r="A3897" s="1" t="s">
        <v>12312</v>
      </c>
      <c r="B3897" s="1" t="s">
        <v>12313</v>
      </c>
      <c r="D3897" s="1" t="s">
        <v>12314</v>
      </c>
      <c r="E3897" s="1" t="s">
        <v>209</v>
      </c>
      <c r="F3897" s="1" t="s">
        <v>5017</v>
      </c>
      <c r="G3897" s="1" t="s">
        <v>5018</v>
      </c>
      <c r="H3897" s="1">
        <v>0.1</v>
      </c>
      <c r="I3897" s="1">
        <v>0.1</v>
      </c>
      <c r="J3897" s="1">
        <v>0.78664888922245091</v>
      </c>
      <c r="K3897" s="1" t="s">
        <v>181</v>
      </c>
    </row>
    <row r="3898" spans="1:11" x14ac:dyDescent="0.25">
      <c r="A3898" s="1" t="s">
        <v>12315</v>
      </c>
      <c r="B3898" s="1" t="s">
        <v>12316</v>
      </c>
      <c r="D3898" s="1" t="s">
        <v>12317</v>
      </c>
      <c r="E3898" s="1" t="s">
        <v>209</v>
      </c>
      <c r="F3898" s="1" t="s">
        <v>5017</v>
      </c>
      <c r="G3898" s="1" t="s">
        <v>5018</v>
      </c>
      <c r="H3898" s="1">
        <v>0.1</v>
      </c>
      <c r="I3898" s="1">
        <v>0.1</v>
      </c>
      <c r="J3898" s="1">
        <v>0.51338975106286766</v>
      </c>
      <c r="K3898" s="1" t="s">
        <v>181</v>
      </c>
    </row>
    <row r="3899" spans="1:11" x14ac:dyDescent="0.25">
      <c r="A3899" s="1" t="s">
        <v>12318</v>
      </c>
      <c r="B3899" s="1" t="s">
        <v>12319</v>
      </c>
      <c r="D3899" s="1" t="s">
        <v>12320</v>
      </c>
      <c r="E3899" s="1" t="s">
        <v>209</v>
      </c>
      <c r="F3899" s="1" t="s">
        <v>5017</v>
      </c>
      <c r="G3899" s="1" t="s">
        <v>5018</v>
      </c>
      <c r="H3899" s="1">
        <v>0.1</v>
      </c>
      <c r="I3899" s="1">
        <v>0.1</v>
      </c>
      <c r="J3899" s="1">
        <v>0.43550530627539852</v>
      </c>
      <c r="K3899" s="1" t="s">
        <v>181</v>
      </c>
    </row>
    <row r="3900" spans="1:11" x14ac:dyDescent="0.25">
      <c r="A3900" s="1" t="s">
        <v>12321</v>
      </c>
      <c r="B3900" s="1" t="s">
        <v>12322</v>
      </c>
      <c r="D3900" s="1" t="s">
        <v>12323</v>
      </c>
      <c r="E3900" s="1" t="s">
        <v>209</v>
      </c>
      <c r="F3900" s="1" t="s">
        <v>5017</v>
      </c>
      <c r="G3900" s="1" t="s">
        <v>5018</v>
      </c>
      <c r="H3900" s="1">
        <v>0.1</v>
      </c>
      <c r="I3900" s="1">
        <v>0.1</v>
      </c>
      <c r="J3900" s="1">
        <v>0.55517566630100834</v>
      </c>
      <c r="K3900" s="1" t="s">
        <v>181</v>
      </c>
    </row>
    <row r="3901" spans="1:11" x14ac:dyDescent="0.25">
      <c r="A3901" s="1" t="s">
        <v>12324</v>
      </c>
      <c r="B3901" s="1" t="s">
        <v>12325</v>
      </c>
      <c r="D3901" s="1" t="s">
        <v>12326</v>
      </c>
      <c r="E3901" s="1" t="s">
        <v>209</v>
      </c>
      <c r="F3901" s="1" t="s">
        <v>5017</v>
      </c>
      <c r="G3901" s="1" t="s">
        <v>5018</v>
      </c>
      <c r="H3901" s="1">
        <v>0.1</v>
      </c>
      <c r="I3901" s="1">
        <v>0.1</v>
      </c>
      <c r="J3901" s="1">
        <v>0.5842854027565938</v>
      </c>
      <c r="K3901" s="1" t="s">
        <v>181</v>
      </c>
    </row>
    <row r="3902" spans="1:11" x14ac:dyDescent="0.25">
      <c r="A3902" s="1" t="s">
        <v>12327</v>
      </c>
      <c r="B3902" s="1" t="s">
        <v>12328</v>
      </c>
      <c r="D3902" s="1" t="s">
        <v>12329</v>
      </c>
      <c r="E3902" s="1" t="s">
        <v>209</v>
      </c>
      <c r="F3902" s="1" t="s">
        <v>5017</v>
      </c>
      <c r="G3902" s="1" t="s">
        <v>5018</v>
      </c>
      <c r="H3902" s="1">
        <v>0.1</v>
      </c>
      <c r="I3902" s="1">
        <v>0.1</v>
      </c>
      <c r="J3902" s="1">
        <v>0.67968721687748723</v>
      </c>
      <c r="K3902" s="1" t="s">
        <v>181</v>
      </c>
    </row>
    <row r="3903" spans="1:11" x14ac:dyDescent="0.25">
      <c r="A3903" s="1" t="s">
        <v>12330</v>
      </c>
      <c r="B3903" s="1" t="s">
        <v>12331</v>
      </c>
      <c r="D3903" s="1" t="s">
        <v>12332</v>
      </c>
      <c r="E3903" s="1" t="s">
        <v>209</v>
      </c>
      <c r="F3903" s="1" t="s">
        <v>5017</v>
      </c>
      <c r="G3903" s="1" t="s">
        <v>5018</v>
      </c>
      <c r="H3903" s="1">
        <v>0.1</v>
      </c>
      <c r="I3903" s="1">
        <v>0.1</v>
      </c>
      <c r="J3903" s="1">
        <v>0.82686915793804616</v>
      </c>
      <c r="K3903" s="1" t="s">
        <v>181</v>
      </c>
    </row>
    <row r="3904" spans="1:11" x14ac:dyDescent="0.25">
      <c r="A3904" s="1" t="s">
        <v>12333</v>
      </c>
      <c r="B3904" s="1" t="s">
        <v>12334</v>
      </c>
      <c r="D3904" s="1" t="s">
        <v>12335</v>
      </c>
      <c r="E3904" s="1" t="s">
        <v>209</v>
      </c>
      <c r="F3904" s="1" t="s">
        <v>5017</v>
      </c>
      <c r="G3904" s="1" t="s">
        <v>5018</v>
      </c>
      <c r="H3904" s="1">
        <v>0.1</v>
      </c>
      <c r="I3904" s="1">
        <v>0.1</v>
      </c>
      <c r="J3904" s="1">
        <v>0.99038845139645071</v>
      </c>
      <c r="K3904" s="1" t="s">
        <v>181</v>
      </c>
    </row>
    <row r="3905" spans="1:11" x14ac:dyDescent="0.25">
      <c r="A3905" s="1" t="s">
        <v>12336</v>
      </c>
      <c r="B3905" s="1" t="s">
        <v>12337</v>
      </c>
      <c r="D3905" s="1" t="s">
        <v>12338</v>
      </c>
      <c r="E3905" s="1" t="s">
        <v>209</v>
      </c>
      <c r="F3905" s="1" t="s">
        <v>5017</v>
      </c>
      <c r="G3905" s="1" t="s">
        <v>5018</v>
      </c>
      <c r="H3905" s="1">
        <v>0.1</v>
      </c>
      <c r="I3905" s="1">
        <v>0.1</v>
      </c>
      <c r="J3905" s="1">
        <v>0.43223613472591688</v>
      </c>
      <c r="K3905" s="1" t="s">
        <v>181</v>
      </c>
    </row>
    <row r="3906" spans="1:11" x14ac:dyDescent="0.25">
      <c r="A3906" s="1" t="s">
        <v>12339</v>
      </c>
      <c r="B3906" s="1" t="s">
        <v>12340</v>
      </c>
      <c r="D3906" s="1" t="s">
        <v>12341</v>
      </c>
      <c r="E3906" s="1" t="s">
        <v>209</v>
      </c>
      <c r="F3906" s="1" t="s">
        <v>5017</v>
      </c>
      <c r="G3906" s="1" t="s">
        <v>5018</v>
      </c>
      <c r="H3906" s="1">
        <v>0.1</v>
      </c>
      <c r="I3906" s="1">
        <v>0.1</v>
      </c>
      <c r="J3906" s="1">
        <v>0.49771331214991793</v>
      </c>
      <c r="K3906" s="1" t="s">
        <v>181</v>
      </c>
    </row>
    <row r="3907" spans="1:11" x14ac:dyDescent="0.25">
      <c r="A3907" s="1" t="s">
        <v>12342</v>
      </c>
      <c r="B3907" s="1" t="s">
        <v>12343</v>
      </c>
      <c r="D3907" s="1" t="s">
        <v>12344</v>
      </c>
      <c r="E3907" s="1" t="s">
        <v>209</v>
      </c>
      <c r="F3907" s="1" t="s">
        <v>5017</v>
      </c>
      <c r="G3907" s="1" t="s">
        <v>5018</v>
      </c>
      <c r="H3907" s="1">
        <v>0.1</v>
      </c>
      <c r="I3907" s="1">
        <v>0.1</v>
      </c>
      <c r="J3907" s="1">
        <v>0.75605218027250642</v>
      </c>
      <c r="K3907" s="1" t="s">
        <v>181</v>
      </c>
    </row>
    <row r="3908" spans="1:11" x14ac:dyDescent="0.25">
      <c r="A3908" s="1" t="s">
        <v>12345</v>
      </c>
      <c r="B3908" s="1" t="s">
        <v>12346</v>
      </c>
      <c r="D3908" s="1" t="s">
        <v>12347</v>
      </c>
      <c r="E3908" s="1" t="s">
        <v>209</v>
      </c>
      <c r="F3908" s="1" t="s">
        <v>5017</v>
      </c>
      <c r="G3908" s="1" t="s">
        <v>5018</v>
      </c>
      <c r="H3908" s="1">
        <v>0.1</v>
      </c>
      <c r="I3908" s="1">
        <v>0.1</v>
      </c>
      <c r="J3908" s="1">
        <v>0.73818574775288859</v>
      </c>
      <c r="K3908" s="1" t="s">
        <v>181</v>
      </c>
    </row>
    <row r="3909" spans="1:11" x14ac:dyDescent="0.25">
      <c r="A3909" s="1" t="s">
        <v>12348</v>
      </c>
      <c r="B3909" s="1" t="s">
        <v>12349</v>
      </c>
      <c r="D3909" s="1" t="s">
        <v>12350</v>
      </c>
      <c r="E3909" s="1" t="s">
        <v>209</v>
      </c>
      <c r="F3909" s="1" t="s">
        <v>5017</v>
      </c>
      <c r="G3909" s="1" t="s">
        <v>5018</v>
      </c>
      <c r="H3909" s="1">
        <v>0.1</v>
      </c>
      <c r="I3909" s="1">
        <v>0.1</v>
      </c>
      <c r="J3909" s="1">
        <v>0.68637862670608518</v>
      </c>
      <c r="K3909" s="1" t="s">
        <v>181</v>
      </c>
    </row>
    <row r="3910" spans="1:11" x14ac:dyDescent="0.25">
      <c r="A3910" s="1" t="s">
        <v>12351</v>
      </c>
      <c r="B3910" s="1" t="s">
        <v>12352</v>
      </c>
      <c r="D3910" s="1" t="s">
        <v>12353</v>
      </c>
      <c r="E3910" s="1" t="s">
        <v>209</v>
      </c>
      <c r="F3910" s="1" t="s">
        <v>5017</v>
      </c>
      <c r="G3910" s="1" t="s">
        <v>5018</v>
      </c>
      <c r="H3910" s="1">
        <v>0.1</v>
      </c>
      <c r="I3910" s="1">
        <v>0.1</v>
      </c>
      <c r="J3910" s="1">
        <v>0.51499325410985308</v>
      </c>
      <c r="K3910" s="1" t="s">
        <v>181</v>
      </c>
    </row>
    <row r="3911" spans="1:11" x14ac:dyDescent="0.25">
      <c r="A3911" s="1" t="s">
        <v>12354</v>
      </c>
      <c r="B3911" s="1" t="s">
        <v>12355</v>
      </c>
      <c r="D3911" s="1" t="s">
        <v>12356</v>
      </c>
      <c r="E3911" s="1" t="s">
        <v>209</v>
      </c>
      <c r="F3911" s="1" t="s">
        <v>5017</v>
      </c>
      <c r="G3911" s="1" t="s">
        <v>5018</v>
      </c>
      <c r="H3911" s="1">
        <v>0.1</v>
      </c>
      <c r="I3911" s="1">
        <v>0.1</v>
      </c>
      <c r="J3911" s="1">
        <v>0.69954650730383205</v>
      </c>
      <c r="K3911" s="1" t="s">
        <v>181</v>
      </c>
    </row>
    <row r="3912" spans="1:11" x14ac:dyDescent="0.25">
      <c r="A3912" s="1" t="s">
        <v>12357</v>
      </c>
      <c r="B3912" s="1" t="s">
        <v>12358</v>
      </c>
      <c r="D3912" s="1" t="s">
        <v>12359</v>
      </c>
      <c r="E3912" s="1" t="s">
        <v>209</v>
      </c>
      <c r="F3912" s="1" t="s">
        <v>5017</v>
      </c>
      <c r="G3912" s="1" t="s">
        <v>5018</v>
      </c>
      <c r="H3912" s="1">
        <v>0.1</v>
      </c>
      <c r="I3912" s="1">
        <v>0.1</v>
      </c>
      <c r="J3912" s="1">
        <v>0.78001995074001318</v>
      </c>
      <c r="K3912" s="1" t="s">
        <v>181</v>
      </c>
    </row>
    <row r="3913" spans="1:11" x14ac:dyDescent="0.25">
      <c r="A3913" s="1" t="s">
        <v>12360</v>
      </c>
      <c r="B3913" s="1" t="s">
        <v>12361</v>
      </c>
      <c r="D3913" s="1" t="s">
        <v>12362</v>
      </c>
      <c r="E3913" s="1" t="s">
        <v>209</v>
      </c>
      <c r="F3913" s="1" t="s">
        <v>5017</v>
      </c>
      <c r="G3913" s="1" t="s">
        <v>5018</v>
      </c>
      <c r="H3913" s="1">
        <v>0.1</v>
      </c>
      <c r="I3913" s="1">
        <v>0.1</v>
      </c>
      <c r="J3913" s="1">
        <v>0.74624002871224615</v>
      </c>
      <c r="K3913" s="1" t="s">
        <v>181</v>
      </c>
    </row>
    <row r="3914" spans="1:11" x14ac:dyDescent="0.25">
      <c r="A3914" s="1" t="s">
        <v>12363</v>
      </c>
      <c r="B3914" s="1" t="s">
        <v>12364</v>
      </c>
      <c r="D3914" s="1" t="s">
        <v>12365</v>
      </c>
      <c r="E3914" s="1" t="s">
        <v>209</v>
      </c>
      <c r="F3914" s="1" t="s">
        <v>5017</v>
      </c>
      <c r="G3914" s="1" t="s">
        <v>5018</v>
      </c>
      <c r="H3914" s="1">
        <v>0.1</v>
      </c>
      <c r="I3914" s="1">
        <v>0.1</v>
      </c>
      <c r="J3914" s="1">
        <v>0.45264833780962721</v>
      </c>
      <c r="K3914" s="1" t="s">
        <v>181</v>
      </c>
    </row>
    <row r="3915" spans="1:11" x14ac:dyDescent="0.25">
      <c r="A3915" s="1" t="s">
        <v>12366</v>
      </c>
      <c r="B3915" s="1" t="s">
        <v>12367</v>
      </c>
      <c r="D3915" s="1" t="s">
        <v>12368</v>
      </c>
      <c r="E3915" s="1" t="s">
        <v>209</v>
      </c>
      <c r="F3915" s="1" t="s">
        <v>5017</v>
      </c>
      <c r="G3915" s="1" t="s">
        <v>5018</v>
      </c>
      <c r="H3915" s="1">
        <v>0.1</v>
      </c>
      <c r="I3915" s="1">
        <v>0.1</v>
      </c>
      <c r="J3915" s="1">
        <v>0.51289689407929839</v>
      </c>
      <c r="K3915" s="1" t="s">
        <v>181</v>
      </c>
    </row>
    <row r="3916" spans="1:11" x14ac:dyDescent="0.25">
      <c r="A3916" s="1" t="s">
        <v>12369</v>
      </c>
      <c r="B3916" s="1" t="s">
        <v>12370</v>
      </c>
      <c r="D3916" s="1" t="s">
        <v>12371</v>
      </c>
      <c r="E3916" s="1" t="s">
        <v>209</v>
      </c>
      <c r="F3916" s="1" t="s">
        <v>5017</v>
      </c>
      <c r="G3916" s="1" t="s">
        <v>5018</v>
      </c>
      <c r="H3916" s="1">
        <v>0.1</v>
      </c>
      <c r="I3916" s="1">
        <v>0.1</v>
      </c>
      <c r="J3916" s="1">
        <v>0.46954354204100185</v>
      </c>
      <c r="K3916" s="1" t="s">
        <v>181</v>
      </c>
    </row>
    <row r="3917" spans="1:11" x14ac:dyDescent="0.25">
      <c r="A3917" s="1" t="s">
        <v>12372</v>
      </c>
      <c r="B3917" s="1" t="s">
        <v>12373</v>
      </c>
      <c r="D3917" s="1" t="s">
        <v>12374</v>
      </c>
      <c r="E3917" s="1" t="s">
        <v>209</v>
      </c>
      <c r="F3917" s="1" t="s">
        <v>5017</v>
      </c>
      <c r="G3917" s="1" t="s">
        <v>5018</v>
      </c>
      <c r="H3917" s="1">
        <v>0.1</v>
      </c>
      <c r="I3917" s="1">
        <v>0.1</v>
      </c>
      <c r="J3917" s="1">
        <v>0.76234755642484842</v>
      </c>
      <c r="K3917" s="1" t="s">
        <v>181</v>
      </c>
    </row>
    <row r="3918" spans="1:11" x14ac:dyDescent="0.25">
      <c r="A3918" s="1" t="s">
        <v>12375</v>
      </c>
      <c r="B3918" s="1" t="s">
        <v>12376</v>
      </c>
      <c r="D3918" s="1" t="s">
        <v>12377</v>
      </c>
      <c r="E3918" s="1" t="s">
        <v>209</v>
      </c>
      <c r="F3918" s="1" t="s">
        <v>5017</v>
      </c>
      <c r="G3918" s="1" t="s">
        <v>5018</v>
      </c>
      <c r="H3918" s="1">
        <v>0.1</v>
      </c>
      <c r="I3918" s="1">
        <v>0.1</v>
      </c>
      <c r="J3918" s="1">
        <v>0.91921308871191421</v>
      </c>
      <c r="K3918" s="1" t="s">
        <v>181</v>
      </c>
    </row>
    <row r="3919" spans="1:11" x14ac:dyDescent="0.25">
      <c r="A3919" s="1" t="s">
        <v>12378</v>
      </c>
      <c r="B3919" s="1" t="s">
        <v>12379</v>
      </c>
      <c r="D3919" s="1" t="s">
        <v>12380</v>
      </c>
      <c r="E3919" s="1" t="s">
        <v>209</v>
      </c>
      <c r="F3919" s="1" t="s">
        <v>5017</v>
      </c>
      <c r="G3919" s="1" t="s">
        <v>5018</v>
      </c>
      <c r="H3919" s="1">
        <v>0.1</v>
      </c>
      <c r="I3919" s="1">
        <v>0.1</v>
      </c>
      <c r="J3919" s="1">
        <v>0.73810973236336574</v>
      </c>
      <c r="K3919" s="1" t="s">
        <v>181</v>
      </c>
    </row>
    <row r="3920" spans="1:11" x14ac:dyDescent="0.25">
      <c r="A3920" s="1" t="s">
        <v>12381</v>
      </c>
      <c r="B3920" s="1" t="s">
        <v>12382</v>
      </c>
      <c r="D3920" s="1" t="s">
        <v>12383</v>
      </c>
      <c r="E3920" s="1" t="s">
        <v>209</v>
      </c>
      <c r="F3920" s="1" t="s">
        <v>5017</v>
      </c>
      <c r="G3920" s="1" t="s">
        <v>5018</v>
      </c>
      <c r="H3920" s="1">
        <v>0.1</v>
      </c>
      <c r="I3920" s="1">
        <v>0.1</v>
      </c>
      <c r="J3920" s="1">
        <v>0.77216441369158895</v>
      </c>
      <c r="K3920" s="1" t="s">
        <v>181</v>
      </c>
    </row>
    <row r="3921" spans="1:11" x14ac:dyDescent="0.25">
      <c r="A3921" s="1" t="s">
        <v>12384</v>
      </c>
      <c r="B3921" s="1" t="s">
        <v>12385</v>
      </c>
      <c r="D3921" s="1" t="s">
        <v>12386</v>
      </c>
      <c r="E3921" s="1" t="s">
        <v>209</v>
      </c>
      <c r="F3921" s="1" t="s">
        <v>5017</v>
      </c>
      <c r="G3921" s="1" t="s">
        <v>5018</v>
      </c>
      <c r="H3921" s="1">
        <v>0.1</v>
      </c>
      <c r="I3921" s="1">
        <v>0.1</v>
      </c>
      <c r="J3921" s="1">
        <v>0.90144670172021391</v>
      </c>
      <c r="K3921" s="1" t="s">
        <v>181</v>
      </c>
    </row>
    <row r="3922" spans="1:11" x14ac:dyDescent="0.25">
      <c r="A3922" s="1" t="s">
        <v>12387</v>
      </c>
      <c r="B3922" s="1" t="s">
        <v>12388</v>
      </c>
      <c r="D3922" s="1" t="s">
        <v>12389</v>
      </c>
      <c r="E3922" s="1" t="s">
        <v>209</v>
      </c>
      <c r="F3922" s="1" t="s">
        <v>5017</v>
      </c>
      <c r="G3922" s="1" t="s">
        <v>5018</v>
      </c>
      <c r="H3922" s="1">
        <v>0.1</v>
      </c>
      <c r="I3922" s="1">
        <v>0.1</v>
      </c>
      <c r="J3922" s="1">
        <v>0.45636412302958779</v>
      </c>
      <c r="K3922" s="1" t="s">
        <v>181</v>
      </c>
    </row>
    <row r="3923" spans="1:11" x14ac:dyDescent="0.25">
      <c r="A3923" s="1" t="s">
        <v>12390</v>
      </c>
      <c r="B3923" s="1" t="s">
        <v>12391</v>
      </c>
      <c r="D3923" s="1" t="s">
        <v>12392</v>
      </c>
      <c r="E3923" s="1" t="s">
        <v>209</v>
      </c>
      <c r="F3923" s="1" t="s">
        <v>5017</v>
      </c>
      <c r="G3923" s="1" t="s">
        <v>5018</v>
      </c>
      <c r="H3923" s="1">
        <v>0.1</v>
      </c>
      <c r="I3923" s="1">
        <v>0.1</v>
      </c>
      <c r="J3923" s="1">
        <v>0.632159734334654</v>
      </c>
      <c r="K3923" s="1" t="s">
        <v>181</v>
      </c>
    </row>
    <row r="3924" spans="1:11" x14ac:dyDescent="0.25">
      <c r="A3924" s="1" t="s">
        <v>12393</v>
      </c>
      <c r="B3924" s="1" t="s">
        <v>12394</v>
      </c>
      <c r="D3924" s="1" t="s">
        <v>12395</v>
      </c>
      <c r="E3924" s="1" t="s">
        <v>209</v>
      </c>
      <c r="F3924" s="1" t="s">
        <v>5017</v>
      </c>
      <c r="G3924" s="1" t="s">
        <v>5018</v>
      </c>
      <c r="H3924" s="1">
        <v>0.1</v>
      </c>
      <c r="I3924" s="1">
        <v>0.1</v>
      </c>
      <c r="J3924" s="1">
        <v>0.6430108204864291</v>
      </c>
      <c r="K3924" s="1" t="s">
        <v>181</v>
      </c>
    </row>
    <row r="3925" spans="1:11" x14ac:dyDescent="0.25">
      <c r="A3925" s="1" t="s">
        <v>12396</v>
      </c>
      <c r="B3925" s="1" t="s">
        <v>12397</v>
      </c>
      <c r="D3925" s="1" t="s">
        <v>12398</v>
      </c>
      <c r="E3925" s="1" t="s">
        <v>209</v>
      </c>
      <c r="F3925" s="1" t="s">
        <v>5017</v>
      </c>
      <c r="G3925" s="1" t="s">
        <v>5018</v>
      </c>
      <c r="H3925" s="1">
        <v>0.1</v>
      </c>
      <c r="I3925" s="1">
        <v>0.1</v>
      </c>
      <c r="J3925" s="1">
        <v>0.5218931114368246</v>
      </c>
      <c r="K3925" s="1" t="s">
        <v>181</v>
      </c>
    </row>
    <row r="3926" spans="1:11" x14ac:dyDescent="0.25">
      <c r="A3926" s="1" t="s">
        <v>12399</v>
      </c>
      <c r="B3926" s="1" t="s">
        <v>12400</v>
      </c>
      <c r="D3926" s="1" t="s">
        <v>12401</v>
      </c>
      <c r="E3926" s="1" t="s">
        <v>209</v>
      </c>
      <c r="F3926" s="1" t="s">
        <v>5017</v>
      </c>
      <c r="G3926" s="1" t="s">
        <v>5018</v>
      </c>
      <c r="H3926" s="1">
        <v>0.1</v>
      </c>
      <c r="I3926" s="1">
        <v>0.1</v>
      </c>
      <c r="J3926" s="1">
        <v>0.42711041781622089</v>
      </c>
      <c r="K3926" s="1" t="s">
        <v>181</v>
      </c>
    </row>
    <row r="3927" spans="1:11" x14ac:dyDescent="0.25">
      <c r="A3927" s="1" t="s">
        <v>12402</v>
      </c>
      <c r="B3927" s="1" t="s">
        <v>12403</v>
      </c>
      <c r="D3927" s="1" t="s">
        <v>12404</v>
      </c>
      <c r="E3927" s="1" t="s">
        <v>209</v>
      </c>
      <c r="F3927" s="1" t="s">
        <v>5017</v>
      </c>
      <c r="G3927" s="1" t="s">
        <v>5018</v>
      </c>
      <c r="H3927" s="1">
        <v>0.1</v>
      </c>
      <c r="I3927" s="1">
        <v>0.1</v>
      </c>
      <c r="J3927" s="1">
        <v>0.79267079387573369</v>
      </c>
      <c r="K3927" s="1" t="s">
        <v>181</v>
      </c>
    </row>
    <row r="3928" spans="1:11" x14ac:dyDescent="0.25">
      <c r="A3928" s="1" t="s">
        <v>12405</v>
      </c>
      <c r="B3928" s="1" t="s">
        <v>12406</v>
      </c>
      <c r="D3928" s="1" t="s">
        <v>12407</v>
      </c>
      <c r="E3928" s="1" t="s">
        <v>209</v>
      </c>
      <c r="F3928" s="1" t="s">
        <v>5017</v>
      </c>
      <c r="G3928" s="1" t="s">
        <v>5018</v>
      </c>
      <c r="H3928" s="1">
        <v>0.1</v>
      </c>
      <c r="I3928" s="1">
        <v>0.1</v>
      </c>
      <c r="J3928" s="1">
        <v>0.82169415045543359</v>
      </c>
      <c r="K3928" s="1" t="s">
        <v>181</v>
      </c>
    </row>
    <row r="3929" spans="1:11" x14ac:dyDescent="0.25">
      <c r="A3929" s="1" t="s">
        <v>12408</v>
      </c>
      <c r="B3929" s="1" t="s">
        <v>12409</v>
      </c>
      <c r="D3929" s="1" t="s">
        <v>12410</v>
      </c>
      <c r="E3929" s="1" t="s">
        <v>209</v>
      </c>
      <c r="F3929" s="1" t="s">
        <v>5017</v>
      </c>
      <c r="G3929" s="1" t="s">
        <v>5018</v>
      </c>
      <c r="H3929" s="1">
        <v>0.1</v>
      </c>
      <c r="I3929" s="1">
        <v>0.1</v>
      </c>
      <c r="J3929" s="1">
        <v>0.9884213607445248</v>
      </c>
      <c r="K3929" s="1" t="s">
        <v>181</v>
      </c>
    </row>
    <row r="3930" spans="1:11" x14ac:dyDescent="0.25">
      <c r="A3930" s="1" t="s">
        <v>12411</v>
      </c>
      <c r="B3930" s="1" t="s">
        <v>12412</v>
      </c>
      <c r="D3930" s="1" t="s">
        <v>12413</v>
      </c>
      <c r="E3930" s="1" t="s">
        <v>209</v>
      </c>
      <c r="F3930" s="1" t="s">
        <v>5017</v>
      </c>
      <c r="G3930" s="1" t="s">
        <v>5018</v>
      </c>
      <c r="H3930" s="1">
        <v>0.1</v>
      </c>
      <c r="I3930" s="1">
        <v>0.1</v>
      </c>
      <c r="J3930" s="1">
        <v>0.77798472209840341</v>
      </c>
      <c r="K3930" s="1" t="s">
        <v>181</v>
      </c>
    </row>
    <row r="3931" spans="1:11" x14ac:dyDescent="0.25">
      <c r="A3931" s="1" t="s">
        <v>12414</v>
      </c>
      <c r="B3931" s="1" t="s">
        <v>12415</v>
      </c>
      <c r="D3931" s="1" t="s">
        <v>12416</v>
      </c>
      <c r="E3931" s="1" t="s">
        <v>209</v>
      </c>
      <c r="F3931" s="1" t="s">
        <v>5017</v>
      </c>
      <c r="G3931" s="1" t="s">
        <v>5018</v>
      </c>
      <c r="H3931" s="1">
        <v>0.1</v>
      </c>
      <c r="I3931" s="1">
        <v>0.1</v>
      </c>
      <c r="J3931" s="1">
        <v>0.70514352369956967</v>
      </c>
      <c r="K3931" s="1" t="s">
        <v>181</v>
      </c>
    </row>
    <row r="3932" spans="1:11" x14ac:dyDescent="0.25">
      <c r="A3932" s="1" t="s">
        <v>12417</v>
      </c>
      <c r="B3932" s="1" t="s">
        <v>12418</v>
      </c>
      <c r="D3932" s="1" t="s">
        <v>12419</v>
      </c>
      <c r="E3932" s="1" t="s">
        <v>209</v>
      </c>
      <c r="F3932" s="1" t="s">
        <v>5017</v>
      </c>
      <c r="G3932" s="1" t="s">
        <v>5018</v>
      </c>
      <c r="H3932" s="1">
        <v>0.1</v>
      </c>
      <c r="I3932" s="1">
        <v>0.1</v>
      </c>
      <c r="J3932" s="1">
        <v>0.72671144098534313</v>
      </c>
      <c r="K3932" s="1" t="s">
        <v>181</v>
      </c>
    </row>
    <row r="3933" spans="1:11" x14ac:dyDescent="0.25">
      <c r="A3933" s="1" t="s">
        <v>12420</v>
      </c>
      <c r="B3933" s="1" t="s">
        <v>12421</v>
      </c>
      <c r="D3933" s="1" t="s">
        <v>12422</v>
      </c>
      <c r="E3933" s="1" t="s">
        <v>209</v>
      </c>
      <c r="F3933" s="1" t="s">
        <v>5017</v>
      </c>
      <c r="G3933" s="1" t="s">
        <v>5018</v>
      </c>
      <c r="H3933" s="1">
        <v>0.1</v>
      </c>
      <c r="I3933" s="1">
        <v>0.1</v>
      </c>
      <c r="J3933" s="1">
        <v>0.8042278043210358</v>
      </c>
      <c r="K3933" s="1" t="s">
        <v>181</v>
      </c>
    </row>
    <row r="3934" spans="1:11" x14ac:dyDescent="0.25">
      <c r="A3934" s="1" t="s">
        <v>12423</v>
      </c>
      <c r="B3934" s="1" t="s">
        <v>12424</v>
      </c>
      <c r="D3934" s="1" t="s">
        <v>12425</v>
      </c>
      <c r="E3934" s="1" t="s">
        <v>209</v>
      </c>
      <c r="F3934" s="1" t="s">
        <v>5017</v>
      </c>
      <c r="G3934" s="1" t="s">
        <v>5018</v>
      </c>
      <c r="H3934" s="1">
        <v>0.1</v>
      </c>
      <c r="I3934" s="1">
        <v>0.1</v>
      </c>
      <c r="J3934" s="1">
        <v>0.58505058361586049</v>
      </c>
      <c r="K3934" s="1" t="s">
        <v>181</v>
      </c>
    </row>
    <row r="3935" spans="1:11" x14ac:dyDescent="0.25">
      <c r="A3935" s="1" t="s">
        <v>12426</v>
      </c>
      <c r="B3935" s="1" t="s">
        <v>12427</v>
      </c>
      <c r="D3935" s="1" t="s">
        <v>12428</v>
      </c>
      <c r="E3935" s="1" t="s">
        <v>209</v>
      </c>
      <c r="F3935" s="1" t="s">
        <v>5017</v>
      </c>
      <c r="G3935" s="1" t="s">
        <v>5018</v>
      </c>
      <c r="H3935" s="1">
        <v>0.1</v>
      </c>
      <c r="I3935" s="1">
        <v>0.1</v>
      </c>
      <c r="J3935" s="1">
        <v>0.62707709582748183</v>
      </c>
      <c r="K3935" s="1" t="s">
        <v>181</v>
      </c>
    </row>
    <row r="3936" spans="1:11" x14ac:dyDescent="0.25">
      <c r="A3936" s="1" t="s">
        <v>12429</v>
      </c>
      <c r="B3936" s="1" t="s">
        <v>12430</v>
      </c>
      <c r="D3936" s="1" t="s">
        <v>12431</v>
      </c>
      <c r="E3936" s="1" t="s">
        <v>209</v>
      </c>
      <c r="F3936" s="1" t="s">
        <v>5017</v>
      </c>
      <c r="G3936" s="1" t="s">
        <v>5018</v>
      </c>
      <c r="H3936" s="1">
        <v>0.1</v>
      </c>
      <c r="I3936" s="1">
        <v>0.1</v>
      </c>
      <c r="J3936" s="1">
        <v>0.61756312002130642</v>
      </c>
      <c r="K3936" s="1" t="s">
        <v>181</v>
      </c>
    </row>
    <row r="3937" spans="1:11" x14ac:dyDescent="0.25">
      <c r="A3937" s="1" t="s">
        <v>12432</v>
      </c>
      <c r="B3937" s="1" t="s">
        <v>12433</v>
      </c>
      <c r="D3937" s="1" t="s">
        <v>12434</v>
      </c>
      <c r="E3937" s="1" t="s">
        <v>209</v>
      </c>
      <c r="F3937" s="1" t="s">
        <v>5017</v>
      </c>
      <c r="G3937" s="1" t="s">
        <v>5018</v>
      </c>
      <c r="H3937" s="1">
        <v>0.1</v>
      </c>
      <c r="I3937" s="1">
        <v>0.1</v>
      </c>
      <c r="J3937" s="1">
        <v>0.53913770556090701</v>
      </c>
      <c r="K3937" s="1" t="s">
        <v>181</v>
      </c>
    </row>
    <row r="3938" spans="1:11" x14ac:dyDescent="0.25">
      <c r="A3938" s="1" t="s">
        <v>12435</v>
      </c>
      <c r="B3938" s="1" t="s">
        <v>12436</v>
      </c>
      <c r="D3938" s="1" t="s">
        <v>12437</v>
      </c>
      <c r="E3938" s="1" t="s">
        <v>209</v>
      </c>
      <c r="F3938" s="1" t="s">
        <v>5017</v>
      </c>
      <c r="G3938" s="1" t="s">
        <v>5018</v>
      </c>
      <c r="H3938" s="1">
        <v>0.1</v>
      </c>
      <c r="I3938" s="1">
        <v>0.1</v>
      </c>
      <c r="J3938" s="1">
        <v>0.52483478240718495</v>
      </c>
      <c r="K3938" s="1" t="s">
        <v>181</v>
      </c>
    </row>
    <row r="3939" spans="1:11" x14ac:dyDescent="0.25">
      <c r="A3939" s="1" t="s">
        <v>12438</v>
      </c>
      <c r="B3939" s="1" t="s">
        <v>12439</v>
      </c>
      <c r="D3939" s="1" t="s">
        <v>12440</v>
      </c>
      <c r="E3939" s="1" t="s">
        <v>209</v>
      </c>
      <c r="F3939" s="1" t="s">
        <v>5017</v>
      </c>
      <c r="G3939" s="1" t="s">
        <v>5018</v>
      </c>
      <c r="H3939" s="1">
        <v>0.1</v>
      </c>
      <c r="I3939" s="1">
        <v>0.1</v>
      </c>
      <c r="J3939" s="1">
        <v>0.67667744074176639</v>
      </c>
      <c r="K3939" s="1" t="s">
        <v>181</v>
      </c>
    </row>
    <row r="3940" spans="1:11" x14ac:dyDescent="0.25">
      <c r="A3940" s="1" t="s">
        <v>12441</v>
      </c>
      <c r="B3940" s="1" t="s">
        <v>12442</v>
      </c>
      <c r="D3940" s="1" t="s">
        <v>12443</v>
      </c>
      <c r="E3940" s="1" t="s">
        <v>209</v>
      </c>
      <c r="F3940" s="1" t="s">
        <v>5017</v>
      </c>
      <c r="G3940" s="1" t="s">
        <v>5018</v>
      </c>
      <c r="H3940" s="1">
        <v>0.1</v>
      </c>
      <c r="I3940" s="1">
        <v>0.1</v>
      </c>
      <c r="J3940" s="1">
        <v>0.78502487463400816</v>
      </c>
      <c r="K3940" s="1" t="s">
        <v>181</v>
      </c>
    </row>
    <row r="3941" spans="1:11" x14ac:dyDescent="0.25">
      <c r="A3941" s="1" t="s">
        <v>12444</v>
      </c>
      <c r="B3941" s="1" t="s">
        <v>12445</v>
      </c>
      <c r="D3941" s="1" t="s">
        <v>12446</v>
      </c>
      <c r="E3941" s="1" t="s">
        <v>209</v>
      </c>
      <c r="F3941" s="1" t="s">
        <v>5017</v>
      </c>
      <c r="G3941" s="1" t="s">
        <v>5018</v>
      </c>
      <c r="H3941" s="1">
        <v>0.1</v>
      </c>
      <c r="I3941" s="1">
        <v>0.1</v>
      </c>
      <c r="J3941" s="1">
        <v>0.75126384522286738</v>
      </c>
      <c r="K3941" s="1" t="s">
        <v>181</v>
      </c>
    </row>
    <row r="3942" spans="1:11" x14ac:dyDescent="0.25">
      <c r="A3942" s="1" t="s">
        <v>12447</v>
      </c>
      <c r="B3942" s="1" t="s">
        <v>12448</v>
      </c>
      <c r="D3942" s="1" t="s">
        <v>12449</v>
      </c>
      <c r="E3942" s="1" t="s">
        <v>209</v>
      </c>
      <c r="F3942" s="1" t="s">
        <v>5017</v>
      </c>
      <c r="G3942" s="1" t="s">
        <v>5018</v>
      </c>
      <c r="H3942" s="1">
        <v>0.1</v>
      </c>
      <c r="I3942" s="1">
        <v>0.1</v>
      </c>
      <c r="J3942" s="1">
        <v>1.2501319819836199</v>
      </c>
      <c r="K3942" s="1" t="s">
        <v>181</v>
      </c>
    </row>
    <row r="3943" spans="1:11" x14ac:dyDescent="0.25">
      <c r="A3943" s="1" t="s">
        <v>12450</v>
      </c>
      <c r="B3943" s="1" t="s">
        <v>12451</v>
      </c>
      <c r="D3943" s="1" t="s">
        <v>12452</v>
      </c>
      <c r="E3943" s="1" t="s">
        <v>209</v>
      </c>
      <c r="F3943" s="1" t="s">
        <v>5017</v>
      </c>
      <c r="G3943" s="1" t="s">
        <v>5018</v>
      </c>
      <c r="H3943" s="1">
        <v>0.1</v>
      </c>
      <c r="I3943" s="1">
        <v>0.1</v>
      </c>
      <c r="J3943" s="1">
        <v>0.61838853459840937</v>
      </c>
      <c r="K3943" s="1" t="s">
        <v>181</v>
      </c>
    </row>
    <row r="3944" spans="1:11" x14ac:dyDescent="0.25">
      <c r="A3944" s="1" t="s">
        <v>12453</v>
      </c>
      <c r="B3944" s="1" t="s">
        <v>12454</v>
      </c>
      <c r="D3944" s="1" t="s">
        <v>12455</v>
      </c>
      <c r="E3944" s="1" t="s">
        <v>209</v>
      </c>
      <c r="F3944" s="1" t="s">
        <v>5017</v>
      </c>
      <c r="G3944" s="1" t="s">
        <v>5018</v>
      </c>
      <c r="H3944" s="1">
        <v>0.1</v>
      </c>
      <c r="I3944" s="1">
        <v>0.1</v>
      </c>
      <c r="J3944" s="1">
        <v>0.60722073375444652</v>
      </c>
      <c r="K3944" s="1" t="s">
        <v>181</v>
      </c>
    </row>
    <row r="3945" spans="1:11" x14ac:dyDescent="0.25">
      <c r="A3945" s="1" t="s">
        <v>12456</v>
      </c>
      <c r="B3945" s="1" t="s">
        <v>12457</v>
      </c>
      <c r="D3945" s="1" t="s">
        <v>12458</v>
      </c>
      <c r="E3945" s="1" t="s">
        <v>209</v>
      </c>
      <c r="F3945" s="1" t="s">
        <v>5017</v>
      </c>
      <c r="G3945" s="1" t="s">
        <v>5018</v>
      </c>
      <c r="H3945" s="1">
        <v>0.1</v>
      </c>
      <c r="I3945" s="1">
        <v>0.1</v>
      </c>
      <c r="J3945" s="1">
        <v>0.69741870688448793</v>
      </c>
      <c r="K3945" s="1" t="s">
        <v>181</v>
      </c>
    </row>
    <row r="3946" spans="1:11" x14ac:dyDescent="0.25">
      <c r="A3946" s="1" t="s">
        <v>12459</v>
      </c>
      <c r="B3946" s="1" t="s">
        <v>12460</v>
      </c>
      <c r="D3946" s="1" t="s">
        <v>12461</v>
      </c>
      <c r="E3946" s="1" t="s">
        <v>209</v>
      </c>
      <c r="F3946" s="1" t="s">
        <v>5017</v>
      </c>
      <c r="G3946" s="1" t="s">
        <v>5018</v>
      </c>
      <c r="H3946" s="1">
        <v>0.1</v>
      </c>
      <c r="I3946" s="1">
        <v>0.1</v>
      </c>
      <c r="J3946" s="1">
        <v>0.60125395815309857</v>
      </c>
      <c r="K3946" s="1" t="s">
        <v>181</v>
      </c>
    </row>
    <row r="3947" spans="1:11" x14ac:dyDescent="0.25">
      <c r="A3947" s="1" t="s">
        <v>12462</v>
      </c>
      <c r="B3947" s="1" t="s">
        <v>12463</v>
      </c>
      <c r="D3947" s="1" t="s">
        <v>12464</v>
      </c>
      <c r="E3947" s="1" t="s">
        <v>209</v>
      </c>
      <c r="F3947" s="1" t="s">
        <v>5017</v>
      </c>
      <c r="G3947" s="1" t="s">
        <v>5018</v>
      </c>
      <c r="H3947" s="1">
        <v>0.1</v>
      </c>
      <c r="I3947" s="1">
        <v>0.1</v>
      </c>
      <c r="J3947" s="1">
        <v>0.68267161193835946</v>
      </c>
      <c r="K3947" s="1" t="s">
        <v>181</v>
      </c>
    </row>
    <row r="3948" spans="1:11" x14ac:dyDescent="0.25">
      <c r="A3948" s="1" t="s">
        <v>12465</v>
      </c>
      <c r="B3948" s="1" t="s">
        <v>12466</v>
      </c>
      <c r="D3948" s="1" t="s">
        <v>12467</v>
      </c>
      <c r="E3948" s="1" t="s">
        <v>209</v>
      </c>
      <c r="F3948" s="1" t="s">
        <v>5017</v>
      </c>
      <c r="G3948" s="1" t="s">
        <v>5018</v>
      </c>
      <c r="H3948" s="1">
        <v>0.1</v>
      </c>
      <c r="I3948" s="1">
        <v>0.1</v>
      </c>
      <c r="J3948" s="1">
        <v>0.7114298671809508</v>
      </c>
      <c r="K3948" s="1" t="s">
        <v>181</v>
      </c>
    </row>
    <row r="3949" spans="1:11" x14ac:dyDescent="0.25">
      <c r="A3949" s="1" t="s">
        <v>12468</v>
      </c>
      <c r="B3949" s="1" t="s">
        <v>12469</v>
      </c>
      <c r="D3949" s="1" t="s">
        <v>12470</v>
      </c>
      <c r="E3949" s="1" t="s">
        <v>209</v>
      </c>
      <c r="F3949" s="1" t="s">
        <v>5017</v>
      </c>
      <c r="G3949" s="1" t="s">
        <v>5018</v>
      </c>
      <c r="H3949" s="1">
        <v>0.1</v>
      </c>
      <c r="I3949" s="1">
        <v>0.1</v>
      </c>
      <c r="J3949" s="1">
        <v>0.74703370167420835</v>
      </c>
      <c r="K3949" s="1" t="s">
        <v>181</v>
      </c>
    </row>
    <row r="3950" spans="1:11" x14ac:dyDescent="0.25">
      <c r="A3950" s="1" t="s">
        <v>12471</v>
      </c>
      <c r="B3950" s="1" t="s">
        <v>12472</v>
      </c>
      <c r="D3950" s="1" t="s">
        <v>12473</v>
      </c>
      <c r="E3950" s="1" t="s">
        <v>209</v>
      </c>
      <c r="F3950" s="1" t="s">
        <v>5017</v>
      </c>
      <c r="G3950" s="1" t="s">
        <v>5018</v>
      </c>
      <c r="H3950" s="1">
        <v>0.1</v>
      </c>
      <c r="I3950" s="1">
        <v>0.1</v>
      </c>
      <c r="J3950" s="1">
        <v>0.79072236831372156</v>
      </c>
      <c r="K3950" s="1" t="s">
        <v>181</v>
      </c>
    </row>
    <row r="3951" spans="1:11" x14ac:dyDescent="0.25">
      <c r="A3951" s="1" t="s">
        <v>12474</v>
      </c>
      <c r="B3951" s="1" t="s">
        <v>12475</v>
      </c>
      <c r="D3951" s="1" t="s">
        <v>12476</v>
      </c>
      <c r="E3951" s="1" t="s">
        <v>209</v>
      </c>
      <c r="F3951" s="1" t="s">
        <v>5017</v>
      </c>
      <c r="G3951" s="1" t="s">
        <v>5018</v>
      </c>
      <c r="H3951" s="1">
        <v>0.1</v>
      </c>
      <c r="I3951" s="1">
        <v>0.1</v>
      </c>
      <c r="J3951" s="1">
        <v>0.65221135022538013</v>
      </c>
      <c r="K3951" s="1" t="s">
        <v>181</v>
      </c>
    </row>
    <row r="3952" spans="1:11" x14ac:dyDescent="0.25">
      <c r="A3952" s="1" t="s">
        <v>12477</v>
      </c>
      <c r="B3952" s="1" t="s">
        <v>12478</v>
      </c>
      <c r="D3952" s="1" t="s">
        <v>12479</v>
      </c>
      <c r="E3952" s="1" t="s">
        <v>209</v>
      </c>
      <c r="F3952" s="1" t="s">
        <v>5017</v>
      </c>
      <c r="G3952" s="1" t="s">
        <v>5018</v>
      </c>
      <c r="H3952" s="1">
        <v>0.1</v>
      </c>
      <c r="I3952" s="1">
        <v>0.1</v>
      </c>
      <c r="J3952" s="1">
        <v>0.75585453721334606</v>
      </c>
      <c r="K3952" s="1" t="s">
        <v>181</v>
      </c>
    </row>
    <row r="3953" spans="1:11" x14ac:dyDescent="0.25">
      <c r="A3953" s="1" t="s">
        <v>12480</v>
      </c>
      <c r="B3953" s="1" t="s">
        <v>12481</v>
      </c>
      <c r="D3953" s="1" t="s">
        <v>12482</v>
      </c>
      <c r="E3953" s="1" t="s">
        <v>209</v>
      </c>
      <c r="F3953" s="1" t="s">
        <v>5017</v>
      </c>
      <c r="G3953" s="1" t="s">
        <v>5018</v>
      </c>
      <c r="H3953" s="1">
        <v>0.1</v>
      </c>
      <c r="I3953" s="1">
        <v>0.1</v>
      </c>
      <c r="J3953" s="1">
        <v>0.71503616176375051</v>
      </c>
      <c r="K3953" s="1" t="s">
        <v>181</v>
      </c>
    </row>
    <row r="3954" spans="1:11" x14ac:dyDescent="0.25">
      <c r="A3954" s="1" t="s">
        <v>12483</v>
      </c>
      <c r="B3954" s="1" t="s">
        <v>12484</v>
      </c>
      <c r="D3954" s="1" t="s">
        <v>12485</v>
      </c>
      <c r="E3954" s="1" t="s">
        <v>209</v>
      </c>
      <c r="F3954" s="1" t="s">
        <v>5017</v>
      </c>
      <c r="G3954" s="1" t="s">
        <v>5018</v>
      </c>
      <c r="H3954" s="1">
        <v>0.1</v>
      </c>
      <c r="I3954" s="1">
        <v>0.1</v>
      </c>
      <c r="J3954" s="1">
        <v>0.94065194855357759</v>
      </c>
      <c r="K3954" s="1" t="s">
        <v>181</v>
      </c>
    </row>
    <row r="3955" spans="1:11" x14ac:dyDescent="0.25">
      <c r="A3955" s="1" t="s">
        <v>12486</v>
      </c>
      <c r="B3955" s="1" t="s">
        <v>12487</v>
      </c>
      <c r="D3955" s="1" t="s">
        <v>12488</v>
      </c>
      <c r="E3955" s="1" t="s">
        <v>209</v>
      </c>
      <c r="F3955" s="1" t="s">
        <v>5017</v>
      </c>
      <c r="G3955" s="1" t="s">
        <v>5018</v>
      </c>
      <c r="H3955" s="1">
        <v>0.1</v>
      </c>
      <c r="I3955" s="1">
        <v>0.1</v>
      </c>
      <c r="J3955" s="1">
        <v>1.1390593101390358</v>
      </c>
      <c r="K3955" s="1" t="s">
        <v>181</v>
      </c>
    </row>
    <row r="3956" spans="1:11" x14ac:dyDescent="0.25">
      <c r="A3956" s="1" t="s">
        <v>12489</v>
      </c>
      <c r="B3956" s="1" t="s">
        <v>12490</v>
      </c>
      <c r="D3956" s="1" t="s">
        <v>12491</v>
      </c>
      <c r="E3956" s="1" t="s">
        <v>209</v>
      </c>
      <c r="F3956" s="1" t="s">
        <v>5017</v>
      </c>
      <c r="G3956" s="1" t="s">
        <v>5018</v>
      </c>
      <c r="H3956" s="1">
        <v>0.1</v>
      </c>
      <c r="I3956" s="1">
        <v>0.1</v>
      </c>
      <c r="J3956" s="1">
        <v>1.1569623046866266</v>
      </c>
      <c r="K3956" s="1" t="s">
        <v>181</v>
      </c>
    </row>
    <row r="3957" spans="1:11" x14ac:dyDescent="0.25">
      <c r="A3957" s="1" t="s">
        <v>12492</v>
      </c>
      <c r="B3957" s="1" t="s">
        <v>12493</v>
      </c>
      <c r="D3957" s="1" t="s">
        <v>12494</v>
      </c>
      <c r="E3957" s="1" t="s">
        <v>209</v>
      </c>
      <c r="F3957" s="1" t="s">
        <v>5017</v>
      </c>
      <c r="G3957" s="1" t="s">
        <v>5018</v>
      </c>
      <c r="H3957" s="1">
        <v>0.1</v>
      </c>
      <c r="I3957" s="1">
        <v>0.1</v>
      </c>
      <c r="J3957" s="1">
        <v>0.44548909975292172</v>
      </c>
      <c r="K3957" s="1" t="s">
        <v>181</v>
      </c>
    </row>
    <row r="3958" spans="1:11" x14ac:dyDescent="0.25">
      <c r="A3958" s="1" t="s">
        <v>74</v>
      </c>
      <c r="B3958" s="1" t="s">
        <v>12495</v>
      </c>
      <c r="D3958" s="1" t="s">
        <v>12496</v>
      </c>
      <c r="E3958" s="1" t="s">
        <v>209</v>
      </c>
      <c r="F3958" s="1" t="s">
        <v>5017</v>
      </c>
      <c r="G3958" s="1" t="s">
        <v>5018</v>
      </c>
      <c r="H3958" s="1">
        <v>0.1</v>
      </c>
      <c r="I3958" s="1">
        <v>0.1</v>
      </c>
      <c r="J3958" s="1">
        <v>0.70880052010698535</v>
      </c>
      <c r="K3958" s="1" t="s">
        <v>181</v>
      </c>
    </row>
    <row r="3959" spans="1:11" x14ac:dyDescent="0.25">
      <c r="A3959" s="1" t="s">
        <v>12497</v>
      </c>
      <c r="B3959" s="1" t="s">
        <v>12498</v>
      </c>
      <c r="D3959" s="1" t="s">
        <v>12499</v>
      </c>
      <c r="E3959" s="1" t="s">
        <v>209</v>
      </c>
      <c r="F3959" s="1" t="s">
        <v>5017</v>
      </c>
      <c r="G3959" s="1" t="s">
        <v>5018</v>
      </c>
      <c r="H3959" s="1">
        <v>0.1</v>
      </c>
      <c r="I3959" s="1">
        <v>0.1</v>
      </c>
      <c r="J3959" s="1">
        <v>0.67404617985579329</v>
      </c>
      <c r="K3959" s="1" t="s">
        <v>181</v>
      </c>
    </row>
    <row r="3960" spans="1:11" x14ac:dyDescent="0.25">
      <c r="A3960" s="1" t="s">
        <v>12500</v>
      </c>
      <c r="B3960" s="1" t="s">
        <v>12501</v>
      </c>
      <c r="D3960" s="1" t="s">
        <v>12502</v>
      </c>
      <c r="E3960" s="1" t="s">
        <v>209</v>
      </c>
      <c r="F3960" s="1" t="s">
        <v>5017</v>
      </c>
      <c r="G3960" s="1" t="s">
        <v>5018</v>
      </c>
      <c r="H3960" s="1">
        <v>0.1</v>
      </c>
      <c r="I3960" s="1">
        <v>0.1</v>
      </c>
      <c r="J3960" s="1">
        <v>0.69625408375251219</v>
      </c>
      <c r="K3960" s="1" t="s">
        <v>181</v>
      </c>
    </row>
    <row r="3961" spans="1:11" x14ac:dyDescent="0.25">
      <c r="A3961" s="1" t="s">
        <v>12503</v>
      </c>
      <c r="B3961" s="1" t="s">
        <v>12504</v>
      </c>
      <c r="D3961" s="1" t="s">
        <v>12505</v>
      </c>
      <c r="E3961" s="1" t="s">
        <v>209</v>
      </c>
      <c r="F3961" s="1" t="s">
        <v>5017</v>
      </c>
      <c r="G3961" s="1" t="s">
        <v>5018</v>
      </c>
      <c r="H3961" s="1">
        <v>0.1</v>
      </c>
      <c r="I3961" s="1">
        <v>0.1</v>
      </c>
      <c r="J3961" s="1">
        <v>0.85993329510656591</v>
      </c>
      <c r="K3961" s="1" t="s">
        <v>181</v>
      </c>
    </row>
    <row r="3962" spans="1:11" x14ac:dyDescent="0.25">
      <c r="A3962" s="1" t="s">
        <v>12506</v>
      </c>
      <c r="B3962" s="1" t="s">
        <v>12507</v>
      </c>
      <c r="D3962" s="1" t="s">
        <v>12508</v>
      </c>
      <c r="E3962" s="1" t="s">
        <v>209</v>
      </c>
      <c r="F3962" s="1" t="s">
        <v>5017</v>
      </c>
      <c r="G3962" s="1" t="s">
        <v>5018</v>
      </c>
      <c r="H3962" s="1">
        <v>0.1</v>
      </c>
      <c r="I3962" s="1">
        <v>0.1</v>
      </c>
      <c r="J3962" s="1">
        <v>0.99573076575222419</v>
      </c>
      <c r="K3962" s="1" t="s">
        <v>181</v>
      </c>
    </row>
    <row r="3963" spans="1:11" x14ac:dyDescent="0.25">
      <c r="A3963" s="1" t="s">
        <v>12509</v>
      </c>
      <c r="B3963" s="1" t="s">
        <v>12510</v>
      </c>
      <c r="D3963" s="1" t="s">
        <v>12511</v>
      </c>
      <c r="E3963" s="1" t="s">
        <v>209</v>
      </c>
      <c r="F3963" s="1" t="s">
        <v>5017</v>
      </c>
      <c r="G3963" s="1" t="s">
        <v>5018</v>
      </c>
      <c r="H3963" s="1">
        <v>0.1</v>
      </c>
      <c r="I3963" s="1">
        <v>0.1</v>
      </c>
      <c r="J3963" s="1">
        <v>0.87516523160100401</v>
      </c>
      <c r="K3963" s="1" t="s">
        <v>181</v>
      </c>
    </row>
    <row r="3964" spans="1:11" x14ac:dyDescent="0.25">
      <c r="A3964" s="1" t="s">
        <v>12512</v>
      </c>
      <c r="B3964" s="1" t="s">
        <v>12513</v>
      </c>
      <c r="D3964" s="1" t="s">
        <v>12514</v>
      </c>
      <c r="E3964" s="1" t="s">
        <v>209</v>
      </c>
      <c r="F3964" s="1" t="s">
        <v>5017</v>
      </c>
      <c r="G3964" s="1" t="s">
        <v>5018</v>
      </c>
      <c r="H3964" s="1">
        <v>0.1</v>
      </c>
      <c r="I3964" s="1">
        <v>0.1</v>
      </c>
      <c r="J3964" s="1">
        <v>1.0554479099756244</v>
      </c>
      <c r="K3964" s="1" t="s">
        <v>181</v>
      </c>
    </row>
    <row r="3965" spans="1:11" x14ac:dyDescent="0.25">
      <c r="A3965" s="1" t="s">
        <v>12515</v>
      </c>
      <c r="B3965" s="1" t="s">
        <v>12516</v>
      </c>
      <c r="D3965" s="1" t="s">
        <v>12517</v>
      </c>
      <c r="E3965" s="1" t="s">
        <v>209</v>
      </c>
      <c r="F3965" s="1" t="s">
        <v>5017</v>
      </c>
      <c r="G3965" s="1" t="s">
        <v>5018</v>
      </c>
      <c r="H3965" s="1">
        <v>0.1</v>
      </c>
      <c r="I3965" s="1">
        <v>0.1</v>
      </c>
      <c r="J3965" s="1">
        <v>0.66904320285863361</v>
      </c>
      <c r="K3965" s="1" t="s">
        <v>181</v>
      </c>
    </row>
    <row r="3966" spans="1:11" x14ac:dyDescent="0.25">
      <c r="A3966" s="1" t="s">
        <v>12518</v>
      </c>
      <c r="B3966" s="1" t="s">
        <v>12519</v>
      </c>
      <c r="D3966" s="1" t="s">
        <v>12520</v>
      </c>
      <c r="E3966" s="1" t="s">
        <v>209</v>
      </c>
      <c r="F3966" s="1" t="s">
        <v>5017</v>
      </c>
      <c r="G3966" s="1" t="s">
        <v>5018</v>
      </c>
      <c r="H3966" s="1">
        <v>0.1</v>
      </c>
      <c r="I3966" s="1">
        <v>0.1</v>
      </c>
      <c r="J3966" s="1">
        <v>0.43279287416208417</v>
      </c>
      <c r="K3966" s="1" t="s">
        <v>181</v>
      </c>
    </row>
    <row r="3967" spans="1:11" x14ac:dyDescent="0.25">
      <c r="A3967" s="1" t="s">
        <v>12521</v>
      </c>
      <c r="B3967" s="1" t="s">
        <v>12522</v>
      </c>
      <c r="D3967" s="1" t="s">
        <v>12523</v>
      </c>
      <c r="E3967" s="1" t="s">
        <v>209</v>
      </c>
      <c r="F3967" s="1" t="s">
        <v>5017</v>
      </c>
      <c r="G3967" s="1" t="s">
        <v>5018</v>
      </c>
      <c r="H3967" s="1">
        <v>0.1</v>
      </c>
      <c r="I3967" s="1">
        <v>0.1</v>
      </c>
      <c r="J3967" s="1">
        <v>0.64934304189134517</v>
      </c>
      <c r="K3967" s="1" t="s">
        <v>181</v>
      </c>
    </row>
    <row r="3968" spans="1:11" x14ac:dyDescent="0.25">
      <c r="A3968" s="1" t="s">
        <v>12524</v>
      </c>
      <c r="B3968" s="1" t="s">
        <v>12525</v>
      </c>
      <c r="D3968" s="1" t="s">
        <v>12526</v>
      </c>
      <c r="E3968" s="1" t="s">
        <v>209</v>
      </c>
      <c r="F3968" s="1" t="s">
        <v>5017</v>
      </c>
      <c r="G3968" s="1" t="s">
        <v>5018</v>
      </c>
      <c r="H3968" s="1">
        <v>0.1</v>
      </c>
      <c r="I3968" s="1">
        <v>0.1</v>
      </c>
      <c r="J3968" s="1">
        <v>0.37102546416282789</v>
      </c>
      <c r="K3968" s="1" t="s">
        <v>181</v>
      </c>
    </row>
    <row r="3969" spans="1:11" x14ac:dyDescent="0.25">
      <c r="A3969" s="1" t="s">
        <v>12527</v>
      </c>
      <c r="B3969" s="1" t="s">
        <v>12528</v>
      </c>
      <c r="D3969" s="1" t="s">
        <v>12529</v>
      </c>
      <c r="E3969" s="1" t="s">
        <v>209</v>
      </c>
      <c r="F3969" s="1" t="s">
        <v>5017</v>
      </c>
      <c r="G3969" s="1" t="s">
        <v>5018</v>
      </c>
      <c r="H3969" s="1">
        <v>0.1</v>
      </c>
      <c r="I3969" s="1">
        <v>0.1</v>
      </c>
      <c r="J3969" s="1">
        <v>0.78950682049692567</v>
      </c>
      <c r="K3969" s="1" t="s">
        <v>181</v>
      </c>
    </row>
    <row r="3970" spans="1:11" x14ac:dyDescent="0.25">
      <c r="A3970" s="1" t="s">
        <v>12530</v>
      </c>
      <c r="B3970" s="1" t="s">
        <v>12531</v>
      </c>
      <c r="D3970" s="1" t="s">
        <v>12532</v>
      </c>
      <c r="E3970" s="1" t="s">
        <v>209</v>
      </c>
      <c r="F3970" s="1" t="s">
        <v>5017</v>
      </c>
      <c r="G3970" s="1" t="s">
        <v>5018</v>
      </c>
      <c r="H3970" s="1">
        <v>0.1</v>
      </c>
      <c r="I3970" s="1">
        <v>0.1</v>
      </c>
      <c r="J3970" s="1">
        <v>0.74799416729427193</v>
      </c>
      <c r="K3970" s="1" t="s">
        <v>181</v>
      </c>
    </row>
    <row r="3971" spans="1:11" x14ac:dyDescent="0.25">
      <c r="A3971" s="1" t="s">
        <v>12533</v>
      </c>
      <c r="B3971" s="1" t="s">
        <v>12534</v>
      </c>
      <c r="D3971" s="1" t="s">
        <v>12535</v>
      </c>
      <c r="E3971" s="1" t="s">
        <v>209</v>
      </c>
      <c r="F3971" s="1" t="s">
        <v>5017</v>
      </c>
      <c r="G3971" s="1" t="s">
        <v>5018</v>
      </c>
      <c r="H3971" s="1">
        <v>0.1</v>
      </c>
      <c r="I3971" s="1">
        <v>0.1</v>
      </c>
      <c r="J3971" s="1">
        <v>0.70565429788203116</v>
      </c>
      <c r="K3971" s="1" t="s">
        <v>181</v>
      </c>
    </row>
    <row r="3972" spans="1:11" x14ac:dyDescent="0.25">
      <c r="A3972" s="1" t="s">
        <v>12536</v>
      </c>
      <c r="B3972" s="1" t="s">
        <v>12537</v>
      </c>
      <c r="D3972" s="1" t="s">
        <v>12538</v>
      </c>
      <c r="E3972" s="1" t="s">
        <v>209</v>
      </c>
      <c r="F3972" s="1" t="s">
        <v>5017</v>
      </c>
      <c r="G3972" s="1" t="s">
        <v>5018</v>
      </c>
      <c r="H3972" s="1">
        <v>0.1</v>
      </c>
      <c r="I3972" s="1">
        <v>0.1</v>
      </c>
      <c r="J3972" s="1">
        <v>0.76715396791996515</v>
      </c>
      <c r="K3972" s="1" t="s">
        <v>181</v>
      </c>
    </row>
    <row r="3973" spans="1:11" x14ac:dyDescent="0.25">
      <c r="A3973" s="1" t="s">
        <v>12539</v>
      </c>
      <c r="B3973" s="1" t="s">
        <v>12540</v>
      </c>
      <c r="D3973" s="1" t="s">
        <v>12541</v>
      </c>
      <c r="E3973" s="1" t="s">
        <v>209</v>
      </c>
      <c r="F3973" s="1" t="s">
        <v>5017</v>
      </c>
      <c r="G3973" s="1" t="s">
        <v>5018</v>
      </c>
      <c r="H3973" s="1">
        <v>0.1</v>
      </c>
      <c r="I3973" s="1">
        <v>0.1</v>
      </c>
      <c r="J3973" s="1">
        <v>0.73286413032050346</v>
      </c>
      <c r="K3973" s="1" t="s">
        <v>181</v>
      </c>
    </row>
    <row r="3974" spans="1:11" x14ac:dyDescent="0.25">
      <c r="A3974" s="1" t="s">
        <v>12542</v>
      </c>
      <c r="B3974" s="1" t="s">
        <v>12543</v>
      </c>
      <c r="D3974" s="1" t="s">
        <v>12544</v>
      </c>
      <c r="E3974" s="1" t="s">
        <v>209</v>
      </c>
      <c r="F3974" s="1" t="s">
        <v>5017</v>
      </c>
      <c r="G3974" s="1" t="s">
        <v>5018</v>
      </c>
      <c r="H3974" s="1">
        <v>0.1</v>
      </c>
      <c r="I3974" s="1">
        <v>0.1</v>
      </c>
      <c r="J3974" s="1">
        <v>0.62883706538932638</v>
      </c>
      <c r="K3974" s="1" t="s">
        <v>181</v>
      </c>
    </row>
    <row r="3975" spans="1:11" x14ac:dyDescent="0.25">
      <c r="A3975" s="1" t="s">
        <v>12545</v>
      </c>
      <c r="B3975" s="1" t="s">
        <v>12546</v>
      </c>
      <c r="D3975" s="1" t="s">
        <v>12547</v>
      </c>
      <c r="E3975" s="1" t="s">
        <v>209</v>
      </c>
      <c r="F3975" s="1" t="s">
        <v>5017</v>
      </c>
      <c r="G3975" s="1" t="s">
        <v>5018</v>
      </c>
      <c r="H3975" s="1">
        <v>0.1</v>
      </c>
      <c r="I3975" s="1">
        <v>0.1</v>
      </c>
      <c r="J3975" s="1">
        <v>0.91923702409665708</v>
      </c>
      <c r="K3975" s="1" t="s">
        <v>181</v>
      </c>
    </row>
    <row r="3976" spans="1:11" x14ac:dyDescent="0.25">
      <c r="A3976" s="1" t="s">
        <v>12548</v>
      </c>
      <c r="B3976" s="1" t="s">
        <v>12549</v>
      </c>
      <c r="D3976" s="1" t="s">
        <v>12550</v>
      </c>
      <c r="E3976" s="1" t="s">
        <v>209</v>
      </c>
      <c r="F3976" s="1" t="s">
        <v>5017</v>
      </c>
      <c r="G3976" s="1" t="s">
        <v>5018</v>
      </c>
      <c r="H3976" s="1">
        <v>0.1</v>
      </c>
      <c r="I3976" s="1">
        <v>0.1</v>
      </c>
      <c r="J3976" s="1">
        <v>0.63890955071439781</v>
      </c>
      <c r="K3976" s="1" t="s">
        <v>181</v>
      </c>
    </row>
    <row r="3977" spans="1:11" x14ac:dyDescent="0.25">
      <c r="A3977" s="1" t="s">
        <v>12551</v>
      </c>
      <c r="B3977" s="1" t="s">
        <v>12552</v>
      </c>
      <c r="D3977" s="1" t="s">
        <v>12553</v>
      </c>
      <c r="E3977" s="1" t="s">
        <v>209</v>
      </c>
      <c r="F3977" s="1" t="s">
        <v>5017</v>
      </c>
      <c r="G3977" s="1" t="s">
        <v>5018</v>
      </c>
      <c r="H3977" s="1">
        <v>0.1</v>
      </c>
      <c r="I3977" s="1">
        <v>0.1</v>
      </c>
      <c r="J3977" s="1">
        <v>0.67706400166642344</v>
      </c>
      <c r="K3977" s="1" t="s">
        <v>181</v>
      </c>
    </row>
    <row r="3978" spans="1:11" x14ac:dyDescent="0.25">
      <c r="A3978" s="1" t="s">
        <v>12554</v>
      </c>
      <c r="B3978" s="1" t="s">
        <v>12555</v>
      </c>
      <c r="D3978" s="1" t="s">
        <v>12556</v>
      </c>
      <c r="E3978" s="1" t="s">
        <v>209</v>
      </c>
      <c r="F3978" s="1" t="s">
        <v>5017</v>
      </c>
      <c r="G3978" s="1" t="s">
        <v>5018</v>
      </c>
      <c r="H3978" s="1">
        <v>0.1</v>
      </c>
      <c r="I3978" s="1">
        <v>0.1</v>
      </c>
      <c r="J3978" s="1">
        <v>0.76920484253973709</v>
      </c>
      <c r="K3978" s="1" t="s">
        <v>181</v>
      </c>
    </row>
    <row r="3979" spans="1:11" x14ac:dyDescent="0.25">
      <c r="A3979" s="1" t="s">
        <v>12557</v>
      </c>
      <c r="B3979" s="1" t="s">
        <v>12558</v>
      </c>
      <c r="D3979" s="1" t="s">
        <v>12559</v>
      </c>
      <c r="E3979" s="1" t="s">
        <v>209</v>
      </c>
      <c r="F3979" s="1" t="s">
        <v>5017</v>
      </c>
      <c r="G3979" s="1" t="s">
        <v>5018</v>
      </c>
      <c r="H3979" s="1">
        <v>0.1</v>
      </c>
      <c r="I3979" s="1">
        <v>0.1</v>
      </c>
      <c r="J3979" s="1">
        <v>0.83755213330592204</v>
      </c>
      <c r="K3979" s="1" t="s">
        <v>181</v>
      </c>
    </row>
    <row r="3980" spans="1:11" x14ac:dyDescent="0.25">
      <c r="A3980" s="1" t="s">
        <v>12560</v>
      </c>
      <c r="B3980" s="1" t="s">
        <v>12561</v>
      </c>
      <c r="D3980" s="1" t="s">
        <v>12562</v>
      </c>
      <c r="E3980" s="1" t="s">
        <v>209</v>
      </c>
      <c r="F3980" s="1" t="s">
        <v>5017</v>
      </c>
      <c r="G3980" s="1" t="s">
        <v>5018</v>
      </c>
      <c r="H3980" s="1">
        <v>0.1</v>
      </c>
      <c r="I3980" s="1">
        <v>0.1</v>
      </c>
      <c r="J3980" s="1">
        <v>0.59805826288020902</v>
      </c>
      <c r="K3980" s="1" t="s">
        <v>181</v>
      </c>
    </row>
    <row r="3981" spans="1:11" x14ac:dyDescent="0.25">
      <c r="A3981" s="1" t="s">
        <v>12563</v>
      </c>
      <c r="B3981" s="1" t="s">
        <v>12564</v>
      </c>
      <c r="D3981" s="1" t="s">
        <v>12565</v>
      </c>
      <c r="E3981" s="1" t="s">
        <v>209</v>
      </c>
      <c r="F3981" s="1" t="s">
        <v>5017</v>
      </c>
      <c r="G3981" s="1" t="s">
        <v>5018</v>
      </c>
      <c r="H3981" s="1">
        <v>0.1</v>
      </c>
      <c r="I3981" s="1">
        <v>0.1</v>
      </c>
      <c r="J3981" s="1">
        <v>0.58869111960687648</v>
      </c>
      <c r="K3981" s="1" t="s">
        <v>181</v>
      </c>
    </row>
    <row r="3982" spans="1:11" x14ac:dyDescent="0.25">
      <c r="A3982" s="1" t="s">
        <v>12566</v>
      </c>
      <c r="B3982" s="1" t="s">
        <v>12567</v>
      </c>
      <c r="D3982" s="1" t="s">
        <v>12568</v>
      </c>
      <c r="E3982" s="1" t="s">
        <v>209</v>
      </c>
      <c r="F3982" s="1" t="s">
        <v>5017</v>
      </c>
      <c r="G3982" s="1" t="s">
        <v>5018</v>
      </c>
      <c r="H3982" s="1">
        <v>0.1</v>
      </c>
      <c r="I3982" s="1">
        <v>0.1</v>
      </c>
      <c r="J3982" s="1">
        <v>0.5454139939685051</v>
      </c>
      <c r="K3982" s="1" t="s">
        <v>181</v>
      </c>
    </row>
    <row r="3983" spans="1:11" x14ac:dyDescent="0.25">
      <c r="A3983" s="1" t="s">
        <v>12569</v>
      </c>
      <c r="B3983" s="1" t="s">
        <v>12570</v>
      </c>
      <c r="D3983" s="1" t="s">
        <v>12571</v>
      </c>
      <c r="E3983" s="1" t="s">
        <v>209</v>
      </c>
      <c r="F3983" s="1" t="s">
        <v>5017</v>
      </c>
      <c r="G3983" s="1" t="s">
        <v>5018</v>
      </c>
      <c r="H3983" s="1">
        <v>0.1</v>
      </c>
      <c r="I3983" s="1">
        <v>0.1</v>
      </c>
      <c r="J3983" s="1">
        <v>0.97858825769015634</v>
      </c>
      <c r="K3983" s="1" t="s">
        <v>181</v>
      </c>
    </row>
    <row r="3984" spans="1:11" x14ac:dyDescent="0.25">
      <c r="A3984" s="1" t="s">
        <v>12572</v>
      </c>
      <c r="B3984" s="1" t="s">
        <v>12573</v>
      </c>
      <c r="D3984" s="1" t="s">
        <v>12574</v>
      </c>
      <c r="E3984" s="1" t="s">
        <v>209</v>
      </c>
      <c r="F3984" s="1" t="s">
        <v>5017</v>
      </c>
      <c r="G3984" s="1" t="s">
        <v>5018</v>
      </c>
      <c r="H3984" s="1">
        <v>0.1</v>
      </c>
      <c r="I3984" s="1">
        <v>0.1</v>
      </c>
      <c r="J3984" s="1">
        <v>0.72380043449186304</v>
      </c>
      <c r="K3984" s="1" t="s">
        <v>181</v>
      </c>
    </row>
    <row r="3985" spans="1:11" x14ac:dyDescent="0.25">
      <c r="A3985" s="1" t="s">
        <v>12575</v>
      </c>
      <c r="B3985" s="1" t="s">
        <v>12576</v>
      </c>
      <c r="D3985" s="1" t="s">
        <v>12577</v>
      </c>
      <c r="E3985" s="1" t="s">
        <v>209</v>
      </c>
      <c r="F3985" s="1" t="s">
        <v>5017</v>
      </c>
      <c r="G3985" s="1" t="s">
        <v>5018</v>
      </c>
      <c r="H3985" s="1">
        <v>0.1</v>
      </c>
      <c r="I3985" s="1">
        <v>0.1</v>
      </c>
      <c r="J3985" s="1">
        <v>0.73461099016654297</v>
      </c>
      <c r="K3985" s="1" t="s">
        <v>181</v>
      </c>
    </row>
    <row r="3986" spans="1:11" x14ac:dyDescent="0.25">
      <c r="A3986" s="1" t="s">
        <v>12578</v>
      </c>
      <c r="B3986" s="1" t="s">
        <v>12579</v>
      </c>
      <c r="D3986" s="1" t="s">
        <v>12580</v>
      </c>
      <c r="E3986" s="1" t="s">
        <v>209</v>
      </c>
      <c r="F3986" s="1" t="s">
        <v>5017</v>
      </c>
      <c r="G3986" s="1" t="s">
        <v>5018</v>
      </c>
      <c r="H3986" s="1">
        <v>0.1</v>
      </c>
      <c r="I3986" s="1">
        <v>0.1</v>
      </c>
      <c r="J3986" s="1">
        <v>0.66936875694029119</v>
      </c>
      <c r="K3986" s="1" t="s">
        <v>181</v>
      </c>
    </row>
    <row r="3987" spans="1:11" x14ac:dyDescent="0.25">
      <c r="A3987" s="1" t="s">
        <v>12581</v>
      </c>
      <c r="B3987" s="1" t="s">
        <v>12582</v>
      </c>
      <c r="D3987" s="1" t="s">
        <v>12583</v>
      </c>
      <c r="E3987" s="1" t="s">
        <v>209</v>
      </c>
      <c r="F3987" s="1" t="s">
        <v>5017</v>
      </c>
      <c r="G3987" s="1" t="s">
        <v>5018</v>
      </c>
      <c r="H3987" s="1">
        <v>0.1</v>
      </c>
      <c r="I3987" s="1">
        <v>0.1</v>
      </c>
      <c r="J3987" s="1">
        <v>0.60304153907886304</v>
      </c>
      <c r="K3987" s="1" t="s">
        <v>181</v>
      </c>
    </row>
    <row r="3988" spans="1:11" x14ac:dyDescent="0.25">
      <c r="A3988" s="1" t="s">
        <v>12584</v>
      </c>
      <c r="B3988" s="1" t="s">
        <v>12585</v>
      </c>
      <c r="D3988" s="1" t="s">
        <v>12586</v>
      </c>
      <c r="E3988" s="1" t="s">
        <v>209</v>
      </c>
      <c r="F3988" s="1" t="s">
        <v>5017</v>
      </c>
      <c r="G3988" s="1" t="s">
        <v>5018</v>
      </c>
      <c r="H3988" s="1">
        <v>0.1</v>
      </c>
      <c r="I3988" s="1">
        <v>0.1</v>
      </c>
      <c r="J3988" s="1">
        <v>0.71338969511083572</v>
      </c>
      <c r="K3988" s="1" t="s">
        <v>181</v>
      </c>
    </row>
    <row r="3989" spans="1:11" x14ac:dyDescent="0.25">
      <c r="A3989" s="1" t="s">
        <v>12587</v>
      </c>
      <c r="B3989" s="1" t="s">
        <v>12588</v>
      </c>
      <c r="D3989" s="1" t="s">
        <v>12589</v>
      </c>
      <c r="E3989" s="1" t="s">
        <v>209</v>
      </c>
      <c r="F3989" s="1" t="s">
        <v>5017</v>
      </c>
      <c r="G3989" s="1" t="s">
        <v>5018</v>
      </c>
      <c r="H3989" s="1">
        <v>0.1</v>
      </c>
      <c r="I3989" s="1">
        <v>0.1</v>
      </c>
      <c r="J3989" s="1">
        <v>0.89305908454940497</v>
      </c>
      <c r="K3989" s="1" t="s">
        <v>181</v>
      </c>
    </row>
    <row r="3990" spans="1:11" x14ac:dyDescent="0.25">
      <c r="A3990" s="1" t="s">
        <v>12590</v>
      </c>
      <c r="B3990" s="1" t="s">
        <v>12591</v>
      </c>
      <c r="D3990" s="1" t="s">
        <v>12592</v>
      </c>
      <c r="E3990" s="1" t="s">
        <v>209</v>
      </c>
      <c r="F3990" s="1" t="s">
        <v>5017</v>
      </c>
      <c r="G3990" s="1" t="s">
        <v>5018</v>
      </c>
      <c r="H3990" s="1">
        <v>0.1</v>
      </c>
      <c r="I3990" s="1">
        <v>0.1</v>
      </c>
      <c r="J3990" s="1">
        <v>0.93684267520468889</v>
      </c>
      <c r="K3990" s="1" t="s">
        <v>181</v>
      </c>
    </row>
    <row r="3991" spans="1:11" x14ac:dyDescent="0.25">
      <c r="A3991" s="1" t="s">
        <v>12593</v>
      </c>
      <c r="B3991" s="1" t="s">
        <v>12594</v>
      </c>
      <c r="D3991" s="1" t="s">
        <v>12595</v>
      </c>
      <c r="E3991" s="1" t="s">
        <v>209</v>
      </c>
      <c r="F3991" s="1" t="s">
        <v>5017</v>
      </c>
      <c r="G3991" s="1" t="s">
        <v>5018</v>
      </c>
      <c r="H3991" s="1">
        <v>0.1</v>
      </c>
      <c r="I3991" s="1">
        <v>0.1</v>
      </c>
      <c r="J3991" s="1">
        <v>0.68082970435998247</v>
      </c>
      <c r="K3991" s="1" t="s">
        <v>181</v>
      </c>
    </row>
    <row r="3992" spans="1:11" x14ac:dyDescent="0.25">
      <c r="A3992" s="1" t="s">
        <v>12596</v>
      </c>
      <c r="B3992" s="1" t="s">
        <v>12597</v>
      </c>
      <c r="D3992" s="1" t="s">
        <v>12598</v>
      </c>
      <c r="E3992" s="1" t="s">
        <v>209</v>
      </c>
      <c r="F3992" s="1" t="s">
        <v>5017</v>
      </c>
      <c r="G3992" s="1" t="s">
        <v>5018</v>
      </c>
      <c r="H3992" s="1">
        <v>0.1</v>
      </c>
      <c r="I3992" s="1">
        <v>0.1</v>
      </c>
      <c r="J3992" s="1">
        <v>0.85950943234291044</v>
      </c>
      <c r="K3992" s="1" t="s">
        <v>181</v>
      </c>
    </row>
    <row r="3993" spans="1:11" x14ac:dyDescent="0.25">
      <c r="A3993" s="1" t="s">
        <v>12599</v>
      </c>
      <c r="B3993" s="1" t="s">
        <v>12600</v>
      </c>
      <c r="D3993" s="1" t="s">
        <v>12601</v>
      </c>
      <c r="E3993" s="1" t="s">
        <v>209</v>
      </c>
      <c r="F3993" s="1" t="s">
        <v>5017</v>
      </c>
      <c r="G3993" s="1" t="s">
        <v>5018</v>
      </c>
      <c r="H3993" s="1">
        <v>0.1</v>
      </c>
      <c r="I3993" s="1">
        <v>0.1</v>
      </c>
      <c r="J3993" s="1">
        <v>0.8565411173618428</v>
      </c>
      <c r="K3993" s="1" t="s">
        <v>181</v>
      </c>
    </row>
    <row r="3994" spans="1:11" x14ac:dyDescent="0.25">
      <c r="A3994" s="1" t="s">
        <v>12602</v>
      </c>
      <c r="B3994" s="1" t="s">
        <v>12603</v>
      </c>
      <c r="D3994" s="1" t="s">
        <v>12604</v>
      </c>
      <c r="E3994" s="1" t="s">
        <v>209</v>
      </c>
      <c r="F3994" s="1" t="s">
        <v>5017</v>
      </c>
      <c r="G3994" s="1" t="s">
        <v>5018</v>
      </c>
      <c r="H3994" s="1">
        <v>0.1</v>
      </c>
      <c r="I3994" s="1">
        <v>0.1</v>
      </c>
      <c r="J3994" s="1">
        <v>0.92026408977017438</v>
      </c>
      <c r="K3994" s="1" t="s">
        <v>181</v>
      </c>
    </row>
    <row r="3995" spans="1:11" x14ac:dyDescent="0.25">
      <c r="A3995" s="1" t="s">
        <v>12605</v>
      </c>
      <c r="B3995" s="1" t="s">
        <v>12606</v>
      </c>
      <c r="D3995" s="1" t="s">
        <v>12607</v>
      </c>
      <c r="E3995" s="1" t="s">
        <v>209</v>
      </c>
      <c r="F3995" s="1" t="s">
        <v>5017</v>
      </c>
      <c r="G3995" s="1" t="s">
        <v>5018</v>
      </c>
      <c r="H3995" s="1">
        <v>0.1</v>
      </c>
      <c r="I3995" s="1">
        <v>0.1</v>
      </c>
      <c r="J3995" s="1">
        <v>0.89177589567584592</v>
      </c>
      <c r="K3995" s="1" t="s">
        <v>181</v>
      </c>
    </row>
    <row r="3996" spans="1:11" x14ac:dyDescent="0.25">
      <c r="A3996" s="1" t="s">
        <v>12608</v>
      </c>
      <c r="B3996" s="1" t="s">
        <v>12609</v>
      </c>
      <c r="D3996" s="1" t="s">
        <v>12610</v>
      </c>
      <c r="E3996" s="1" t="s">
        <v>209</v>
      </c>
      <c r="F3996" s="1" t="s">
        <v>5017</v>
      </c>
      <c r="G3996" s="1" t="s">
        <v>5018</v>
      </c>
      <c r="H3996" s="1">
        <v>0.1</v>
      </c>
      <c r="I3996" s="1">
        <v>0.1</v>
      </c>
      <c r="J3996" s="1">
        <v>0.56696448412223155</v>
      </c>
      <c r="K3996" s="1" t="s">
        <v>181</v>
      </c>
    </row>
    <row r="3997" spans="1:11" x14ac:dyDescent="0.25">
      <c r="A3997" s="1" t="s">
        <v>12611</v>
      </c>
      <c r="B3997" s="1" t="s">
        <v>12612</v>
      </c>
      <c r="D3997" s="1" t="s">
        <v>12613</v>
      </c>
      <c r="E3997" s="1" t="s">
        <v>209</v>
      </c>
      <c r="F3997" s="1" t="s">
        <v>5017</v>
      </c>
      <c r="G3997" s="1" t="s">
        <v>5018</v>
      </c>
      <c r="H3997" s="1">
        <v>0.1</v>
      </c>
      <c r="I3997" s="1">
        <v>0.1</v>
      </c>
      <c r="J3997" s="1">
        <v>0.69698055045675245</v>
      </c>
      <c r="K3997" s="1" t="s">
        <v>181</v>
      </c>
    </row>
    <row r="3998" spans="1:11" x14ac:dyDescent="0.25">
      <c r="A3998" s="1" t="s">
        <v>12614</v>
      </c>
      <c r="B3998" s="1" t="s">
        <v>12615</v>
      </c>
      <c r="D3998" s="1" t="s">
        <v>12616</v>
      </c>
      <c r="E3998" s="1" t="s">
        <v>209</v>
      </c>
      <c r="F3998" s="1" t="s">
        <v>5017</v>
      </c>
      <c r="G3998" s="1" t="s">
        <v>5018</v>
      </c>
      <c r="H3998" s="1">
        <v>0.1</v>
      </c>
      <c r="I3998" s="1">
        <v>0.1</v>
      </c>
      <c r="J3998" s="1">
        <v>0.9701953848405741</v>
      </c>
      <c r="K3998" s="1" t="s">
        <v>181</v>
      </c>
    </row>
    <row r="3999" spans="1:11" x14ac:dyDescent="0.25">
      <c r="A3999" s="1" t="s">
        <v>12617</v>
      </c>
      <c r="B3999" s="1" t="s">
        <v>12618</v>
      </c>
      <c r="D3999" s="1" t="s">
        <v>12619</v>
      </c>
      <c r="E3999" s="1" t="s">
        <v>209</v>
      </c>
      <c r="F3999" s="1" t="s">
        <v>5017</v>
      </c>
      <c r="G3999" s="1" t="s">
        <v>5018</v>
      </c>
      <c r="H3999" s="1">
        <v>0.1</v>
      </c>
      <c r="I3999" s="1">
        <v>0.1</v>
      </c>
      <c r="J3999" s="1">
        <v>0.63317957578659534</v>
      </c>
      <c r="K3999" s="1" t="s">
        <v>181</v>
      </c>
    </row>
    <row r="4000" spans="1:11" x14ac:dyDescent="0.25">
      <c r="A4000" s="1" t="s">
        <v>12620</v>
      </c>
      <c r="B4000" s="1" t="s">
        <v>12621</v>
      </c>
      <c r="D4000" s="1" t="s">
        <v>12622</v>
      </c>
      <c r="E4000" s="1" t="s">
        <v>209</v>
      </c>
      <c r="F4000" s="1" t="s">
        <v>5017</v>
      </c>
      <c r="G4000" s="1" t="s">
        <v>5018</v>
      </c>
      <c r="H4000" s="1">
        <v>0.1</v>
      </c>
      <c r="I4000" s="1">
        <v>0.1</v>
      </c>
      <c r="J4000" s="1">
        <v>1.0775486820813733</v>
      </c>
      <c r="K4000" s="1" t="s">
        <v>181</v>
      </c>
    </row>
    <row r="4001" spans="1:11" x14ac:dyDescent="0.25">
      <c r="A4001" s="1" t="s">
        <v>12623</v>
      </c>
      <c r="B4001" s="1" t="s">
        <v>12624</v>
      </c>
      <c r="D4001" s="1" t="s">
        <v>12625</v>
      </c>
      <c r="E4001" s="1" t="s">
        <v>209</v>
      </c>
      <c r="F4001" s="1" t="s">
        <v>5017</v>
      </c>
      <c r="G4001" s="1" t="s">
        <v>5018</v>
      </c>
      <c r="H4001" s="1">
        <v>0.1</v>
      </c>
      <c r="I4001" s="1">
        <v>0.1</v>
      </c>
      <c r="J4001" s="1">
        <v>0.47281769004695179</v>
      </c>
      <c r="K4001" s="1" t="s">
        <v>181</v>
      </c>
    </row>
    <row r="4002" spans="1:11" x14ac:dyDescent="0.25">
      <c r="A4002" s="1" t="s">
        <v>12626</v>
      </c>
      <c r="B4002" s="1" t="s">
        <v>12627</v>
      </c>
      <c r="D4002" s="1" t="s">
        <v>12628</v>
      </c>
      <c r="E4002" s="1" t="s">
        <v>209</v>
      </c>
      <c r="F4002" s="1" t="s">
        <v>5017</v>
      </c>
      <c r="G4002" s="1" t="s">
        <v>5018</v>
      </c>
      <c r="H4002" s="1">
        <v>0.1</v>
      </c>
      <c r="I4002" s="1">
        <v>0.1</v>
      </c>
      <c r="J4002" s="1">
        <v>0.47989960326154801</v>
      </c>
      <c r="K4002" s="1" t="s">
        <v>181</v>
      </c>
    </row>
    <row r="4003" spans="1:11" x14ac:dyDescent="0.25">
      <c r="A4003" s="1" t="s">
        <v>12629</v>
      </c>
      <c r="B4003" s="1" t="s">
        <v>12630</v>
      </c>
      <c r="D4003" s="1" t="s">
        <v>12631</v>
      </c>
      <c r="E4003" s="1" t="s">
        <v>209</v>
      </c>
      <c r="F4003" s="1" t="s">
        <v>5017</v>
      </c>
      <c r="G4003" s="1" t="s">
        <v>5018</v>
      </c>
      <c r="H4003" s="1">
        <v>0.1</v>
      </c>
      <c r="I4003" s="1">
        <v>0.1</v>
      </c>
      <c r="J4003" s="1">
        <v>0.43339092277348085</v>
      </c>
      <c r="K4003" s="1" t="s">
        <v>181</v>
      </c>
    </row>
    <row r="4004" spans="1:11" x14ac:dyDescent="0.25">
      <c r="A4004" s="1" t="s">
        <v>12632</v>
      </c>
      <c r="B4004" s="1" t="s">
        <v>12633</v>
      </c>
      <c r="D4004" s="1" t="s">
        <v>12634</v>
      </c>
      <c r="E4004" s="1" t="s">
        <v>209</v>
      </c>
      <c r="F4004" s="1" t="s">
        <v>5017</v>
      </c>
      <c r="G4004" s="1" t="s">
        <v>5018</v>
      </c>
      <c r="H4004" s="1">
        <v>0.1</v>
      </c>
      <c r="I4004" s="1">
        <v>0.1</v>
      </c>
      <c r="J4004" s="1">
        <v>0.53839696736818621</v>
      </c>
      <c r="K4004" s="1" t="s">
        <v>181</v>
      </c>
    </row>
    <row r="4005" spans="1:11" x14ac:dyDescent="0.25">
      <c r="A4005" s="1" t="s">
        <v>12635</v>
      </c>
      <c r="B4005" s="1" t="s">
        <v>12636</v>
      </c>
      <c r="D4005" s="1" t="s">
        <v>12637</v>
      </c>
      <c r="E4005" s="1" t="s">
        <v>209</v>
      </c>
      <c r="F4005" s="1" t="s">
        <v>5017</v>
      </c>
      <c r="G4005" s="1" t="s">
        <v>5018</v>
      </c>
      <c r="H4005" s="1">
        <v>0.1</v>
      </c>
      <c r="I4005" s="1">
        <v>0.1</v>
      </c>
      <c r="J4005" s="1">
        <v>0.49544684309460202</v>
      </c>
      <c r="K4005" s="1" t="s">
        <v>181</v>
      </c>
    </row>
    <row r="4006" spans="1:11" x14ac:dyDescent="0.25">
      <c r="A4006" s="1" t="s">
        <v>12638</v>
      </c>
      <c r="B4006" s="1" t="s">
        <v>12639</v>
      </c>
      <c r="D4006" s="1" t="s">
        <v>12640</v>
      </c>
      <c r="E4006" s="1" t="s">
        <v>209</v>
      </c>
      <c r="F4006" s="1" t="s">
        <v>5017</v>
      </c>
      <c r="G4006" s="1" t="s">
        <v>5018</v>
      </c>
      <c r="H4006" s="1">
        <v>0.1</v>
      </c>
      <c r="I4006" s="1">
        <v>0.1</v>
      </c>
      <c r="J4006" s="1">
        <v>0.67063393791288517</v>
      </c>
      <c r="K4006" s="1" t="s">
        <v>181</v>
      </c>
    </row>
    <row r="4007" spans="1:11" x14ac:dyDescent="0.25">
      <c r="A4007" s="1" t="s">
        <v>12641</v>
      </c>
      <c r="B4007" s="1" t="s">
        <v>12642</v>
      </c>
      <c r="D4007" s="1" t="s">
        <v>12643</v>
      </c>
      <c r="E4007" s="1" t="s">
        <v>209</v>
      </c>
      <c r="F4007" s="1" t="s">
        <v>5017</v>
      </c>
      <c r="G4007" s="1" t="s">
        <v>5018</v>
      </c>
      <c r="H4007" s="1">
        <v>0.1</v>
      </c>
      <c r="I4007" s="1">
        <v>0.1</v>
      </c>
      <c r="J4007" s="1">
        <v>0.68418173519473258</v>
      </c>
      <c r="K4007" s="1" t="s">
        <v>181</v>
      </c>
    </row>
    <row r="4008" spans="1:11" x14ac:dyDescent="0.25">
      <c r="A4008" s="1" t="s">
        <v>12644</v>
      </c>
      <c r="B4008" s="1" t="s">
        <v>12645</v>
      </c>
      <c r="D4008" s="1" t="s">
        <v>12646</v>
      </c>
      <c r="E4008" s="1" t="s">
        <v>209</v>
      </c>
      <c r="F4008" s="1" t="s">
        <v>5017</v>
      </c>
      <c r="G4008" s="1" t="s">
        <v>5018</v>
      </c>
      <c r="H4008" s="1">
        <v>0.1</v>
      </c>
      <c r="I4008" s="1">
        <v>0.1</v>
      </c>
      <c r="J4008" s="1">
        <v>0.82523096437509824</v>
      </c>
      <c r="K4008" s="1" t="s">
        <v>181</v>
      </c>
    </row>
    <row r="4009" spans="1:11" x14ac:dyDescent="0.25">
      <c r="A4009" s="1" t="s">
        <v>12647</v>
      </c>
      <c r="B4009" s="1" t="s">
        <v>12648</v>
      </c>
      <c r="D4009" s="1" t="s">
        <v>12649</v>
      </c>
      <c r="E4009" s="1" t="s">
        <v>209</v>
      </c>
      <c r="F4009" s="1" t="s">
        <v>5017</v>
      </c>
      <c r="G4009" s="1" t="s">
        <v>5018</v>
      </c>
      <c r="H4009" s="1">
        <v>0.1</v>
      </c>
      <c r="I4009" s="1">
        <v>0.1</v>
      </c>
      <c r="J4009" s="1">
        <v>0.53809540536073175</v>
      </c>
      <c r="K4009" s="1" t="s">
        <v>181</v>
      </c>
    </row>
    <row r="4010" spans="1:11" x14ac:dyDescent="0.25">
      <c r="A4010" s="1" t="s">
        <v>12650</v>
      </c>
      <c r="B4010" s="1" t="s">
        <v>12651</v>
      </c>
      <c r="D4010" s="1" t="s">
        <v>12652</v>
      </c>
      <c r="E4010" s="1" t="s">
        <v>209</v>
      </c>
      <c r="F4010" s="1" t="s">
        <v>5017</v>
      </c>
      <c r="G4010" s="1" t="s">
        <v>5018</v>
      </c>
      <c r="H4010" s="1">
        <v>0.1</v>
      </c>
      <c r="I4010" s="1">
        <v>0.1</v>
      </c>
      <c r="J4010" s="1">
        <v>0.68678840778689454</v>
      </c>
      <c r="K4010" s="1" t="s">
        <v>181</v>
      </c>
    </row>
    <row r="4011" spans="1:11" x14ac:dyDescent="0.25">
      <c r="A4011" s="1" t="s">
        <v>12653</v>
      </c>
      <c r="B4011" s="1" t="s">
        <v>12654</v>
      </c>
      <c r="D4011" s="1" t="s">
        <v>12655</v>
      </c>
      <c r="E4011" s="1" t="s">
        <v>209</v>
      </c>
      <c r="F4011" s="1" t="s">
        <v>5017</v>
      </c>
      <c r="G4011" s="1" t="s">
        <v>5018</v>
      </c>
      <c r="H4011" s="1">
        <v>0.1</v>
      </c>
      <c r="I4011" s="1">
        <v>0.1</v>
      </c>
      <c r="J4011" s="1">
        <v>0.48054163249483894</v>
      </c>
      <c r="K4011" s="1" t="s">
        <v>181</v>
      </c>
    </row>
    <row r="4012" spans="1:11" x14ac:dyDescent="0.25">
      <c r="A4012" s="1" t="s">
        <v>12656</v>
      </c>
      <c r="B4012" s="1" t="s">
        <v>12657</v>
      </c>
      <c r="D4012" s="1" t="s">
        <v>12658</v>
      </c>
      <c r="E4012" s="1" t="s">
        <v>209</v>
      </c>
      <c r="F4012" s="1" t="s">
        <v>5017</v>
      </c>
      <c r="G4012" s="1" t="s">
        <v>5018</v>
      </c>
      <c r="H4012" s="1">
        <v>0.1</v>
      </c>
      <c r="I4012" s="1">
        <v>0.1</v>
      </c>
      <c r="J4012" s="1">
        <v>0.4589244622260848</v>
      </c>
      <c r="K4012" s="1" t="s">
        <v>181</v>
      </c>
    </row>
    <row r="4013" spans="1:11" x14ac:dyDescent="0.25">
      <c r="A4013" s="1" t="s">
        <v>12659</v>
      </c>
      <c r="B4013" s="1" t="s">
        <v>12660</v>
      </c>
      <c r="D4013" s="1" t="s">
        <v>12661</v>
      </c>
      <c r="E4013" s="1" t="s">
        <v>209</v>
      </c>
      <c r="F4013" s="1" t="s">
        <v>5017</v>
      </c>
      <c r="G4013" s="1" t="s">
        <v>5018</v>
      </c>
      <c r="H4013" s="1">
        <v>0.1</v>
      </c>
      <c r="I4013" s="1">
        <v>0.1</v>
      </c>
      <c r="J4013" s="1">
        <v>0.66179344436670184</v>
      </c>
      <c r="K4013" s="1" t="s">
        <v>181</v>
      </c>
    </row>
    <row r="4014" spans="1:11" x14ac:dyDescent="0.25">
      <c r="A4014" s="1" t="s">
        <v>12662</v>
      </c>
      <c r="B4014" s="1" t="s">
        <v>12663</v>
      </c>
      <c r="D4014" s="1" t="s">
        <v>12664</v>
      </c>
      <c r="E4014" s="1" t="s">
        <v>209</v>
      </c>
      <c r="F4014" s="1" t="s">
        <v>5017</v>
      </c>
      <c r="G4014" s="1" t="s">
        <v>5018</v>
      </c>
      <c r="H4014" s="1">
        <v>0.1</v>
      </c>
      <c r="I4014" s="1">
        <v>0.1</v>
      </c>
      <c r="J4014" s="1">
        <v>0.63827411000989076</v>
      </c>
      <c r="K4014" s="1" t="s">
        <v>181</v>
      </c>
    </row>
    <row r="4015" spans="1:11" x14ac:dyDescent="0.25">
      <c r="A4015" s="1" t="s">
        <v>12665</v>
      </c>
      <c r="B4015" s="1" t="s">
        <v>12666</v>
      </c>
      <c r="D4015" s="1" t="s">
        <v>12667</v>
      </c>
      <c r="E4015" s="1" t="s">
        <v>209</v>
      </c>
      <c r="F4015" s="1" t="s">
        <v>5017</v>
      </c>
      <c r="G4015" s="1" t="s">
        <v>5018</v>
      </c>
      <c r="H4015" s="1">
        <v>0.1</v>
      </c>
      <c r="I4015" s="1">
        <v>0.1</v>
      </c>
      <c r="J4015" s="1">
        <v>0.49533661784188471</v>
      </c>
      <c r="K4015" s="1" t="s">
        <v>181</v>
      </c>
    </row>
    <row r="4016" spans="1:11" x14ac:dyDescent="0.25">
      <c r="A4016" s="1" t="s">
        <v>12668</v>
      </c>
      <c r="B4016" s="1" t="s">
        <v>12669</v>
      </c>
      <c r="D4016" s="1" t="s">
        <v>12670</v>
      </c>
      <c r="E4016" s="1" t="s">
        <v>209</v>
      </c>
      <c r="F4016" s="1" t="s">
        <v>5017</v>
      </c>
      <c r="G4016" s="1" t="s">
        <v>5018</v>
      </c>
      <c r="H4016" s="1">
        <v>0.1</v>
      </c>
      <c r="I4016" s="1">
        <v>0.1</v>
      </c>
      <c r="J4016" s="1">
        <v>0.7013287731713026</v>
      </c>
      <c r="K4016" s="1" t="s">
        <v>181</v>
      </c>
    </row>
    <row r="4017" spans="1:11" x14ac:dyDescent="0.25">
      <c r="A4017" s="1" t="s">
        <v>12671</v>
      </c>
      <c r="B4017" s="1" t="s">
        <v>12672</v>
      </c>
      <c r="D4017" s="1" t="s">
        <v>12673</v>
      </c>
      <c r="E4017" s="1" t="s">
        <v>209</v>
      </c>
      <c r="F4017" s="1" t="s">
        <v>5017</v>
      </c>
      <c r="G4017" s="1" t="s">
        <v>5018</v>
      </c>
      <c r="H4017" s="1">
        <v>0.1</v>
      </c>
      <c r="I4017" s="1">
        <v>0.1</v>
      </c>
      <c r="J4017" s="1">
        <v>0.65043232856347177</v>
      </c>
      <c r="K4017" s="1" t="s">
        <v>181</v>
      </c>
    </row>
    <row r="4018" spans="1:11" x14ac:dyDescent="0.25">
      <c r="A4018" s="1" t="s">
        <v>12674</v>
      </c>
      <c r="B4018" s="1" t="s">
        <v>12675</v>
      </c>
      <c r="D4018" s="1" t="s">
        <v>12676</v>
      </c>
      <c r="E4018" s="1" t="s">
        <v>209</v>
      </c>
      <c r="F4018" s="1" t="s">
        <v>5017</v>
      </c>
      <c r="G4018" s="1" t="s">
        <v>5018</v>
      </c>
      <c r="H4018" s="1">
        <v>0.1</v>
      </c>
      <c r="I4018" s="1">
        <v>0.1</v>
      </c>
      <c r="J4018" s="1">
        <v>0.4042124092222304</v>
      </c>
      <c r="K4018" s="1" t="s">
        <v>181</v>
      </c>
    </row>
    <row r="4019" spans="1:11" x14ac:dyDescent="0.25">
      <c r="A4019" s="1" t="s">
        <v>12677</v>
      </c>
      <c r="B4019" s="1" t="s">
        <v>12678</v>
      </c>
      <c r="D4019" s="1" t="s">
        <v>12679</v>
      </c>
      <c r="E4019" s="1" t="s">
        <v>209</v>
      </c>
      <c r="F4019" s="1" t="s">
        <v>5017</v>
      </c>
      <c r="G4019" s="1" t="s">
        <v>5018</v>
      </c>
      <c r="H4019" s="1">
        <v>0.1</v>
      </c>
      <c r="I4019" s="1">
        <v>0.1</v>
      </c>
      <c r="J4019" s="1">
        <v>0.56171998556340863</v>
      </c>
      <c r="K4019" s="1" t="s">
        <v>181</v>
      </c>
    </row>
    <row r="4020" spans="1:11" x14ac:dyDescent="0.25">
      <c r="A4020" s="1" t="s">
        <v>12680</v>
      </c>
      <c r="B4020" s="1" t="s">
        <v>12681</v>
      </c>
      <c r="D4020" s="1" t="s">
        <v>12682</v>
      </c>
      <c r="E4020" s="1" t="s">
        <v>209</v>
      </c>
      <c r="F4020" s="1" t="s">
        <v>5017</v>
      </c>
      <c r="G4020" s="1" t="s">
        <v>5018</v>
      </c>
      <c r="H4020" s="1">
        <v>0.1</v>
      </c>
      <c r="I4020" s="1">
        <v>0.1</v>
      </c>
      <c r="J4020" s="1">
        <v>0.8818638668172829</v>
      </c>
      <c r="K4020" s="1" t="s">
        <v>181</v>
      </c>
    </row>
    <row r="4021" spans="1:11" x14ac:dyDescent="0.25">
      <c r="A4021" s="1" t="s">
        <v>12683</v>
      </c>
      <c r="B4021" s="1" t="s">
        <v>12684</v>
      </c>
      <c r="D4021" s="1" t="s">
        <v>12685</v>
      </c>
      <c r="E4021" s="1" t="s">
        <v>209</v>
      </c>
      <c r="F4021" s="1" t="s">
        <v>5017</v>
      </c>
      <c r="G4021" s="1" t="s">
        <v>5018</v>
      </c>
      <c r="H4021" s="1">
        <v>0.1</v>
      </c>
      <c r="I4021" s="1">
        <v>0.1</v>
      </c>
      <c r="J4021" s="1">
        <v>0.54039104195208076</v>
      </c>
      <c r="K4021" s="1" t="s">
        <v>181</v>
      </c>
    </row>
    <row r="4022" spans="1:11" x14ac:dyDescent="0.25">
      <c r="A4022" s="1" t="s">
        <v>12686</v>
      </c>
      <c r="B4022" s="1" t="s">
        <v>12687</v>
      </c>
      <c r="D4022" s="1" t="s">
        <v>12688</v>
      </c>
      <c r="E4022" s="1" t="s">
        <v>209</v>
      </c>
      <c r="F4022" s="1" t="s">
        <v>5017</v>
      </c>
      <c r="G4022" s="1" t="s">
        <v>5018</v>
      </c>
      <c r="H4022" s="1">
        <v>0.1</v>
      </c>
      <c r="I4022" s="1">
        <v>0.1</v>
      </c>
      <c r="J4022" s="1">
        <v>0.66371740119102529</v>
      </c>
      <c r="K4022" s="1" t="s">
        <v>181</v>
      </c>
    </row>
    <row r="4023" spans="1:11" x14ac:dyDescent="0.25">
      <c r="A4023" s="1" t="s">
        <v>12689</v>
      </c>
      <c r="B4023" s="1" t="s">
        <v>12690</v>
      </c>
      <c r="D4023" s="1" t="s">
        <v>12691</v>
      </c>
      <c r="E4023" s="1" t="s">
        <v>209</v>
      </c>
      <c r="F4023" s="1" t="s">
        <v>5017</v>
      </c>
      <c r="G4023" s="1" t="s">
        <v>5018</v>
      </c>
      <c r="H4023" s="1">
        <v>0.1</v>
      </c>
      <c r="I4023" s="1">
        <v>0.1</v>
      </c>
      <c r="J4023" s="1">
        <v>0.65554830857752389</v>
      </c>
      <c r="K4023" s="1" t="s">
        <v>181</v>
      </c>
    </row>
    <row r="4024" spans="1:11" x14ac:dyDescent="0.25">
      <c r="A4024" s="1" t="s">
        <v>12692</v>
      </c>
      <c r="B4024" s="1" t="s">
        <v>12693</v>
      </c>
      <c r="D4024" s="1" t="s">
        <v>12694</v>
      </c>
      <c r="E4024" s="1" t="s">
        <v>209</v>
      </c>
      <c r="F4024" s="1" t="s">
        <v>5017</v>
      </c>
      <c r="G4024" s="1" t="s">
        <v>5018</v>
      </c>
      <c r="H4024" s="1">
        <v>0.1</v>
      </c>
      <c r="I4024" s="1">
        <v>0.1</v>
      </c>
      <c r="J4024" s="1">
        <v>0.5013264282111467</v>
      </c>
      <c r="K4024" s="1" t="s">
        <v>181</v>
      </c>
    </row>
    <row r="4025" spans="1:11" x14ac:dyDescent="0.25">
      <c r="A4025" s="1" t="s">
        <v>12695</v>
      </c>
      <c r="B4025" s="1" t="s">
        <v>12696</v>
      </c>
      <c r="D4025" s="1" t="s">
        <v>12697</v>
      </c>
      <c r="E4025" s="1" t="s">
        <v>209</v>
      </c>
      <c r="F4025" s="1" t="s">
        <v>5017</v>
      </c>
      <c r="G4025" s="1" t="s">
        <v>5018</v>
      </c>
      <c r="H4025" s="1">
        <v>0.1</v>
      </c>
      <c r="I4025" s="1">
        <v>0.1</v>
      </c>
      <c r="J4025" s="1">
        <v>0.89412087207507995</v>
      </c>
      <c r="K4025" s="1" t="s">
        <v>181</v>
      </c>
    </row>
    <row r="4026" spans="1:11" x14ac:dyDescent="0.25">
      <c r="A4026" s="1" t="s">
        <v>12698</v>
      </c>
      <c r="B4026" s="1" t="s">
        <v>12699</v>
      </c>
      <c r="D4026" s="1" t="s">
        <v>12700</v>
      </c>
      <c r="E4026" s="1" t="s">
        <v>209</v>
      </c>
      <c r="F4026" s="1" t="s">
        <v>5017</v>
      </c>
      <c r="G4026" s="1" t="s">
        <v>5018</v>
      </c>
      <c r="H4026" s="1">
        <v>0.1</v>
      </c>
      <c r="I4026" s="1">
        <v>0.1</v>
      </c>
      <c r="J4026" s="1">
        <v>0.64352616705102217</v>
      </c>
      <c r="K4026" s="1" t="s">
        <v>181</v>
      </c>
    </row>
    <row r="4027" spans="1:11" x14ac:dyDescent="0.25">
      <c r="A4027" s="1" t="s">
        <v>12701</v>
      </c>
      <c r="B4027" s="1" t="s">
        <v>12702</v>
      </c>
      <c r="D4027" s="1" t="s">
        <v>12703</v>
      </c>
      <c r="E4027" s="1" t="s">
        <v>209</v>
      </c>
      <c r="F4027" s="1" t="s">
        <v>5017</v>
      </c>
      <c r="G4027" s="1" t="s">
        <v>5018</v>
      </c>
      <c r="H4027" s="1">
        <v>0.1</v>
      </c>
      <c r="I4027" s="1">
        <v>0.1</v>
      </c>
      <c r="J4027" s="1">
        <v>0.83680456341704035</v>
      </c>
      <c r="K4027" s="1" t="s">
        <v>181</v>
      </c>
    </row>
    <row r="4028" spans="1:11" x14ac:dyDescent="0.25">
      <c r="A4028" s="1" t="s">
        <v>12704</v>
      </c>
      <c r="B4028" s="1" t="s">
        <v>12705</v>
      </c>
      <c r="D4028" s="1" t="s">
        <v>12706</v>
      </c>
      <c r="E4028" s="1" t="s">
        <v>209</v>
      </c>
      <c r="F4028" s="1" t="s">
        <v>5017</v>
      </c>
      <c r="G4028" s="1" t="s">
        <v>5018</v>
      </c>
      <c r="H4028" s="1">
        <v>0.1</v>
      </c>
      <c r="I4028" s="1">
        <v>0.1</v>
      </c>
      <c r="J4028" s="1">
        <v>0.63440143073087185</v>
      </c>
      <c r="K4028" s="1" t="s">
        <v>181</v>
      </c>
    </row>
    <row r="4029" spans="1:11" x14ac:dyDescent="0.25">
      <c r="A4029" s="1" t="s">
        <v>12707</v>
      </c>
      <c r="B4029" s="1" t="s">
        <v>12708</v>
      </c>
      <c r="D4029" s="1" t="s">
        <v>12709</v>
      </c>
      <c r="E4029" s="1" t="s">
        <v>209</v>
      </c>
      <c r="F4029" s="1" t="s">
        <v>5017</v>
      </c>
      <c r="G4029" s="1" t="s">
        <v>5018</v>
      </c>
      <c r="H4029" s="1">
        <v>0.1</v>
      </c>
      <c r="I4029" s="1">
        <v>0.1</v>
      </c>
      <c r="J4029" s="1">
        <v>0.83718286649975437</v>
      </c>
      <c r="K4029" s="1" t="s">
        <v>181</v>
      </c>
    </row>
    <row r="4030" spans="1:11" x14ac:dyDescent="0.25">
      <c r="A4030" s="1" t="s">
        <v>12710</v>
      </c>
      <c r="B4030" s="1" t="s">
        <v>12711</v>
      </c>
      <c r="D4030" s="1" t="s">
        <v>12712</v>
      </c>
      <c r="E4030" s="1" t="s">
        <v>209</v>
      </c>
      <c r="F4030" s="1" t="s">
        <v>5017</v>
      </c>
      <c r="G4030" s="1" t="s">
        <v>5018</v>
      </c>
      <c r="H4030" s="1">
        <v>0.1</v>
      </c>
      <c r="I4030" s="1">
        <v>0.1</v>
      </c>
      <c r="J4030" s="1">
        <v>0.7301915221647749</v>
      </c>
      <c r="K4030" s="1" t="s">
        <v>181</v>
      </c>
    </row>
    <row r="4031" spans="1:11" x14ac:dyDescent="0.25">
      <c r="A4031" s="1" t="s">
        <v>12713</v>
      </c>
      <c r="B4031" s="1" t="s">
        <v>12714</v>
      </c>
      <c r="D4031" s="1" t="s">
        <v>12715</v>
      </c>
      <c r="E4031" s="1" t="s">
        <v>209</v>
      </c>
      <c r="F4031" s="1" t="s">
        <v>5017</v>
      </c>
      <c r="G4031" s="1" t="s">
        <v>5018</v>
      </c>
      <c r="H4031" s="1">
        <v>0.1</v>
      </c>
      <c r="I4031" s="1">
        <v>0.1</v>
      </c>
      <c r="J4031" s="1">
        <v>0.86136696534596358</v>
      </c>
      <c r="K4031" s="1" t="s">
        <v>181</v>
      </c>
    </row>
    <row r="4032" spans="1:11" x14ac:dyDescent="0.25">
      <c r="A4032" s="1" t="s">
        <v>12716</v>
      </c>
      <c r="B4032" s="1" t="s">
        <v>12717</v>
      </c>
      <c r="D4032" s="1" t="s">
        <v>12718</v>
      </c>
      <c r="E4032" s="1" t="s">
        <v>209</v>
      </c>
      <c r="F4032" s="1" t="s">
        <v>5017</v>
      </c>
      <c r="G4032" s="1" t="s">
        <v>5018</v>
      </c>
      <c r="H4032" s="1">
        <v>0.1</v>
      </c>
      <c r="I4032" s="1">
        <v>0.1</v>
      </c>
      <c r="J4032" s="1">
        <v>0.66723428454609224</v>
      </c>
      <c r="K4032" s="1" t="s">
        <v>181</v>
      </c>
    </row>
    <row r="4033" spans="1:11" x14ac:dyDescent="0.25">
      <c r="A4033" s="1" t="s">
        <v>12719</v>
      </c>
      <c r="B4033" s="1" t="s">
        <v>12720</v>
      </c>
      <c r="D4033" s="1" t="s">
        <v>12721</v>
      </c>
      <c r="E4033" s="1" t="s">
        <v>209</v>
      </c>
      <c r="F4033" s="1" t="s">
        <v>5017</v>
      </c>
      <c r="G4033" s="1" t="s">
        <v>5018</v>
      </c>
      <c r="H4033" s="1">
        <v>0.1</v>
      </c>
      <c r="I4033" s="1">
        <v>0.1</v>
      </c>
      <c r="J4033" s="1">
        <v>0.74171957166147573</v>
      </c>
      <c r="K4033" s="1" t="s">
        <v>181</v>
      </c>
    </row>
    <row r="4034" spans="1:11" x14ac:dyDescent="0.25">
      <c r="A4034" s="1" t="s">
        <v>12722</v>
      </c>
      <c r="B4034" s="1" t="s">
        <v>12723</v>
      </c>
      <c r="D4034" s="1" t="s">
        <v>12724</v>
      </c>
      <c r="E4034" s="1" t="s">
        <v>209</v>
      </c>
      <c r="F4034" s="1" t="s">
        <v>5017</v>
      </c>
      <c r="G4034" s="1" t="s">
        <v>5018</v>
      </c>
      <c r="H4034" s="1">
        <v>0.1</v>
      </c>
      <c r="I4034" s="1">
        <v>0.1</v>
      </c>
      <c r="J4034" s="1">
        <v>0.64268916494005046</v>
      </c>
      <c r="K4034" s="1" t="s">
        <v>181</v>
      </c>
    </row>
    <row r="4035" spans="1:11" x14ac:dyDescent="0.25">
      <c r="A4035" s="1" t="s">
        <v>12725</v>
      </c>
      <c r="B4035" s="1" t="s">
        <v>12726</v>
      </c>
      <c r="D4035" s="1" t="s">
        <v>12727</v>
      </c>
      <c r="E4035" s="1" t="s">
        <v>209</v>
      </c>
      <c r="F4035" s="1" t="s">
        <v>5017</v>
      </c>
      <c r="G4035" s="1" t="s">
        <v>5018</v>
      </c>
      <c r="H4035" s="1">
        <v>0.1</v>
      </c>
      <c r="I4035" s="1">
        <v>0.1</v>
      </c>
      <c r="J4035" s="1">
        <v>0.69373882991859104</v>
      </c>
      <c r="K4035" s="1" t="s">
        <v>181</v>
      </c>
    </row>
    <row r="4036" spans="1:11" x14ac:dyDescent="0.25">
      <c r="A4036" s="1" t="s">
        <v>12728</v>
      </c>
      <c r="B4036" s="1" t="s">
        <v>12729</v>
      </c>
      <c r="D4036" s="1" t="s">
        <v>12730</v>
      </c>
      <c r="E4036" s="1" t="s">
        <v>209</v>
      </c>
      <c r="F4036" s="1" t="s">
        <v>5017</v>
      </c>
      <c r="G4036" s="1" t="s">
        <v>5018</v>
      </c>
      <c r="H4036" s="1">
        <v>0.1</v>
      </c>
      <c r="I4036" s="1">
        <v>0.1</v>
      </c>
      <c r="J4036" s="1">
        <v>0.56802347270407738</v>
      </c>
      <c r="K4036" s="1" t="s">
        <v>181</v>
      </c>
    </row>
    <row r="4037" spans="1:11" x14ac:dyDescent="0.25">
      <c r="A4037" s="1" t="s">
        <v>12731</v>
      </c>
      <c r="B4037" s="1" t="s">
        <v>12732</v>
      </c>
      <c r="D4037" s="1" t="s">
        <v>12733</v>
      </c>
      <c r="E4037" s="1" t="s">
        <v>209</v>
      </c>
      <c r="F4037" s="1" t="s">
        <v>5017</v>
      </c>
      <c r="G4037" s="1" t="s">
        <v>5018</v>
      </c>
      <c r="H4037" s="1">
        <v>0.1</v>
      </c>
      <c r="I4037" s="1">
        <v>0.1</v>
      </c>
      <c r="J4037" s="1">
        <v>0.60426441246026164</v>
      </c>
      <c r="K4037" s="1" t="s">
        <v>181</v>
      </c>
    </row>
    <row r="4038" spans="1:11" x14ac:dyDescent="0.25">
      <c r="A4038" s="1" t="s">
        <v>44</v>
      </c>
      <c r="B4038" s="1" t="s">
        <v>12734</v>
      </c>
      <c r="D4038" s="1" t="s">
        <v>12735</v>
      </c>
      <c r="E4038" s="1" t="s">
        <v>209</v>
      </c>
      <c r="F4038" s="1" t="s">
        <v>5017</v>
      </c>
      <c r="G4038" s="1" t="s">
        <v>5018</v>
      </c>
      <c r="H4038" s="1">
        <v>0.1</v>
      </c>
      <c r="I4038" s="1">
        <v>0.1</v>
      </c>
      <c r="J4038" s="1">
        <v>0.73696135121391282</v>
      </c>
      <c r="K4038" s="1" t="s">
        <v>181</v>
      </c>
    </row>
    <row r="4039" spans="1:11" x14ac:dyDescent="0.25">
      <c r="A4039" s="1" t="s">
        <v>12736</v>
      </c>
      <c r="B4039" s="1" t="s">
        <v>12737</v>
      </c>
      <c r="D4039" s="1" t="s">
        <v>12738</v>
      </c>
      <c r="E4039" s="1" t="s">
        <v>209</v>
      </c>
      <c r="F4039" s="1" t="s">
        <v>5017</v>
      </c>
      <c r="G4039" s="1" t="s">
        <v>5018</v>
      </c>
      <c r="H4039" s="1">
        <v>0.1</v>
      </c>
      <c r="I4039" s="1">
        <v>0.1</v>
      </c>
      <c r="J4039" s="1">
        <v>0.4249031991671724</v>
      </c>
      <c r="K4039" s="1" t="s">
        <v>181</v>
      </c>
    </row>
    <row r="4040" spans="1:11" x14ac:dyDescent="0.25">
      <c r="A4040" s="1" t="s">
        <v>12739</v>
      </c>
      <c r="B4040" s="1" t="s">
        <v>12740</v>
      </c>
      <c r="D4040" s="1" t="s">
        <v>12741</v>
      </c>
      <c r="E4040" s="1" t="s">
        <v>209</v>
      </c>
      <c r="F4040" s="1" t="s">
        <v>5017</v>
      </c>
      <c r="G4040" s="1" t="s">
        <v>5018</v>
      </c>
      <c r="H4040" s="1">
        <v>0.1</v>
      </c>
      <c r="I4040" s="1">
        <v>0.1</v>
      </c>
      <c r="J4040" s="1">
        <v>0.41409950130294876</v>
      </c>
      <c r="K4040" s="1" t="s">
        <v>181</v>
      </c>
    </row>
    <row r="4041" spans="1:11" x14ac:dyDescent="0.25">
      <c r="A4041" s="1" t="s">
        <v>12742</v>
      </c>
      <c r="B4041" s="1" t="s">
        <v>12743</v>
      </c>
      <c r="D4041" s="1" t="s">
        <v>12744</v>
      </c>
      <c r="E4041" s="1" t="s">
        <v>209</v>
      </c>
      <c r="F4041" s="1" t="s">
        <v>5017</v>
      </c>
      <c r="G4041" s="1" t="s">
        <v>5018</v>
      </c>
      <c r="H4041" s="1">
        <v>0.1</v>
      </c>
      <c r="I4041" s="1">
        <v>0.1</v>
      </c>
      <c r="J4041" s="1">
        <v>0.74398760418803389</v>
      </c>
      <c r="K4041" s="1" t="s">
        <v>181</v>
      </c>
    </row>
    <row r="4042" spans="1:11" x14ac:dyDescent="0.25">
      <c r="A4042" s="1" t="s">
        <v>12745</v>
      </c>
      <c r="B4042" s="1" t="s">
        <v>12746</v>
      </c>
      <c r="D4042" s="1" t="s">
        <v>12747</v>
      </c>
      <c r="E4042" s="1" t="s">
        <v>209</v>
      </c>
      <c r="F4042" s="1" t="s">
        <v>5017</v>
      </c>
      <c r="G4042" s="1" t="s">
        <v>5018</v>
      </c>
      <c r="H4042" s="1">
        <v>0.1</v>
      </c>
      <c r="I4042" s="1">
        <v>0.1</v>
      </c>
      <c r="J4042" s="1">
        <v>0.86166121145909391</v>
      </c>
      <c r="K4042" s="1" t="s">
        <v>181</v>
      </c>
    </row>
    <row r="4043" spans="1:11" x14ac:dyDescent="0.25">
      <c r="A4043" s="1" t="s">
        <v>12748</v>
      </c>
      <c r="B4043" s="1" t="s">
        <v>12749</v>
      </c>
      <c r="D4043" s="1" t="s">
        <v>12750</v>
      </c>
      <c r="E4043" s="1" t="s">
        <v>209</v>
      </c>
      <c r="F4043" s="1" t="s">
        <v>5017</v>
      </c>
      <c r="G4043" s="1" t="s">
        <v>5018</v>
      </c>
      <c r="H4043" s="1">
        <v>0.1</v>
      </c>
      <c r="I4043" s="1">
        <v>0.1</v>
      </c>
      <c r="J4043" s="1">
        <v>0.86472622959469103</v>
      </c>
      <c r="K4043" s="1" t="s">
        <v>181</v>
      </c>
    </row>
    <row r="4044" spans="1:11" x14ac:dyDescent="0.25">
      <c r="A4044" s="1" t="s">
        <v>12751</v>
      </c>
      <c r="B4044" s="1" t="s">
        <v>12752</v>
      </c>
      <c r="D4044" s="1" t="s">
        <v>12753</v>
      </c>
      <c r="E4044" s="1" t="s">
        <v>209</v>
      </c>
      <c r="F4044" s="1" t="s">
        <v>5017</v>
      </c>
      <c r="G4044" s="1" t="s">
        <v>5018</v>
      </c>
      <c r="H4044" s="1">
        <v>0.1</v>
      </c>
      <c r="I4044" s="1">
        <v>0.1</v>
      </c>
      <c r="J4044" s="1">
        <v>0.71839430055935538</v>
      </c>
      <c r="K4044" s="1" t="s">
        <v>181</v>
      </c>
    </row>
    <row r="4045" spans="1:11" x14ac:dyDescent="0.25">
      <c r="A4045" s="1" t="s">
        <v>12754</v>
      </c>
      <c r="B4045" s="1" t="s">
        <v>12755</v>
      </c>
      <c r="D4045" s="1" t="s">
        <v>12756</v>
      </c>
      <c r="E4045" s="1" t="s">
        <v>209</v>
      </c>
      <c r="F4045" s="1" t="s">
        <v>5017</v>
      </c>
      <c r="G4045" s="1" t="s">
        <v>5018</v>
      </c>
      <c r="H4045" s="1">
        <v>0.1</v>
      </c>
      <c r="I4045" s="1">
        <v>0.1</v>
      </c>
      <c r="J4045" s="1">
        <v>0.6633566046246222</v>
      </c>
      <c r="K4045" s="1" t="s">
        <v>181</v>
      </c>
    </row>
    <row r="4046" spans="1:11" x14ac:dyDescent="0.25">
      <c r="A4046" s="1" t="s">
        <v>12757</v>
      </c>
      <c r="B4046" s="1" t="s">
        <v>12758</v>
      </c>
      <c r="D4046" s="1" t="s">
        <v>12759</v>
      </c>
      <c r="E4046" s="1" t="s">
        <v>209</v>
      </c>
      <c r="F4046" s="1" t="s">
        <v>5017</v>
      </c>
      <c r="G4046" s="1" t="s">
        <v>5018</v>
      </c>
      <c r="H4046" s="1">
        <v>0.1</v>
      </c>
      <c r="I4046" s="1">
        <v>0.1</v>
      </c>
      <c r="J4046" s="1">
        <v>0.73051555977312987</v>
      </c>
      <c r="K4046" s="1" t="s">
        <v>181</v>
      </c>
    </row>
    <row r="4047" spans="1:11" x14ac:dyDescent="0.25">
      <c r="A4047" s="1" t="s">
        <v>12760</v>
      </c>
      <c r="B4047" s="1" t="s">
        <v>12761</v>
      </c>
      <c r="D4047" s="1" t="s">
        <v>12762</v>
      </c>
      <c r="E4047" s="1" t="s">
        <v>209</v>
      </c>
      <c r="F4047" s="1" t="s">
        <v>5017</v>
      </c>
      <c r="G4047" s="1" t="s">
        <v>5018</v>
      </c>
      <c r="H4047" s="1">
        <v>0.1</v>
      </c>
      <c r="I4047" s="1">
        <v>0.1</v>
      </c>
      <c r="J4047" s="1">
        <v>0.91296664336452371</v>
      </c>
      <c r="K4047" s="1" t="s">
        <v>181</v>
      </c>
    </row>
    <row r="4048" spans="1:11" x14ac:dyDescent="0.25">
      <c r="A4048" s="1" t="s">
        <v>12763</v>
      </c>
      <c r="B4048" s="1" t="s">
        <v>12764</v>
      </c>
      <c r="D4048" s="1" t="s">
        <v>12765</v>
      </c>
      <c r="E4048" s="1" t="s">
        <v>209</v>
      </c>
      <c r="F4048" s="1" t="s">
        <v>5017</v>
      </c>
      <c r="G4048" s="1" t="s">
        <v>5018</v>
      </c>
      <c r="H4048" s="1">
        <v>0.1</v>
      </c>
      <c r="I4048" s="1">
        <v>0.1</v>
      </c>
      <c r="J4048" s="1">
        <v>0.7569527604609777</v>
      </c>
      <c r="K4048" s="1" t="s">
        <v>181</v>
      </c>
    </row>
    <row r="4049" spans="1:11" x14ac:dyDescent="0.25">
      <c r="A4049" s="1" t="s">
        <v>12766</v>
      </c>
      <c r="B4049" s="1" t="s">
        <v>12767</v>
      </c>
      <c r="D4049" s="1" t="s">
        <v>12768</v>
      </c>
      <c r="E4049" s="1" t="s">
        <v>209</v>
      </c>
      <c r="F4049" s="1" t="s">
        <v>5017</v>
      </c>
      <c r="G4049" s="1" t="s">
        <v>5018</v>
      </c>
      <c r="H4049" s="1">
        <v>0.1</v>
      </c>
      <c r="I4049" s="1">
        <v>0.1</v>
      </c>
      <c r="J4049" s="1">
        <v>0.59900466112120232</v>
      </c>
      <c r="K4049" s="1" t="s">
        <v>181</v>
      </c>
    </row>
    <row r="4050" spans="1:11" x14ac:dyDescent="0.25">
      <c r="A4050" s="1" t="s">
        <v>12769</v>
      </c>
      <c r="B4050" s="1" t="s">
        <v>12770</v>
      </c>
      <c r="D4050" s="1" t="s">
        <v>12771</v>
      </c>
      <c r="E4050" s="1" t="s">
        <v>209</v>
      </c>
      <c r="F4050" s="1" t="s">
        <v>5017</v>
      </c>
      <c r="G4050" s="1" t="s">
        <v>5018</v>
      </c>
      <c r="H4050" s="1">
        <v>0.1</v>
      </c>
      <c r="I4050" s="1">
        <v>0.1</v>
      </c>
      <c r="J4050" s="1">
        <v>0.68740074569998688</v>
      </c>
      <c r="K4050" s="1" t="s">
        <v>181</v>
      </c>
    </row>
    <row r="4051" spans="1:11" x14ac:dyDescent="0.25">
      <c r="A4051" s="1" t="s">
        <v>12772</v>
      </c>
      <c r="B4051" s="1" t="s">
        <v>12773</v>
      </c>
      <c r="D4051" s="1" t="s">
        <v>12774</v>
      </c>
      <c r="E4051" s="1" t="s">
        <v>209</v>
      </c>
      <c r="F4051" s="1" t="s">
        <v>5017</v>
      </c>
      <c r="G4051" s="1" t="s">
        <v>5018</v>
      </c>
      <c r="H4051" s="1">
        <v>0.1</v>
      </c>
      <c r="I4051" s="1">
        <v>0.1</v>
      </c>
      <c r="J4051" s="1">
        <v>0.7879728173617373</v>
      </c>
      <c r="K4051" s="1" t="s">
        <v>181</v>
      </c>
    </row>
    <row r="4052" spans="1:11" x14ac:dyDescent="0.25">
      <c r="A4052" s="1" t="s">
        <v>12775</v>
      </c>
      <c r="B4052" s="1" t="s">
        <v>12776</v>
      </c>
      <c r="D4052" s="1" t="s">
        <v>12777</v>
      </c>
      <c r="E4052" s="1" t="s">
        <v>209</v>
      </c>
      <c r="F4052" s="1" t="s">
        <v>5017</v>
      </c>
      <c r="G4052" s="1" t="s">
        <v>5018</v>
      </c>
      <c r="H4052" s="1">
        <v>0.1</v>
      </c>
      <c r="I4052" s="1">
        <v>0.1</v>
      </c>
      <c r="J4052" s="1">
        <v>0.57905294581493194</v>
      </c>
      <c r="K4052" s="1" t="s">
        <v>181</v>
      </c>
    </row>
    <row r="4053" spans="1:11" x14ac:dyDescent="0.25">
      <c r="A4053" s="1" t="s">
        <v>12778</v>
      </c>
      <c r="B4053" s="1" t="s">
        <v>12779</v>
      </c>
      <c r="D4053" s="1" t="s">
        <v>12780</v>
      </c>
      <c r="E4053" s="1" t="s">
        <v>209</v>
      </c>
      <c r="F4053" s="1" t="s">
        <v>5017</v>
      </c>
      <c r="G4053" s="1" t="s">
        <v>5018</v>
      </c>
      <c r="H4053" s="1">
        <v>0.1</v>
      </c>
      <c r="I4053" s="1">
        <v>0.1</v>
      </c>
      <c r="J4053" s="1">
        <v>0.65914695141977053</v>
      </c>
      <c r="K4053" s="1" t="s">
        <v>181</v>
      </c>
    </row>
    <row r="4054" spans="1:11" x14ac:dyDescent="0.25">
      <c r="A4054" s="1" t="s">
        <v>12781</v>
      </c>
      <c r="B4054" s="1" t="s">
        <v>12782</v>
      </c>
      <c r="D4054" s="1" t="s">
        <v>12783</v>
      </c>
      <c r="E4054" s="1" t="s">
        <v>209</v>
      </c>
      <c r="F4054" s="1" t="s">
        <v>5017</v>
      </c>
      <c r="G4054" s="1" t="s">
        <v>5018</v>
      </c>
      <c r="H4054" s="1">
        <v>0.1</v>
      </c>
      <c r="I4054" s="1">
        <v>0.1</v>
      </c>
      <c r="J4054" s="1">
        <v>0.41671920341037066</v>
      </c>
      <c r="K4054" s="1" t="s">
        <v>181</v>
      </c>
    </row>
    <row r="4055" spans="1:11" x14ac:dyDescent="0.25">
      <c r="A4055" s="1" t="s">
        <v>12784</v>
      </c>
      <c r="B4055" s="1" t="s">
        <v>12785</v>
      </c>
      <c r="D4055" s="1" t="s">
        <v>12786</v>
      </c>
      <c r="E4055" s="1" t="s">
        <v>209</v>
      </c>
      <c r="F4055" s="1" t="s">
        <v>5017</v>
      </c>
      <c r="G4055" s="1" t="s">
        <v>5018</v>
      </c>
      <c r="H4055" s="1">
        <v>0.1</v>
      </c>
      <c r="I4055" s="1">
        <v>0.1</v>
      </c>
      <c r="J4055" s="1">
        <v>0.63643232645561942</v>
      </c>
      <c r="K4055" s="1" t="s">
        <v>181</v>
      </c>
    </row>
    <row r="4056" spans="1:11" x14ac:dyDescent="0.25">
      <c r="A4056" s="1" t="s">
        <v>12787</v>
      </c>
      <c r="B4056" s="1" t="s">
        <v>12788</v>
      </c>
      <c r="D4056" s="1" t="s">
        <v>12789</v>
      </c>
      <c r="E4056" s="1" t="s">
        <v>209</v>
      </c>
      <c r="F4056" s="1" t="s">
        <v>5017</v>
      </c>
      <c r="G4056" s="1" t="s">
        <v>5018</v>
      </c>
      <c r="H4056" s="1">
        <v>0.1</v>
      </c>
      <c r="I4056" s="1">
        <v>0.1</v>
      </c>
      <c r="J4056" s="1">
        <v>0.67997401664997037</v>
      </c>
      <c r="K4056" s="1" t="s">
        <v>181</v>
      </c>
    </row>
    <row r="4057" spans="1:11" x14ac:dyDescent="0.25">
      <c r="A4057" s="1" t="s">
        <v>12790</v>
      </c>
      <c r="B4057" s="1" t="s">
        <v>12791</v>
      </c>
      <c r="D4057" s="1" t="s">
        <v>12792</v>
      </c>
      <c r="E4057" s="1" t="s">
        <v>209</v>
      </c>
      <c r="F4057" s="1" t="s">
        <v>5017</v>
      </c>
      <c r="G4057" s="1" t="s">
        <v>5018</v>
      </c>
      <c r="H4057" s="1">
        <v>0.1</v>
      </c>
      <c r="I4057" s="1">
        <v>0.1</v>
      </c>
      <c r="J4057" s="1">
        <v>0.60667040991285248</v>
      </c>
      <c r="K4057" s="1" t="s">
        <v>181</v>
      </c>
    </row>
    <row r="4058" spans="1:11" x14ac:dyDescent="0.25">
      <c r="A4058" s="1" t="s">
        <v>12793</v>
      </c>
      <c r="B4058" s="1" t="s">
        <v>12794</v>
      </c>
      <c r="D4058" s="1" t="s">
        <v>12795</v>
      </c>
      <c r="E4058" s="1" t="s">
        <v>209</v>
      </c>
      <c r="F4058" s="1" t="s">
        <v>5017</v>
      </c>
      <c r="G4058" s="1" t="s">
        <v>5018</v>
      </c>
      <c r="H4058" s="1">
        <v>0.1</v>
      </c>
      <c r="I4058" s="1">
        <v>0.1</v>
      </c>
      <c r="J4058" s="1">
        <v>0.74344320437237599</v>
      </c>
      <c r="K4058" s="1" t="s">
        <v>181</v>
      </c>
    </row>
    <row r="4059" spans="1:11" x14ac:dyDescent="0.25">
      <c r="A4059" s="1" t="s">
        <v>12796</v>
      </c>
      <c r="B4059" s="1" t="s">
        <v>12797</v>
      </c>
      <c r="D4059" s="1" t="s">
        <v>12798</v>
      </c>
      <c r="E4059" s="1" t="s">
        <v>209</v>
      </c>
      <c r="F4059" s="1" t="s">
        <v>5017</v>
      </c>
      <c r="G4059" s="1" t="s">
        <v>5018</v>
      </c>
      <c r="H4059" s="1">
        <v>0.1</v>
      </c>
      <c r="I4059" s="1">
        <v>0.1</v>
      </c>
      <c r="J4059" s="1">
        <v>0.74884935157725763</v>
      </c>
      <c r="K4059" s="1" t="s">
        <v>181</v>
      </c>
    </row>
    <row r="4060" spans="1:11" x14ac:dyDescent="0.25">
      <c r="A4060" s="1" t="s">
        <v>12799</v>
      </c>
      <c r="B4060" s="1" t="s">
        <v>12800</v>
      </c>
      <c r="D4060" s="1" t="s">
        <v>12801</v>
      </c>
      <c r="E4060" s="1" t="s">
        <v>209</v>
      </c>
      <c r="F4060" s="1" t="s">
        <v>5017</v>
      </c>
      <c r="G4060" s="1" t="s">
        <v>5018</v>
      </c>
      <c r="H4060" s="1">
        <v>0.1</v>
      </c>
      <c r="I4060" s="1">
        <v>0.1</v>
      </c>
      <c r="J4060" s="1">
        <v>0.65766070350378902</v>
      </c>
      <c r="K4060" s="1" t="s">
        <v>181</v>
      </c>
    </row>
    <row r="4061" spans="1:11" x14ac:dyDescent="0.25">
      <c r="A4061" s="1" t="s">
        <v>12802</v>
      </c>
      <c r="B4061" s="1" t="s">
        <v>12803</v>
      </c>
      <c r="D4061" s="1" t="s">
        <v>12804</v>
      </c>
      <c r="E4061" s="1" t="s">
        <v>209</v>
      </c>
      <c r="F4061" s="1" t="s">
        <v>5017</v>
      </c>
      <c r="G4061" s="1" t="s">
        <v>5018</v>
      </c>
      <c r="H4061" s="1">
        <v>0.1</v>
      </c>
      <c r="I4061" s="1">
        <v>0.1</v>
      </c>
      <c r="J4061" s="1">
        <v>0.62966163174460787</v>
      </c>
      <c r="K4061" s="1" t="s">
        <v>181</v>
      </c>
    </row>
    <row r="4062" spans="1:11" x14ac:dyDescent="0.25">
      <c r="A4062" s="1" t="s">
        <v>12805</v>
      </c>
      <c r="B4062" s="1" t="s">
        <v>12806</v>
      </c>
      <c r="D4062" s="1" t="s">
        <v>12807</v>
      </c>
      <c r="E4062" s="1" t="s">
        <v>209</v>
      </c>
      <c r="F4062" s="1" t="s">
        <v>5017</v>
      </c>
      <c r="G4062" s="1" t="s">
        <v>5018</v>
      </c>
      <c r="H4062" s="1">
        <v>0.1</v>
      </c>
      <c r="I4062" s="1">
        <v>0.1</v>
      </c>
      <c r="J4062" s="1">
        <v>0.61068562762697631</v>
      </c>
      <c r="K4062" s="1" t="s">
        <v>181</v>
      </c>
    </row>
    <row r="4063" spans="1:11" x14ac:dyDescent="0.25">
      <c r="A4063" s="1" t="s">
        <v>12808</v>
      </c>
      <c r="B4063" s="1" t="s">
        <v>12809</v>
      </c>
      <c r="D4063" s="1" t="s">
        <v>12810</v>
      </c>
      <c r="E4063" s="1" t="s">
        <v>209</v>
      </c>
      <c r="F4063" s="1" t="s">
        <v>5017</v>
      </c>
      <c r="G4063" s="1" t="s">
        <v>5018</v>
      </c>
      <c r="H4063" s="1">
        <v>0.1</v>
      </c>
      <c r="I4063" s="1">
        <v>0.1</v>
      </c>
      <c r="J4063" s="1">
        <v>0.73334518988090647</v>
      </c>
      <c r="K4063" s="1" t="s">
        <v>181</v>
      </c>
    </row>
    <row r="4064" spans="1:11" x14ac:dyDescent="0.25">
      <c r="A4064" s="1" t="s">
        <v>12811</v>
      </c>
      <c r="B4064" s="1" t="s">
        <v>12812</v>
      </c>
      <c r="D4064" s="1" t="s">
        <v>12813</v>
      </c>
      <c r="E4064" s="1" t="s">
        <v>209</v>
      </c>
      <c r="F4064" s="1" t="s">
        <v>5017</v>
      </c>
      <c r="G4064" s="1" t="s">
        <v>5018</v>
      </c>
      <c r="H4064" s="1">
        <v>0.1</v>
      </c>
      <c r="I4064" s="1">
        <v>0.1</v>
      </c>
      <c r="J4064" s="1">
        <v>0.74109440933525161</v>
      </c>
      <c r="K4064" s="1" t="s">
        <v>181</v>
      </c>
    </row>
    <row r="4065" spans="1:11" x14ac:dyDescent="0.25">
      <c r="A4065" s="1" t="s">
        <v>12814</v>
      </c>
      <c r="B4065" s="1" t="s">
        <v>12815</v>
      </c>
      <c r="D4065" s="1" t="s">
        <v>12816</v>
      </c>
      <c r="E4065" s="1" t="s">
        <v>209</v>
      </c>
      <c r="F4065" s="1" t="s">
        <v>5017</v>
      </c>
      <c r="G4065" s="1" t="s">
        <v>5018</v>
      </c>
      <c r="H4065" s="1">
        <v>0.1</v>
      </c>
      <c r="I4065" s="1">
        <v>0.1</v>
      </c>
      <c r="J4065" s="1">
        <v>0.73466287926914153</v>
      </c>
      <c r="K4065" s="1" t="s">
        <v>181</v>
      </c>
    </row>
    <row r="4066" spans="1:11" x14ac:dyDescent="0.25">
      <c r="A4066" s="1" t="s">
        <v>12817</v>
      </c>
      <c r="B4066" s="1" t="s">
        <v>12818</v>
      </c>
      <c r="D4066" s="1" t="s">
        <v>12819</v>
      </c>
      <c r="E4066" s="1" t="s">
        <v>209</v>
      </c>
      <c r="F4066" s="1" t="s">
        <v>5017</v>
      </c>
      <c r="G4066" s="1" t="s">
        <v>5018</v>
      </c>
      <c r="H4066" s="1">
        <v>0.1</v>
      </c>
      <c r="I4066" s="1">
        <v>0.1</v>
      </c>
      <c r="J4066" s="1">
        <v>0.5299126317894336</v>
      </c>
      <c r="K4066" s="1" t="s">
        <v>181</v>
      </c>
    </row>
    <row r="4067" spans="1:11" x14ac:dyDescent="0.25">
      <c r="A4067" s="1" t="s">
        <v>12820</v>
      </c>
      <c r="B4067" s="1" t="s">
        <v>12821</v>
      </c>
      <c r="D4067" s="1" t="s">
        <v>12822</v>
      </c>
      <c r="E4067" s="1" t="s">
        <v>209</v>
      </c>
      <c r="F4067" s="1" t="s">
        <v>5017</v>
      </c>
      <c r="G4067" s="1" t="s">
        <v>5018</v>
      </c>
      <c r="H4067" s="1">
        <v>0.1</v>
      </c>
      <c r="I4067" s="1">
        <v>0.1</v>
      </c>
      <c r="J4067" s="1">
        <v>0.71448934424729438</v>
      </c>
      <c r="K4067" s="1" t="s">
        <v>181</v>
      </c>
    </row>
    <row r="4068" spans="1:11" x14ac:dyDescent="0.25">
      <c r="A4068" s="1" t="s">
        <v>12823</v>
      </c>
      <c r="B4068" s="1" t="s">
        <v>12824</v>
      </c>
      <c r="D4068" s="1" t="s">
        <v>12825</v>
      </c>
      <c r="E4068" s="1" t="s">
        <v>209</v>
      </c>
      <c r="F4068" s="1" t="s">
        <v>5017</v>
      </c>
      <c r="G4068" s="1" t="s">
        <v>5018</v>
      </c>
      <c r="H4068" s="1">
        <v>0.1</v>
      </c>
      <c r="I4068" s="1">
        <v>0.1</v>
      </c>
      <c r="J4068" s="1">
        <v>0.54086745371111067</v>
      </c>
      <c r="K4068" s="1" t="s">
        <v>181</v>
      </c>
    </row>
    <row r="4069" spans="1:11" x14ac:dyDescent="0.25">
      <c r="A4069" s="1" t="s">
        <v>12826</v>
      </c>
      <c r="B4069" s="1" t="s">
        <v>12827</v>
      </c>
      <c r="D4069" s="1" t="s">
        <v>12828</v>
      </c>
      <c r="E4069" s="1" t="s">
        <v>209</v>
      </c>
      <c r="F4069" s="1" t="s">
        <v>5017</v>
      </c>
      <c r="G4069" s="1" t="s">
        <v>5018</v>
      </c>
      <c r="H4069" s="1">
        <v>0.1</v>
      </c>
      <c r="I4069" s="1">
        <v>0.1</v>
      </c>
      <c r="J4069" s="1">
        <v>0.62293611349204447</v>
      </c>
      <c r="K4069" s="1" t="s">
        <v>181</v>
      </c>
    </row>
    <row r="4070" spans="1:11" x14ac:dyDescent="0.25">
      <c r="A4070" s="1" t="s">
        <v>12829</v>
      </c>
      <c r="B4070" s="1" t="s">
        <v>12830</v>
      </c>
      <c r="D4070" s="1" t="s">
        <v>12831</v>
      </c>
      <c r="E4070" s="1" t="s">
        <v>209</v>
      </c>
      <c r="F4070" s="1" t="s">
        <v>5017</v>
      </c>
      <c r="G4070" s="1" t="s">
        <v>5018</v>
      </c>
      <c r="H4070" s="1">
        <v>0.1</v>
      </c>
      <c r="I4070" s="1">
        <v>0.1</v>
      </c>
      <c r="J4070" s="1">
        <v>0.64342766571445786</v>
      </c>
      <c r="K4070" s="1" t="s">
        <v>181</v>
      </c>
    </row>
    <row r="4071" spans="1:11" x14ac:dyDescent="0.25">
      <c r="A4071" s="1" t="s">
        <v>12832</v>
      </c>
      <c r="B4071" s="1" t="s">
        <v>12833</v>
      </c>
      <c r="D4071" s="1" t="s">
        <v>12834</v>
      </c>
      <c r="E4071" s="1" t="s">
        <v>209</v>
      </c>
      <c r="F4071" s="1" t="s">
        <v>5017</v>
      </c>
      <c r="G4071" s="1" t="s">
        <v>5018</v>
      </c>
      <c r="H4071" s="1">
        <v>0.1</v>
      </c>
      <c r="I4071" s="1">
        <v>0.1</v>
      </c>
      <c r="J4071" s="1">
        <v>0.69346460227382301</v>
      </c>
      <c r="K4071" s="1" t="s">
        <v>181</v>
      </c>
    </row>
    <row r="4072" spans="1:11" x14ac:dyDescent="0.25">
      <c r="A4072" s="1" t="s">
        <v>12835</v>
      </c>
      <c r="B4072" s="1" t="s">
        <v>12836</v>
      </c>
      <c r="D4072" s="1" t="s">
        <v>12837</v>
      </c>
      <c r="E4072" s="1" t="s">
        <v>209</v>
      </c>
      <c r="F4072" s="1" t="s">
        <v>5017</v>
      </c>
      <c r="G4072" s="1" t="s">
        <v>5018</v>
      </c>
      <c r="H4072" s="1">
        <v>0.1</v>
      </c>
      <c r="I4072" s="1">
        <v>0.1</v>
      </c>
      <c r="J4072" s="1">
        <v>0.89449216621511685</v>
      </c>
      <c r="K4072" s="1" t="s">
        <v>181</v>
      </c>
    </row>
    <row r="4073" spans="1:11" x14ac:dyDescent="0.25">
      <c r="A4073" s="1" t="s">
        <v>12838</v>
      </c>
      <c r="B4073" s="1" t="s">
        <v>12839</v>
      </c>
      <c r="D4073" s="1" t="s">
        <v>12840</v>
      </c>
      <c r="E4073" s="1" t="s">
        <v>209</v>
      </c>
      <c r="F4073" s="1" t="s">
        <v>5017</v>
      </c>
      <c r="G4073" s="1" t="s">
        <v>5018</v>
      </c>
      <c r="H4073" s="1">
        <v>0.1</v>
      </c>
      <c r="I4073" s="1">
        <v>0.1</v>
      </c>
      <c r="J4073" s="1">
        <v>0.72221290343973465</v>
      </c>
      <c r="K4073" s="1" t="s">
        <v>181</v>
      </c>
    </row>
    <row r="4074" spans="1:11" x14ac:dyDescent="0.25">
      <c r="A4074" s="1" t="s">
        <v>12841</v>
      </c>
      <c r="B4074" s="1" t="s">
        <v>12842</v>
      </c>
      <c r="D4074" s="1" t="s">
        <v>12843</v>
      </c>
      <c r="E4074" s="1" t="s">
        <v>209</v>
      </c>
      <c r="F4074" s="1" t="s">
        <v>5017</v>
      </c>
      <c r="G4074" s="1" t="s">
        <v>5018</v>
      </c>
      <c r="H4074" s="1">
        <v>0.1</v>
      </c>
      <c r="I4074" s="1">
        <v>0.1</v>
      </c>
      <c r="J4074" s="1">
        <v>0.50504073064950528</v>
      </c>
      <c r="K4074" s="1" t="s">
        <v>181</v>
      </c>
    </row>
    <row r="4075" spans="1:11" x14ac:dyDescent="0.25">
      <c r="A4075" s="1" t="s">
        <v>12844</v>
      </c>
      <c r="B4075" s="1" t="s">
        <v>12845</v>
      </c>
      <c r="D4075" s="1" t="s">
        <v>12846</v>
      </c>
      <c r="E4075" s="1" t="s">
        <v>209</v>
      </c>
      <c r="F4075" s="1" t="s">
        <v>5017</v>
      </c>
      <c r="G4075" s="1" t="s">
        <v>5018</v>
      </c>
      <c r="H4075" s="1">
        <v>0.1</v>
      </c>
      <c r="I4075" s="1">
        <v>0.1</v>
      </c>
      <c r="J4075" s="1">
        <v>0.70311715220619087</v>
      </c>
      <c r="K4075" s="1" t="s">
        <v>181</v>
      </c>
    </row>
    <row r="4076" spans="1:11" x14ac:dyDescent="0.25">
      <c r="A4076" s="1" t="s">
        <v>12847</v>
      </c>
      <c r="B4076" s="1" t="s">
        <v>12848</v>
      </c>
      <c r="D4076" s="1" t="s">
        <v>12849</v>
      </c>
      <c r="E4076" s="1" t="s">
        <v>209</v>
      </c>
      <c r="F4076" s="1" t="s">
        <v>5017</v>
      </c>
      <c r="G4076" s="1" t="s">
        <v>5018</v>
      </c>
      <c r="H4076" s="1">
        <v>0.1</v>
      </c>
      <c r="I4076" s="1">
        <v>0.1</v>
      </c>
      <c r="J4076" s="1">
        <v>0.79800443299764767</v>
      </c>
      <c r="K4076" s="1" t="s">
        <v>181</v>
      </c>
    </row>
    <row r="4077" spans="1:11" x14ac:dyDescent="0.25">
      <c r="A4077" s="1" t="s">
        <v>12850</v>
      </c>
      <c r="B4077" s="1" t="s">
        <v>12851</v>
      </c>
      <c r="D4077" s="1" t="s">
        <v>12852</v>
      </c>
      <c r="E4077" s="1" t="s">
        <v>209</v>
      </c>
      <c r="F4077" s="1" t="s">
        <v>5017</v>
      </c>
      <c r="G4077" s="1" t="s">
        <v>5018</v>
      </c>
      <c r="H4077" s="1">
        <v>0.1</v>
      </c>
      <c r="I4077" s="1">
        <v>0.1</v>
      </c>
      <c r="J4077" s="1">
        <v>0.79554225529055334</v>
      </c>
      <c r="K4077" s="1" t="s">
        <v>181</v>
      </c>
    </row>
    <row r="4078" spans="1:11" x14ac:dyDescent="0.25">
      <c r="A4078" s="1" t="s">
        <v>12853</v>
      </c>
      <c r="B4078" s="1" t="s">
        <v>12854</v>
      </c>
      <c r="D4078" s="1" t="s">
        <v>12855</v>
      </c>
      <c r="E4078" s="1" t="s">
        <v>209</v>
      </c>
      <c r="F4078" s="1" t="s">
        <v>5017</v>
      </c>
      <c r="G4078" s="1" t="s">
        <v>5018</v>
      </c>
      <c r="H4078" s="1">
        <v>0.1</v>
      </c>
      <c r="I4078" s="1">
        <v>0.1</v>
      </c>
      <c r="J4078" s="1">
        <v>0.45173167014137439</v>
      </c>
      <c r="K4078" s="1" t="s">
        <v>181</v>
      </c>
    </row>
    <row r="4079" spans="1:11" x14ac:dyDescent="0.25">
      <c r="A4079" s="1" t="s">
        <v>12856</v>
      </c>
      <c r="B4079" s="1" t="s">
        <v>12857</v>
      </c>
      <c r="D4079" s="1" t="s">
        <v>12858</v>
      </c>
      <c r="E4079" s="1" t="s">
        <v>209</v>
      </c>
      <c r="F4079" s="1" t="s">
        <v>5017</v>
      </c>
      <c r="G4079" s="1" t="s">
        <v>5018</v>
      </c>
      <c r="H4079" s="1">
        <v>0.1</v>
      </c>
      <c r="I4079" s="1">
        <v>0.1</v>
      </c>
      <c r="J4079" s="1">
        <v>0.85234301274894864</v>
      </c>
      <c r="K4079" s="1" t="s">
        <v>181</v>
      </c>
    </row>
    <row r="4080" spans="1:11" x14ac:dyDescent="0.25">
      <c r="A4080" s="1" t="s">
        <v>12859</v>
      </c>
      <c r="B4080" s="1" t="s">
        <v>12860</v>
      </c>
      <c r="D4080" s="1" t="s">
        <v>12861</v>
      </c>
      <c r="E4080" s="1" t="s">
        <v>209</v>
      </c>
      <c r="F4080" s="1" t="s">
        <v>5017</v>
      </c>
      <c r="G4080" s="1" t="s">
        <v>5018</v>
      </c>
      <c r="H4080" s="1">
        <v>0.1</v>
      </c>
      <c r="I4080" s="1">
        <v>0.1</v>
      </c>
      <c r="J4080" s="1">
        <v>0.58805271351929256</v>
      </c>
      <c r="K4080" s="1" t="s">
        <v>181</v>
      </c>
    </row>
    <row r="4081" spans="1:11" x14ac:dyDescent="0.25">
      <c r="A4081" s="1" t="s">
        <v>12862</v>
      </c>
      <c r="B4081" s="1" t="s">
        <v>12863</v>
      </c>
      <c r="D4081" s="1" t="s">
        <v>12864</v>
      </c>
      <c r="E4081" s="1" t="s">
        <v>209</v>
      </c>
      <c r="F4081" s="1" t="s">
        <v>5017</v>
      </c>
      <c r="G4081" s="1" t="s">
        <v>5018</v>
      </c>
      <c r="H4081" s="1">
        <v>0.1</v>
      </c>
      <c r="I4081" s="1">
        <v>0.1</v>
      </c>
      <c r="J4081" s="1">
        <v>0.64766720062880123</v>
      </c>
      <c r="K4081" s="1" t="s">
        <v>181</v>
      </c>
    </row>
    <row r="4082" spans="1:11" x14ac:dyDescent="0.25">
      <c r="A4082" s="1" t="s">
        <v>12865</v>
      </c>
      <c r="B4082" s="1" t="s">
        <v>12866</v>
      </c>
      <c r="D4082" s="1" t="s">
        <v>12867</v>
      </c>
      <c r="E4082" s="1" t="s">
        <v>209</v>
      </c>
      <c r="F4082" s="1" t="s">
        <v>5017</v>
      </c>
      <c r="G4082" s="1" t="s">
        <v>5018</v>
      </c>
      <c r="H4082" s="1">
        <v>0.1</v>
      </c>
      <c r="I4082" s="1">
        <v>0.1</v>
      </c>
      <c r="J4082" s="1">
        <v>0.83088329452478482</v>
      </c>
      <c r="K4082" s="1" t="s">
        <v>181</v>
      </c>
    </row>
    <row r="4083" spans="1:11" x14ac:dyDescent="0.25">
      <c r="A4083" s="1" t="s">
        <v>12868</v>
      </c>
      <c r="B4083" s="1" t="s">
        <v>12869</v>
      </c>
      <c r="D4083" s="1" t="s">
        <v>12870</v>
      </c>
      <c r="E4083" s="1" t="s">
        <v>209</v>
      </c>
      <c r="F4083" s="1" t="s">
        <v>5017</v>
      </c>
      <c r="G4083" s="1" t="s">
        <v>5018</v>
      </c>
      <c r="H4083" s="1">
        <v>0.1</v>
      </c>
      <c r="I4083" s="1">
        <v>0.1</v>
      </c>
      <c r="J4083" s="1">
        <v>0.64759194438084744</v>
      </c>
      <c r="K4083" s="1" t="s">
        <v>181</v>
      </c>
    </row>
    <row r="4084" spans="1:11" x14ac:dyDescent="0.25">
      <c r="A4084" s="1" t="s">
        <v>12871</v>
      </c>
      <c r="B4084" s="1" t="s">
        <v>12872</v>
      </c>
      <c r="D4084" s="1" t="s">
        <v>12873</v>
      </c>
      <c r="E4084" s="1" t="s">
        <v>209</v>
      </c>
      <c r="F4084" s="1" t="s">
        <v>5017</v>
      </c>
      <c r="G4084" s="1" t="s">
        <v>5018</v>
      </c>
      <c r="H4084" s="1">
        <v>0.1</v>
      </c>
      <c r="I4084" s="1">
        <v>0.1</v>
      </c>
      <c r="J4084" s="1">
        <v>0.7329838109680934</v>
      </c>
      <c r="K4084" s="1" t="s">
        <v>181</v>
      </c>
    </row>
    <row r="4085" spans="1:11" x14ac:dyDescent="0.25">
      <c r="A4085" s="1" t="s">
        <v>12874</v>
      </c>
      <c r="B4085" s="1" t="s">
        <v>12875</v>
      </c>
      <c r="D4085" s="1" t="s">
        <v>12876</v>
      </c>
      <c r="E4085" s="1" t="s">
        <v>209</v>
      </c>
      <c r="F4085" s="1" t="s">
        <v>5017</v>
      </c>
      <c r="G4085" s="1" t="s">
        <v>5018</v>
      </c>
      <c r="H4085" s="1">
        <v>0.1</v>
      </c>
      <c r="I4085" s="1">
        <v>0.1</v>
      </c>
      <c r="J4085" s="1">
        <v>0.88179748927630741</v>
      </c>
      <c r="K4085" s="1" t="s">
        <v>181</v>
      </c>
    </row>
    <row r="4086" spans="1:11" x14ac:dyDescent="0.25">
      <c r="A4086" s="1" t="s">
        <v>12877</v>
      </c>
      <c r="B4086" s="1" t="s">
        <v>12878</v>
      </c>
      <c r="D4086" s="1" t="s">
        <v>12879</v>
      </c>
      <c r="E4086" s="1" t="s">
        <v>209</v>
      </c>
      <c r="F4086" s="1" t="s">
        <v>5017</v>
      </c>
      <c r="G4086" s="1" t="s">
        <v>5018</v>
      </c>
      <c r="H4086" s="1">
        <v>0.1</v>
      </c>
      <c r="I4086" s="1">
        <v>0.1</v>
      </c>
      <c r="J4086" s="1">
        <v>0.69357449282793959</v>
      </c>
      <c r="K4086" s="1" t="s">
        <v>181</v>
      </c>
    </row>
    <row r="4087" spans="1:11" x14ac:dyDescent="0.25">
      <c r="A4087" s="1" t="s">
        <v>12880</v>
      </c>
      <c r="B4087" s="1" t="s">
        <v>12881</v>
      </c>
      <c r="D4087" s="1" t="s">
        <v>12882</v>
      </c>
      <c r="E4087" s="1" t="s">
        <v>209</v>
      </c>
      <c r="F4087" s="1" t="s">
        <v>5017</v>
      </c>
      <c r="G4087" s="1" t="s">
        <v>5018</v>
      </c>
      <c r="H4087" s="1">
        <v>0.1</v>
      </c>
      <c r="I4087" s="1">
        <v>0.1</v>
      </c>
      <c r="J4087" s="1">
        <v>0.65217487032934185</v>
      </c>
      <c r="K4087" s="1" t="s">
        <v>181</v>
      </c>
    </row>
    <row r="4088" spans="1:11" x14ac:dyDescent="0.25">
      <c r="A4088" s="1" t="s">
        <v>12883</v>
      </c>
      <c r="B4088" s="1" t="s">
        <v>12884</v>
      </c>
      <c r="D4088" s="1" t="s">
        <v>12885</v>
      </c>
      <c r="E4088" s="1" t="s">
        <v>209</v>
      </c>
      <c r="F4088" s="1" t="s">
        <v>5017</v>
      </c>
      <c r="G4088" s="1" t="s">
        <v>5018</v>
      </c>
      <c r="H4088" s="1">
        <v>0.1</v>
      </c>
      <c r="I4088" s="1">
        <v>0.1</v>
      </c>
      <c r="J4088" s="1">
        <v>0.67266546152283402</v>
      </c>
      <c r="K4088" s="1" t="s">
        <v>181</v>
      </c>
    </row>
    <row r="4089" spans="1:11" x14ac:dyDescent="0.25">
      <c r="A4089" s="1" t="s">
        <v>12886</v>
      </c>
      <c r="B4089" s="1" t="s">
        <v>12887</v>
      </c>
      <c r="D4089" s="1" t="s">
        <v>12888</v>
      </c>
      <c r="E4089" s="1" t="s">
        <v>209</v>
      </c>
      <c r="F4089" s="1" t="s">
        <v>5017</v>
      </c>
      <c r="G4089" s="1" t="s">
        <v>5018</v>
      </c>
      <c r="H4089" s="1">
        <v>0.1</v>
      </c>
      <c r="I4089" s="1">
        <v>0.1</v>
      </c>
      <c r="J4089" s="1">
        <v>0.64535077324141155</v>
      </c>
      <c r="K4089" s="1" t="s">
        <v>181</v>
      </c>
    </row>
    <row r="4090" spans="1:11" x14ac:dyDescent="0.25">
      <c r="A4090" s="1" t="s">
        <v>12889</v>
      </c>
      <c r="B4090" s="1" t="s">
        <v>12890</v>
      </c>
      <c r="D4090" s="1" t="s">
        <v>12891</v>
      </c>
      <c r="E4090" s="1" t="s">
        <v>209</v>
      </c>
      <c r="F4090" s="1" t="s">
        <v>5017</v>
      </c>
      <c r="G4090" s="1" t="s">
        <v>5018</v>
      </c>
      <c r="H4090" s="1">
        <v>0.1</v>
      </c>
      <c r="I4090" s="1">
        <v>0.1</v>
      </c>
      <c r="J4090" s="1">
        <v>0.60271267265919726</v>
      </c>
      <c r="K4090" s="1" t="s">
        <v>181</v>
      </c>
    </row>
    <row r="4091" spans="1:11" x14ac:dyDescent="0.25">
      <c r="A4091" s="1" t="s">
        <v>12892</v>
      </c>
      <c r="B4091" s="1" t="s">
        <v>12893</v>
      </c>
      <c r="D4091" s="1" t="s">
        <v>12894</v>
      </c>
      <c r="E4091" s="1" t="s">
        <v>209</v>
      </c>
      <c r="F4091" s="1" t="s">
        <v>5017</v>
      </c>
      <c r="G4091" s="1" t="s">
        <v>5018</v>
      </c>
      <c r="H4091" s="1">
        <v>0.1</v>
      </c>
      <c r="I4091" s="1">
        <v>0.1</v>
      </c>
      <c r="J4091" s="1">
        <v>0.68619212418997599</v>
      </c>
      <c r="K4091" s="1" t="s">
        <v>181</v>
      </c>
    </row>
    <row r="4092" spans="1:11" x14ac:dyDescent="0.25">
      <c r="A4092" s="1" t="s">
        <v>12895</v>
      </c>
      <c r="B4092" s="1" t="s">
        <v>12896</v>
      </c>
      <c r="D4092" s="1" t="s">
        <v>12897</v>
      </c>
      <c r="E4092" s="1" t="s">
        <v>209</v>
      </c>
      <c r="F4092" s="1" t="s">
        <v>5017</v>
      </c>
      <c r="G4092" s="1" t="s">
        <v>5018</v>
      </c>
      <c r="H4092" s="1">
        <v>0.1</v>
      </c>
      <c r="I4092" s="1">
        <v>0.1</v>
      </c>
      <c r="J4092" s="1">
        <v>0.71549480032264645</v>
      </c>
      <c r="K4092" s="1" t="s">
        <v>181</v>
      </c>
    </row>
    <row r="4093" spans="1:11" x14ac:dyDescent="0.25">
      <c r="A4093" s="1" t="s">
        <v>12898</v>
      </c>
      <c r="B4093" s="1" t="s">
        <v>12899</v>
      </c>
      <c r="D4093" s="1" t="s">
        <v>12900</v>
      </c>
      <c r="E4093" s="1" t="s">
        <v>209</v>
      </c>
      <c r="F4093" s="1" t="s">
        <v>5017</v>
      </c>
      <c r="G4093" s="1" t="s">
        <v>5018</v>
      </c>
      <c r="H4093" s="1">
        <v>0.1</v>
      </c>
      <c r="I4093" s="1">
        <v>0.1</v>
      </c>
      <c r="J4093" s="1">
        <v>0.85336496973902487</v>
      </c>
      <c r="K4093" s="1" t="s">
        <v>181</v>
      </c>
    </row>
    <row r="4094" spans="1:11" x14ac:dyDescent="0.25">
      <c r="A4094" s="1" t="s">
        <v>12901</v>
      </c>
      <c r="B4094" s="1" t="s">
        <v>12902</v>
      </c>
      <c r="D4094" s="1" t="s">
        <v>12903</v>
      </c>
      <c r="E4094" s="1" t="s">
        <v>209</v>
      </c>
      <c r="F4094" s="1" t="s">
        <v>5017</v>
      </c>
      <c r="G4094" s="1" t="s">
        <v>5018</v>
      </c>
      <c r="H4094" s="1">
        <v>0.1</v>
      </c>
      <c r="I4094" s="1">
        <v>0.1</v>
      </c>
      <c r="J4094" s="1">
        <v>0.87178123423978482</v>
      </c>
      <c r="K4094" s="1" t="s">
        <v>181</v>
      </c>
    </row>
    <row r="4095" spans="1:11" x14ac:dyDescent="0.25">
      <c r="A4095" s="1" t="s">
        <v>12904</v>
      </c>
      <c r="B4095" s="1" t="s">
        <v>12905</v>
      </c>
      <c r="D4095" s="1" t="s">
        <v>12906</v>
      </c>
      <c r="E4095" s="1" t="s">
        <v>209</v>
      </c>
      <c r="F4095" s="1" t="s">
        <v>5017</v>
      </c>
      <c r="G4095" s="1" t="s">
        <v>5018</v>
      </c>
      <c r="H4095" s="1">
        <v>0.1</v>
      </c>
      <c r="I4095" s="1">
        <v>0.1</v>
      </c>
      <c r="J4095" s="1">
        <v>0.66217192760300658</v>
      </c>
      <c r="K4095" s="1" t="s">
        <v>181</v>
      </c>
    </row>
    <row r="4096" spans="1:11" x14ac:dyDescent="0.25">
      <c r="A4096" s="1" t="s">
        <v>12907</v>
      </c>
      <c r="B4096" s="1" t="s">
        <v>12908</v>
      </c>
      <c r="D4096" s="1" t="s">
        <v>12909</v>
      </c>
      <c r="E4096" s="1" t="s">
        <v>209</v>
      </c>
      <c r="F4096" s="1" t="s">
        <v>5017</v>
      </c>
      <c r="G4096" s="1" t="s">
        <v>5018</v>
      </c>
      <c r="H4096" s="1">
        <v>0.1</v>
      </c>
      <c r="I4096" s="1">
        <v>0.1</v>
      </c>
      <c r="J4096" s="1">
        <v>0.50366716781073229</v>
      </c>
      <c r="K4096" s="1" t="s">
        <v>181</v>
      </c>
    </row>
    <row r="4097" spans="1:11" x14ac:dyDescent="0.25">
      <c r="A4097" s="1" t="s">
        <v>12910</v>
      </c>
      <c r="B4097" s="1" t="s">
        <v>12911</v>
      </c>
      <c r="D4097" s="1" t="s">
        <v>12912</v>
      </c>
      <c r="E4097" s="1" t="s">
        <v>209</v>
      </c>
      <c r="F4097" s="1" t="s">
        <v>5017</v>
      </c>
      <c r="G4097" s="1" t="s">
        <v>5018</v>
      </c>
      <c r="H4097" s="1">
        <v>0.1</v>
      </c>
      <c r="I4097" s="1">
        <v>0.1</v>
      </c>
      <c r="J4097" s="1">
        <v>0.80124994818081074</v>
      </c>
      <c r="K4097" s="1" t="s">
        <v>181</v>
      </c>
    </row>
    <row r="4098" spans="1:11" x14ac:dyDescent="0.25">
      <c r="A4098" s="1" t="s">
        <v>12913</v>
      </c>
      <c r="B4098" s="1" t="s">
        <v>12914</v>
      </c>
      <c r="D4098" s="1" t="s">
        <v>12915</v>
      </c>
      <c r="E4098" s="1" t="s">
        <v>209</v>
      </c>
      <c r="F4098" s="1" t="s">
        <v>5017</v>
      </c>
      <c r="G4098" s="1" t="s">
        <v>5018</v>
      </c>
      <c r="H4098" s="1">
        <v>0.1</v>
      </c>
      <c r="I4098" s="1">
        <v>0.1</v>
      </c>
      <c r="J4098" s="1">
        <v>0.70831814966263473</v>
      </c>
      <c r="K4098" s="1" t="s">
        <v>181</v>
      </c>
    </row>
    <row r="4099" spans="1:11" x14ac:dyDescent="0.25">
      <c r="A4099" s="1" t="s">
        <v>12916</v>
      </c>
      <c r="B4099" s="1" t="s">
        <v>12917</v>
      </c>
      <c r="D4099" s="1" t="s">
        <v>12918</v>
      </c>
      <c r="E4099" s="1" t="s">
        <v>209</v>
      </c>
      <c r="F4099" s="1" t="s">
        <v>5017</v>
      </c>
      <c r="G4099" s="1" t="s">
        <v>5018</v>
      </c>
      <c r="H4099" s="1">
        <v>0.1</v>
      </c>
      <c r="I4099" s="1">
        <v>0.1</v>
      </c>
      <c r="J4099" s="1">
        <v>0.64493417631458017</v>
      </c>
      <c r="K4099" s="1" t="s">
        <v>181</v>
      </c>
    </row>
    <row r="4100" spans="1:11" x14ac:dyDescent="0.25">
      <c r="A4100" s="1" t="s">
        <v>12919</v>
      </c>
      <c r="B4100" s="1" t="s">
        <v>12920</v>
      </c>
      <c r="D4100" s="1" t="s">
        <v>12921</v>
      </c>
      <c r="E4100" s="1" t="s">
        <v>209</v>
      </c>
      <c r="F4100" s="1" t="s">
        <v>5017</v>
      </c>
      <c r="G4100" s="1" t="s">
        <v>5018</v>
      </c>
      <c r="H4100" s="1">
        <v>0.1</v>
      </c>
      <c r="I4100" s="1">
        <v>0.1</v>
      </c>
      <c r="J4100" s="1">
        <v>0.50919572725807527</v>
      </c>
      <c r="K4100" s="1" t="s">
        <v>181</v>
      </c>
    </row>
    <row r="4101" spans="1:11" x14ac:dyDescent="0.25">
      <c r="A4101" s="1" t="s">
        <v>12922</v>
      </c>
      <c r="B4101" s="1" t="s">
        <v>12923</v>
      </c>
      <c r="D4101" s="1" t="s">
        <v>12924</v>
      </c>
      <c r="E4101" s="1" t="s">
        <v>209</v>
      </c>
      <c r="F4101" s="1" t="s">
        <v>5017</v>
      </c>
      <c r="G4101" s="1" t="s">
        <v>5018</v>
      </c>
      <c r="H4101" s="1">
        <v>0.1</v>
      </c>
      <c r="I4101" s="1">
        <v>0.1</v>
      </c>
      <c r="J4101" s="1">
        <v>0.7632210024528624</v>
      </c>
      <c r="K4101" s="1" t="s">
        <v>181</v>
      </c>
    </row>
    <row r="4102" spans="1:11" x14ac:dyDescent="0.25">
      <c r="A4102" s="1" t="s">
        <v>12925</v>
      </c>
      <c r="B4102" s="1" t="s">
        <v>12926</v>
      </c>
      <c r="D4102" s="1" t="s">
        <v>12927</v>
      </c>
      <c r="E4102" s="1" t="s">
        <v>209</v>
      </c>
      <c r="F4102" s="1" t="s">
        <v>5017</v>
      </c>
      <c r="G4102" s="1" t="s">
        <v>5018</v>
      </c>
      <c r="H4102" s="1">
        <v>0.1</v>
      </c>
      <c r="I4102" s="1">
        <v>0.1</v>
      </c>
      <c r="J4102" s="1">
        <v>0.91697809121879148</v>
      </c>
      <c r="K4102" s="1" t="s">
        <v>181</v>
      </c>
    </row>
    <row r="4103" spans="1:11" x14ac:dyDescent="0.25">
      <c r="A4103" s="1" t="s">
        <v>12928</v>
      </c>
      <c r="B4103" s="1" t="s">
        <v>12929</v>
      </c>
      <c r="D4103" s="1" t="s">
        <v>12930</v>
      </c>
      <c r="E4103" s="1" t="s">
        <v>209</v>
      </c>
      <c r="F4103" s="1" t="s">
        <v>5017</v>
      </c>
      <c r="G4103" s="1" t="s">
        <v>5018</v>
      </c>
      <c r="H4103" s="1">
        <v>0.1</v>
      </c>
      <c r="I4103" s="1">
        <v>0.1</v>
      </c>
      <c r="J4103" s="1">
        <v>0.75450896436387105</v>
      </c>
      <c r="K4103" s="1" t="s">
        <v>181</v>
      </c>
    </row>
    <row r="4104" spans="1:11" x14ac:dyDescent="0.25">
      <c r="A4104" s="1" t="s">
        <v>12931</v>
      </c>
      <c r="B4104" s="1" t="s">
        <v>12932</v>
      </c>
      <c r="D4104" s="1" t="s">
        <v>12933</v>
      </c>
      <c r="E4104" s="1" t="s">
        <v>209</v>
      </c>
      <c r="F4104" s="1" t="s">
        <v>5017</v>
      </c>
      <c r="G4104" s="1" t="s">
        <v>5018</v>
      </c>
      <c r="H4104" s="1">
        <v>0.1</v>
      </c>
      <c r="I4104" s="1">
        <v>0.1</v>
      </c>
      <c r="J4104" s="1">
        <v>0.66533803143949988</v>
      </c>
      <c r="K4104" s="1" t="s">
        <v>181</v>
      </c>
    </row>
    <row r="4105" spans="1:11" x14ac:dyDescent="0.25">
      <c r="A4105" s="1" t="s">
        <v>12934</v>
      </c>
      <c r="B4105" s="1" t="s">
        <v>12935</v>
      </c>
      <c r="D4105" s="1" t="s">
        <v>12936</v>
      </c>
      <c r="E4105" s="1" t="s">
        <v>209</v>
      </c>
      <c r="F4105" s="1" t="s">
        <v>5017</v>
      </c>
      <c r="G4105" s="1" t="s">
        <v>5018</v>
      </c>
      <c r="H4105" s="1">
        <v>0.1</v>
      </c>
      <c r="I4105" s="1">
        <v>0.1</v>
      </c>
      <c r="J4105" s="1">
        <v>0.60259391504509918</v>
      </c>
      <c r="K4105" s="1" t="s">
        <v>181</v>
      </c>
    </row>
    <row r="4106" spans="1:11" x14ac:dyDescent="0.25">
      <c r="A4106" s="1" t="s">
        <v>12937</v>
      </c>
      <c r="B4106" s="1" t="s">
        <v>12938</v>
      </c>
      <c r="D4106" s="1" t="s">
        <v>12939</v>
      </c>
      <c r="E4106" s="1" t="s">
        <v>209</v>
      </c>
      <c r="F4106" s="1" t="s">
        <v>5017</v>
      </c>
      <c r="G4106" s="1" t="s">
        <v>5018</v>
      </c>
      <c r="H4106" s="1">
        <v>0.1</v>
      </c>
      <c r="I4106" s="1">
        <v>0.1</v>
      </c>
      <c r="J4106" s="1">
        <v>0.70488172759409218</v>
      </c>
      <c r="K4106" s="1" t="s">
        <v>181</v>
      </c>
    </row>
    <row r="4107" spans="1:11" x14ac:dyDescent="0.25">
      <c r="A4107" s="1" t="s">
        <v>12940</v>
      </c>
      <c r="B4107" s="1" t="s">
        <v>12941</v>
      </c>
      <c r="D4107" s="1" t="s">
        <v>12942</v>
      </c>
      <c r="E4107" s="1" t="s">
        <v>209</v>
      </c>
      <c r="F4107" s="1" t="s">
        <v>5017</v>
      </c>
      <c r="G4107" s="1" t="s">
        <v>5018</v>
      </c>
      <c r="H4107" s="1">
        <v>0.1</v>
      </c>
      <c r="I4107" s="1">
        <v>0.1</v>
      </c>
      <c r="J4107" s="1">
        <v>0.67996390317954214</v>
      </c>
      <c r="K4107" s="1" t="s">
        <v>181</v>
      </c>
    </row>
    <row r="4108" spans="1:11" x14ac:dyDescent="0.25">
      <c r="A4108" s="1" t="s">
        <v>12943</v>
      </c>
      <c r="B4108" s="1" t="s">
        <v>12944</v>
      </c>
      <c r="D4108" s="1" t="s">
        <v>12945</v>
      </c>
      <c r="E4108" s="1" t="s">
        <v>209</v>
      </c>
      <c r="F4108" s="1" t="s">
        <v>5017</v>
      </c>
      <c r="G4108" s="1" t="s">
        <v>5018</v>
      </c>
      <c r="H4108" s="1">
        <v>0.1</v>
      </c>
      <c r="I4108" s="1">
        <v>0.1</v>
      </c>
      <c r="J4108" s="1">
        <v>0.60165775842813607</v>
      </c>
      <c r="K4108" s="1" t="s">
        <v>181</v>
      </c>
    </row>
    <row r="4109" spans="1:11" x14ac:dyDescent="0.25">
      <c r="A4109" s="1" t="s">
        <v>12946</v>
      </c>
      <c r="B4109" s="1" t="s">
        <v>12947</v>
      </c>
      <c r="D4109" s="1" t="s">
        <v>12948</v>
      </c>
      <c r="E4109" s="1" t="s">
        <v>209</v>
      </c>
      <c r="F4109" s="1" t="s">
        <v>5017</v>
      </c>
      <c r="G4109" s="1" t="s">
        <v>5018</v>
      </c>
      <c r="H4109" s="1">
        <v>0.1</v>
      </c>
      <c r="I4109" s="1">
        <v>0.1</v>
      </c>
      <c r="J4109" s="1">
        <v>0.7957170780354974</v>
      </c>
      <c r="K4109" s="1" t="s">
        <v>181</v>
      </c>
    </row>
    <row r="4110" spans="1:11" x14ac:dyDescent="0.25">
      <c r="A4110" s="1" t="s">
        <v>12949</v>
      </c>
      <c r="B4110" s="1" t="s">
        <v>12950</v>
      </c>
      <c r="D4110" s="1" t="s">
        <v>12951</v>
      </c>
      <c r="E4110" s="1" t="s">
        <v>209</v>
      </c>
      <c r="F4110" s="1" t="s">
        <v>5017</v>
      </c>
      <c r="G4110" s="1" t="s">
        <v>5018</v>
      </c>
      <c r="H4110" s="1">
        <v>0.1</v>
      </c>
      <c r="I4110" s="1">
        <v>0.1</v>
      </c>
      <c r="J4110" s="1">
        <v>0.79560845048323536</v>
      </c>
      <c r="K4110" s="1" t="s">
        <v>181</v>
      </c>
    </row>
    <row r="4111" spans="1:11" x14ac:dyDescent="0.25">
      <c r="A4111" s="1" t="s">
        <v>12952</v>
      </c>
      <c r="B4111" s="1" t="s">
        <v>12953</v>
      </c>
      <c r="D4111" s="1" t="s">
        <v>12954</v>
      </c>
      <c r="E4111" s="1" t="s">
        <v>209</v>
      </c>
      <c r="F4111" s="1" t="s">
        <v>5017</v>
      </c>
      <c r="G4111" s="1" t="s">
        <v>5018</v>
      </c>
      <c r="H4111" s="1">
        <v>0.1</v>
      </c>
      <c r="I4111" s="1">
        <v>0.1</v>
      </c>
      <c r="J4111" s="1">
        <v>0.60868656498337848</v>
      </c>
      <c r="K4111" s="1" t="s">
        <v>181</v>
      </c>
    </row>
    <row r="4112" spans="1:11" x14ac:dyDescent="0.25">
      <c r="A4112" s="1" t="s">
        <v>12955</v>
      </c>
      <c r="B4112" s="1" t="s">
        <v>12956</v>
      </c>
      <c r="D4112" s="1" t="s">
        <v>12957</v>
      </c>
      <c r="E4112" s="1" t="s">
        <v>209</v>
      </c>
      <c r="F4112" s="1" t="s">
        <v>5017</v>
      </c>
      <c r="G4112" s="1" t="s">
        <v>5018</v>
      </c>
      <c r="H4112" s="1">
        <v>0.1</v>
      </c>
      <c r="I4112" s="1">
        <v>0.1</v>
      </c>
      <c r="J4112" s="1">
        <v>0.72825105400153156</v>
      </c>
      <c r="K4112" s="1" t="s">
        <v>181</v>
      </c>
    </row>
    <row r="4113" spans="1:11" x14ac:dyDescent="0.25">
      <c r="A4113" s="1" t="s">
        <v>12958</v>
      </c>
      <c r="B4113" s="1" t="s">
        <v>12959</v>
      </c>
      <c r="D4113" s="1" t="s">
        <v>12960</v>
      </c>
      <c r="E4113" s="1" t="s">
        <v>209</v>
      </c>
      <c r="F4113" s="1" t="s">
        <v>5017</v>
      </c>
      <c r="G4113" s="1" t="s">
        <v>5018</v>
      </c>
      <c r="H4113" s="1">
        <v>0.1</v>
      </c>
      <c r="I4113" s="1">
        <v>0.1</v>
      </c>
      <c r="J4113" s="1">
        <v>0.68962415520660036</v>
      </c>
      <c r="K4113" s="1" t="s">
        <v>181</v>
      </c>
    </row>
    <row r="4114" spans="1:11" x14ac:dyDescent="0.25">
      <c r="A4114" s="1" t="s">
        <v>12961</v>
      </c>
      <c r="B4114" s="1" t="s">
        <v>12962</v>
      </c>
      <c r="D4114" s="1" t="s">
        <v>12963</v>
      </c>
      <c r="E4114" s="1" t="s">
        <v>209</v>
      </c>
      <c r="F4114" s="1" t="s">
        <v>5017</v>
      </c>
      <c r="G4114" s="1" t="s">
        <v>5018</v>
      </c>
      <c r="H4114" s="1">
        <v>0.1</v>
      </c>
      <c r="I4114" s="1">
        <v>0.1</v>
      </c>
      <c r="J4114" s="1">
        <v>0.68716778213823626</v>
      </c>
      <c r="K4114" s="1" t="s">
        <v>181</v>
      </c>
    </row>
    <row r="4115" spans="1:11" x14ac:dyDescent="0.25">
      <c r="A4115" s="1" t="s">
        <v>12964</v>
      </c>
      <c r="B4115" s="1" t="s">
        <v>12965</v>
      </c>
      <c r="D4115" s="1" t="s">
        <v>12966</v>
      </c>
      <c r="E4115" s="1" t="s">
        <v>209</v>
      </c>
      <c r="F4115" s="1" t="s">
        <v>5017</v>
      </c>
      <c r="G4115" s="1" t="s">
        <v>5018</v>
      </c>
      <c r="H4115" s="1">
        <v>0.1</v>
      </c>
      <c r="I4115" s="1">
        <v>0.1</v>
      </c>
      <c r="J4115" s="1">
        <v>0.74582486828770567</v>
      </c>
      <c r="K4115" s="1" t="s">
        <v>181</v>
      </c>
    </row>
    <row r="4116" spans="1:11" x14ac:dyDescent="0.25">
      <c r="A4116" s="1" t="s">
        <v>12967</v>
      </c>
      <c r="B4116" s="1" t="s">
        <v>12968</v>
      </c>
      <c r="D4116" s="1" t="s">
        <v>12969</v>
      </c>
      <c r="E4116" s="1" t="s">
        <v>209</v>
      </c>
      <c r="F4116" s="1" t="s">
        <v>5017</v>
      </c>
      <c r="G4116" s="1" t="s">
        <v>5018</v>
      </c>
      <c r="H4116" s="1">
        <v>0.1</v>
      </c>
      <c r="I4116" s="1">
        <v>0.1</v>
      </c>
      <c r="J4116" s="1">
        <v>0.75373067124593107</v>
      </c>
      <c r="K4116" s="1" t="s">
        <v>181</v>
      </c>
    </row>
    <row r="4117" spans="1:11" x14ac:dyDescent="0.25">
      <c r="A4117" s="1" t="s">
        <v>12970</v>
      </c>
      <c r="B4117" s="1" t="s">
        <v>12971</v>
      </c>
      <c r="D4117" s="1" t="s">
        <v>12972</v>
      </c>
      <c r="E4117" s="1" t="s">
        <v>209</v>
      </c>
      <c r="F4117" s="1" t="s">
        <v>5017</v>
      </c>
      <c r="G4117" s="1" t="s">
        <v>5018</v>
      </c>
      <c r="H4117" s="1">
        <v>0.1</v>
      </c>
      <c r="I4117" s="1">
        <v>0.1</v>
      </c>
      <c r="J4117" s="1">
        <v>0.73409483852086366</v>
      </c>
      <c r="K4117" s="1" t="s">
        <v>181</v>
      </c>
    </row>
    <row r="4118" spans="1:11" x14ac:dyDescent="0.25">
      <c r="A4118" s="1" t="s">
        <v>12973</v>
      </c>
      <c r="B4118" s="1" t="s">
        <v>12974</v>
      </c>
      <c r="D4118" s="1" t="s">
        <v>12975</v>
      </c>
      <c r="E4118" s="1" t="s">
        <v>209</v>
      </c>
      <c r="F4118" s="1" t="s">
        <v>5017</v>
      </c>
      <c r="G4118" s="1" t="s">
        <v>5018</v>
      </c>
      <c r="H4118" s="1">
        <v>0.1</v>
      </c>
      <c r="I4118" s="1">
        <v>0.1</v>
      </c>
      <c r="J4118" s="1">
        <v>0.72623130556843207</v>
      </c>
      <c r="K4118" s="1" t="s">
        <v>181</v>
      </c>
    </row>
    <row r="4119" spans="1:11" x14ac:dyDescent="0.25">
      <c r="A4119" s="1" t="s">
        <v>12976</v>
      </c>
      <c r="B4119" s="1" t="s">
        <v>12977</v>
      </c>
      <c r="D4119" s="1" t="s">
        <v>12978</v>
      </c>
      <c r="E4119" s="1" t="s">
        <v>209</v>
      </c>
      <c r="F4119" s="1" t="s">
        <v>5017</v>
      </c>
      <c r="G4119" s="1" t="s">
        <v>5018</v>
      </c>
      <c r="H4119" s="1">
        <v>0.1</v>
      </c>
      <c r="I4119" s="1">
        <v>0.1</v>
      </c>
      <c r="J4119" s="1">
        <v>0.69299288047773944</v>
      </c>
      <c r="K4119" s="1" t="s">
        <v>181</v>
      </c>
    </row>
    <row r="4120" spans="1:11" x14ac:dyDescent="0.25">
      <c r="A4120" s="1" t="s">
        <v>12979</v>
      </c>
      <c r="B4120" s="1" t="s">
        <v>12980</v>
      </c>
      <c r="D4120" s="1" t="s">
        <v>12981</v>
      </c>
      <c r="E4120" s="1" t="s">
        <v>209</v>
      </c>
      <c r="F4120" s="1" t="s">
        <v>5017</v>
      </c>
      <c r="G4120" s="1" t="s">
        <v>5018</v>
      </c>
      <c r="H4120" s="1">
        <v>0.1</v>
      </c>
      <c r="I4120" s="1">
        <v>0.1</v>
      </c>
      <c r="J4120" s="1">
        <v>0.62291759398309521</v>
      </c>
      <c r="K4120" s="1" t="s">
        <v>181</v>
      </c>
    </row>
    <row r="4121" spans="1:11" x14ac:dyDescent="0.25">
      <c r="A4121" s="1" t="s">
        <v>12982</v>
      </c>
      <c r="B4121" s="1" t="s">
        <v>12983</v>
      </c>
      <c r="D4121" s="1" t="s">
        <v>12984</v>
      </c>
      <c r="E4121" s="1" t="s">
        <v>209</v>
      </c>
      <c r="F4121" s="1" t="s">
        <v>5017</v>
      </c>
      <c r="G4121" s="1" t="s">
        <v>5018</v>
      </c>
      <c r="H4121" s="1">
        <v>0.1</v>
      </c>
      <c r="I4121" s="1">
        <v>0.1</v>
      </c>
      <c r="J4121" s="1">
        <v>0.60813649436516759</v>
      </c>
      <c r="K4121" s="1" t="s">
        <v>181</v>
      </c>
    </row>
    <row r="4122" spans="1:11" x14ac:dyDescent="0.25">
      <c r="A4122" s="1" t="s">
        <v>12985</v>
      </c>
      <c r="B4122" s="1" t="s">
        <v>12986</v>
      </c>
      <c r="D4122" s="1" t="s">
        <v>12987</v>
      </c>
      <c r="E4122" s="1" t="s">
        <v>209</v>
      </c>
      <c r="F4122" s="1" t="s">
        <v>5017</v>
      </c>
      <c r="G4122" s="1" t="s">
        <v>5018</v>
      </c>
      <c r="H4122" s="1">
        <v>0.1</v>
      </c>
      <c r="I4122" s="1">
        <v>0.1</v>
      </c>
      <c r="J4122" s="1">
        <v>0.75771212749446715</v>
      </c>
      <c r="K4122" s="1" t="s">
        <v>181</v>
      </c>
    </row>
    <row r="4123" spans="1:11" x14ac:dyDescent="0.25">
      <c r="A4123" s="1" t="s">
        <v>12988</v>
      </c>
      <c r="B4123" s="1" t="s">
        <v>12989</v>
      </c>
      <c r="D4123" s="1" t="s">
        <v>12990</v>
      </c>
      <c r="E4123" s="1" t="s">
        <v>209</v>
      </c>
      <c r="F4123" s="1" t="s">
        <v>5017</v>
      </c>
      <c r="G4123" s="1" t="s">
        <v>5018</v>
      </c>
      <c r="H4123" s="1">
        <v>0.1</v>
      </c>
      <c r="I4123" s="1">
        <v>0.1</v>
      </c>
      <c r="J4123" s="1">
        <v>0.58772247736770356</v>
      </c>
      <c r="K4123" s="1" t="s">
        <v>181</v>
      </c>
    </row>
    <row r="4124" spans="1:11" x14ac:dyDescent="0.25">
      <c r="A4124" s="1" t="s">
        <v>12991</v>
      </c>
      <c r="B4124" s="1" t="s">
        <v>12992</v>
      </c>
      <c r="D4124" s="1" t="s">
        <v>12993</v>
      </c>
      <c r="E4124" s="1" t="s">
        <v>209</v>
      </c>
      <c r="F4124" s="1" t="s">
        <v>5017</v>
      </c>
      <c r="G4124" s="1" t="s">
        <v>5018</v>
      </c>
      <c r="H4124" s="1">
        <v>0.1</v>
      </c>
      <c r="I4124" s="1">
        <v>0.1</v>
      </c>
      <c r="J4124" s="1">
        <v>0.55808233655282569</v>
      </c>
      <c r="K4124" s="1" t="s">
        <v>181</v>
      </c>
    </row>
    <row r="4125" spans="1:11" x14ac:dyDescent="0.25">
      <c r="A4125" s="1" t="s">
        <v>12994</v>
      </c>
      <c r="B4125" s="1" t="s">
        <v>12995</v>
      </c>
      <c r="D4125" s="1" t="s">
        <v>12996</v>
      </c>
      <c r="E4125" s="1" t="s">
        <v>209</v>
      </c>
      <c r="F4125" s="1" t="s">
        <v>5017</v>
      </c>
      <c r="G4125" s="1" t="s">
        <v>5018</v>
      </c>
      <c r="H4125" s="1">
        <v>0.1</v>
      </c>
      <c r="I4125" s="1">
        <v>0.1</v>
      </c>
      <c r="J4125" s="1">
        <v>0.5737619615095445</v>
      </c>
      <c r="K4125" s="1" t="s">
        <v>181</v>
      </c>
    </row>
    <row r="4126" spans="1:11" x14ac:dyDescent="0.25">
      <c r="A4126" s="1" t="s">
        <v>12997</v>
      </c>
      <c r="B4126" s="1" t="s">
        <v>12998</v>
      </c>
      <c r="D4126" s="1" t="s">
        <v>12999</v>
      </c>
      <c r="E4126" s="1" t="s">
        <v>209</v>
      </c>
      <c r="F4126" s="1" t="s">
        <v>5017</v>
      </c>
      <c r="G4126" s="1" t="s">
        <v>5018</v>
      </c>
      <c r="H4126" s="1">
        <v>0.1</v>
      </c>
      <c r="I4126" s="1">
        <v>0.1</v>
      </c>
      <c r="J4126" s="1">
        <v>0.84422752500283982</v>
      </c>
      <c r="K4126" s="1" t="s">
        <v>181</v>
      </c>
    </row>
    <row r="4127" spans="1:11" x14ac:dyDescent="0.25">
      <c r="A4127" s="1" t="s">
        <v>13000</v>
      </c>
      <c r="B4127" s="1" t="s">
        <v>13001</v>
      </c>
      <c r="D4127" s="1" t="s">
        <v>13002</v>
      </c>
      <c r="E4127" s="1" t="s">
        <v>209</v>
      </c>
      <c r="F4127" s="1" t="s">
        <v>5017</v>
      </c>
      <c r="G4127" s="1" t="s">
        <v>5018</v>
      </c>
      <c r="H4127" s="1">
        <v>0.1</v>
      </c>
      <c r="I4127" s="1">
        <v>0.1</v>
      </c>
      <c r="J4127" s="1">
        <v>0.50480665154571092</v>
      </c>
      <c r="K4127" s="1" t="s">
        <v>181</v>
      </c>
    </row>
    <row r="4128" spans="1:11" x14ac:dyDescent="0.25">
      <c r="A4128" s="1" t="s">
        <v>13003</v>
      </c>
      <c r="B4128" s="1" t="s">
        <v>13004</v>
      </c>
      <c r="D4128" s="1" t="s">
        <v>13005</v>
      </c>
      <c r="E4128" s="1" t="s">
        <v>209</v>
      </c>
      <c r="F4128" s="1" t="s">
        <v>5017</v>
      </c>
      <c r="G4128" s="1" t="s">
        <v>5018</v>
      </c>
      <c r="H4128" s="1">
        <v>0.1</v>
      </c>
      <c r="I4128" s="1">
        <v>0.1</v>
      </c>
      <c r="J4128" s="1">
        <v>0.51377220295680825</v>
      </c>
      <c r="K4128" s="1" t="s">
        <v>181</v>
      </c>
    </row>
    <row r="4129" spans="1:11" x14ac:dyDescent="0.25">
      <c r="A4129" s="1" t="s">
        <v>13006</v>
      </c>
      <c r="B4129" s="1" t="s">
        <v>13007</v>
      </c>
      <c r="D4129" s="1" t="s">
        <v>13008</v>
      </c>
      <c r="E4129" s="1" t="s">
        <v>209</v>
      </c>
      <c r="F4129" s="1" t="s">
        <v>5017</v>
      </c>
      <c r="G4129" s="1" t="s">
        <v>5018</v>
      </c>
      <c r="H4129" s="1">
        <v>0.1</v>
      </c>
      <c r="I4129" s="1">
        <v>0.1</v>
      </c>
      <c r="J4129" s="1">
        <v>0.54487776221921358</v>
      </c>
      <c r="K4129" s="1" t="s">
        <v>181</v>
      </c>
    </row>
    <row r="4130" spans="1:11" x14ac:dyDescent="0.25">
      <c r="A4130" s="1" t="s">
        <v>13009</v>
      </c>
      <c r="B4130" s="1" t="s">
        <v>13010</v>
      </c>
      <c r="D4130" s="1" t="s">
        <v>13011</v>
      </c>
      <c r="E4130" s="1" t="s">
        <v>209</v>
      </c>
      <c r="F4130" s="1" t="s">
        <v>5017</v>
      </c>
      <c r="G4130" s="1" t="s">
        <v>5018</v>
      </c>
      <c r="H4130" s="1">
        <v>0.1</v>
      </c>
      <c r="I4130" s="1">
        <v>0.1</v>
      </c>
      <c r="J4130" s="1">
        <v>0.60739415672072539</v>
      </c>
      <c r="K4130" s="1" t="s">
        <v>181</v>
      </c>
    </row>
    <row r="4131" spans="1:11" x14ac:dyDescent="0.25">
      <c r="A4131" s="1" t="s">
        <v>13012</v>
      </c>
      <c r="B4131" s="1" t="s">
        <v>13013</v>
      </c>
      <c r="D4131" s="1" t="s">
        <v>13014</v>
      </c>
      <c r="E4131" s="1" t="s">
        <v>209</v>
      </c>
      <c r="F4131" s="1" t="s">
        <v>5017</v>
      </c>
      <c r="G4131" s="1" t="s">
        <v>5018</v>
      </c>
      <c r="H4131" s="1">
        <v>0.1</v>
      </c>
      <c r="I4131" s="1">
        <v>0.1</v>
      </c>
      <c r="J4131" s="1">
        <v>0.67391864783653044</v>
      </c>
      <c r="K4131" s="1" t="s">
        <v>181</v>
      </c>
    </row>
    <row r="4132" spans="1:11" x14ac:dyDescent="0.25">
      <c r="A4132" s="1" t="s">
        <v>13015</v>
      </c>
      <c r="B4132" s="1" t="s">
        <v>13016</v>
      </c>
      <c r="D4132" s="1" t="s">
        <v>13017</v>
      </c>
      <c r="E4132" s="1" t="s">
        <v>209</v>
      </c>
      <c r="F4132" s="1" t="s">
        <v>5017</v>
      </c>
      <c r="G4132" s="1" t="s">
        <v>5018</v>
      </c>
      <c r="H4132" s="1">
        <v>0.1</v>
      </c>
      <c r="I4132" s="1">
        <v>0.1</v>
      </c>
      <c r="J4132" s="1">
        <v>0.65564940487295464</v>
      </c>
      <c r="K4132" s="1" t="s">
        <v>181</v>
      </c>
    </row>
    <row r="4133" spans="1:11" x14ac:dyDescent="0.25">
      <c r="A4133" s="1" t="s">
        <v>13018</v>
      </c>
      <c r="B4133" s="1" t="s">
        <v>13019</v>
      </c>
      <c r="D4133" s="1" t="s">
        <v>13020</v>
      </c>
      <c r="E4133" s="1" t="s">
        <v>209</v>
      </c>
      <c r="F4133" s="1" t="s">
        <v>5017</v>
      </c>
      <c r="G4133" s="1" t="s">
        <v>5018</v>
      </c>
      <c r="H4133" s="1">
        <v>0.1</v>
      </c>
      <c r="I4133" s="1">
        <v>0.1</v>
      </c>
      <c r="J4133" s="1">
        <v>0.73918545281901837</v>
      </c>
      <c r="K4133" s="1" t="s">
        <v>181</v>
      </c>
    </row>
    <row r="4134" spans="1:11" x14ac:dyDescent="0.25">
      <c r="A4134" s="1" t="s">
        <v>13021</v>
      </c>
      <c r="B4134" s="1" t="s">
        <v>13022</v>
      </c>
      <c r="D4134" s="1" t="s">
        <v>13023</v>
      </c>
      <c r="E4134" s="1" t="s">
        <v>209</v>
      </c>
      <c r="F4134" s="1" t="s">
        <v>5017</v>
      </c>
      <c r="G4134" s="1" t="s">
        <v>5018</v>
      </c>
      <c r="H4134" s="1">
        <v>0.1</v>
      </c>
      <c r="I4134" s="1">
        <v>0.1</v>
      </c>
      <c r="J4134" s="1">
        <v>0.71551664450044905</v>
      </c>
      <c r="K4134" s="1" t="s">
        <v>181</v>
      </c>
    </row>
    <row r="4135" spans="1:11" x14ac:dyDescent="0.25">
      <c r="A4135" s="1" t="s">
        <v>13024</v>
      </c>
      <c r="B4135" s="1" t="s">
        <v>13025</v>
      </c>
      <c r="D4135" s="1" t="s">
        <v>13026</v>
      </c>
      <c r="E4135" s="1" t="s">
        <v>209</v>
      </c>
      <c r="F4135" s="1" t="s">
        <v>5017</v>
      </c>
      <c r="G4135" s="1" t="s">
        <v>5018</v>
      </c>
      <c r="H4135" s="1">
        <v>0.1</v>
      </c>
      <c r="I4135" s="1">
        <v>0.1</v>
      </c>
      <c r="J4135" s="1">
        <v>0.52353404388406122</v>
      </c>
      <c r="K4135" s="1" t="s">
        <v>181</v>
      </c>
    </row>
    <row r="4136" spans="1:11" x14ac:dyDescent="0.25">
      <c r="A4136" s="1" t="s">
        <v>13027</v>
      </c>
      <c r="B4136" s="1" t="s">
        <v>13028</v>
      </c>
      <c r="D4136" s="1" t="s">
        <v>13029</v>
      </c>
      <c r="E4136" s="1" t="s">
        <v>209</v>
      </c>
      <c r="F4136" s="1" t="s">
        <v>5017</v>
      </c>
      <c r="G4136" s="1" t="s">
        <v>5018</v>
      </c>
      <c r="H4136" s="1">
        <v>0.1</v>
      </c>
      <c r="I4136" s="1">
        <v>0.1</v>
      </c>
      <c r="J4136" s="1">
        <v>0.82245519698684832</v>
      </c>
      <c r="K4136" s="1" t="s">
        <v>181</v>
      </c>
    </row>
    <row r="4137" spans="1:11" x14ac:dyDescent="0.25">
      <c r="A4137" s="1" t="s">
        <v>13030</v>
      </c>
      <c r="B4137" s="1" t="s">
        <v>13031</v>
      </c>
      <c r="D4137" s="1" t="s">
        <v>13032</v>
      </c>
      <c r="E4137" s="1" t="s">
        <v>209</v>
      </c>
      <c r="F4137" s="1" t="s">
        <v>5017</v>
      </c>
      <c r="G4137" s="1" t="s">
        <v>5018</v>
      </c>
      <c r="H4137" s="1">
        <v>0.1</v>
      </c>
      <c r="I4137" s="1">
        <v>0.1</v>
      </c>
      <c r="J4137" s="1">
        <v>0.74092196482710682</v>
      </c>
      <c r="K4137" s="1" t="s">
        <v>181</v>
      </c>
    </row>
    <row r="4138" spans="1:11" x14ac:dyDescent="0.25">
      <c r="A4138" s="1" t="s">
        <v>13033</v>
      </c>
      <c r="B4138" s="1" t="s">
        <v>13034</v>
      </c>
      <c r="D4138" s="1" t="s">
        <v>13035</v>
      </c>
      <c r="E4138" s="1" t="s">
        <v>209</v>
      </c>
      <c r="F4138" s="1" t="s">
        <v>5017</v>
      </c>
      <c r="G4138" s="1" t="s">
        <v>5018</v>
      </c>
      <c r="H4138" s="1">
        <v>0.1</v>
      </c>
      <c r="I4138" s="1">
        <v>0.1</v>
      </c>
      <c r="J4138" s="1">
        <v>0.6206105970560406</v>
      </c>
      <c r="K4138" s="1" t="s">
        <v>181</v>
      </c>
    </row>
    <row r="4139" spans="1:11" x14ac:dyDescent="0.25">
      <c r="A4139" s="1" t="s">
        <v>75</v>
      </c>
      <c r="B4139" s="1" t="s">
        <v>13036</v>
      </c>
      <c r="D4139" s="1" t="s">
        <v>13037</v>
      </c>
      <c r="E4139" s="1" t="s">
        <v>209</v>
      </c>
      <c r="F4139" s="1" t="s">
        <v>5017</v>
      </c>
      <c r="G4139" s="1" t="s">
        <v>5018</v>
      </c>
      <c r="H4139" s="1">
        <v>0.1</v>
      </c>
      <c r="I4139" s="1">
        <v>0.1</v>
      </c>
      <c r="J4139" s="1">
        <v>0.67904409702558732</v>
      </c>
      <c r="K4139" s="1" t="s">
        <v>181</v>
      </c>
    </row>
    <row r="4140" spans="1:11" x14ac:dyDescent="0.25">
      <c r="A4140" s="1" t="s">
        <v>13038</v>
      </c>
      <c r="B4140" s="1" t="s">
        <v>13039</v>
      </c>
      <c r="D4140" s="1" t="s">
        <v>13040</v>
      </c>
      <c r="E4140" s="1" t="s">
        <v>209</v>
      </c>
      <c r="F4140" s="1" t="s">
        <v>5017</v>
      </c>
      <c r="G4140" s="1" t="s">
        <v>5018</v>
      </c>
      <c r="H4140" s="1">
        <v>0.1</v>
      </c>
      <c r="I4140" s="1">
        <v>0.1</v>
      </c>
      <c r="J4140" s="1">
        <v>0.58603482588152589</v>
      </c>
      <c r="K4140" s="1" t="s">
        <v>181</v>
      </c>
    </row>
    <row r="4141" spans="1:11" x14ac:dyDescent="0.25">
      <c r="A4141" s="1" t="s">
        <v>54</v>
      </c>
      <c r="B4141" s="1" t="s">
        <v>13041</v>
      </c>
      <c r="D4141" s="1" t="s">
        <v>13042</v>
      </c>
      <c r="E4141" s="1" t="s">
        <v>209</v>
      </c>
      <c r="F4141" s="1" t="s">
        <v>5017</v>
      </c>
      <c r="G4141" s="1" t="s">
        <v>5018</v>
      </c>
      <c r="H4141" s="1">
        <v>0.1</v>
      </c>
      <c r="I4141" s="1">
        <v>0.1</v>
      </c>
      <c r="J4141" s="1">
        <v>0.67959307550342618</v>
      </c>
      <c r="K4141" s="1" t="s">
        <v>181</v>
      </c>
    </row>
    <row r="4142" spans="1:11" x14ac:dyDescent="0.25">
      <c r="A4142" s="1" t="s">
        <v>55</v>
      </c>
      <c r="B4142" s="1" t="s">
        <v>13043</v>
      </c>
      <c r="D4142" s="1" t="s">
        <v>13044</v>
      </c>
      <c r="E4142" s="1" t="s">
        <v>209</v>
      </c>
      <c r="F4142" s="1" t="s">
        <v>5017</v>
      </c>
      <c r="G4142" s="1" t="s">
        <v>5018</v>
      </c>
      <c r="H4142" s="1">
        <v>0.1</v>
      </c>
      <c r="I4142" s="1">
        <v>0.1</v>
      </c>
      <c r="J4142" s="1">
        <v>0.67380262055185358</v>
      </c>
      <c r="K4142" s="1" t="s">
        <v>181</v>
      </c>
    </row>
    <row r="4143" spans="1:11" x14ac:dyDescent="0.25">
      <c r="A4143" s="1" t="s">
        <v>13045</v>
      </c>
      <c r="B4143" s="1" t="s">
        <v>13046</v>
      </c>
      <c r="D4143" s="1" t="s">
        <v>13047</v>
      </c>
      <c r="E4143" s="1" t="s">
        <v>209</v>
      </c>
      <c r="F4143" s="1" t="s">
        <v>5017</v>
      </c>
      <c r="G4143" s="1" t="s">
        <v>5018</v>
      </c>
      <c r="H4143" s="1">
        <v>0.1</v>
      </c>
      <c r="I4143" s="1">
        <v>0.1</v>
      </c>
      <c r="J4143" s="1">
        <v>0.48251140850093899</v>
      </c>
      <c r="K4143" s="1" t="s">
        <v>181</v>
      </c>
    </row>
    <row r="4144" spans="1:11" x14ac:dyDescent="0.25">
      <c r="A4144" s="1" t="s">
        <v>13048</v>
      </c>
      <c r="B4144" s="1" t="s">
        <v>13049</v>
      </c>
      <c r="D4144" s="1" t="s">
        <v>13050</v>
      </c>
      <c r="E4144" s="1" t="s">
        <v>209</v>
      </c>
      <c r="F4144" s="1" t="s">
        <v>5017</v>
      </c>
      <c r="G4144" s="1" t="s">
        <v>5018</v>
      </c>
      <c r="H4144" s="1">
        <v>0.1</v>
      </c>
      <c r="I4144" s="1">
        <v>0.1</v>
      </c>
      <c r="J4144" s="1">
        <v>0.59007898077375642</v>
      </c>
      <c r="K4144" s="1" t="s">
        <v>181</v>
      </c>
    </row>
    <row r="4145" spans="1:11" x14ac:dyDescent="0.25">
      <c r="A4145" s="1" t="s">
        <v>13051</v>
      </c>
      <c r="B4145" s="1" t="s">
        <v>13052</v>
      </c>
      <c r="D4145" s="1" t="s">
        <v>13053</v>
      </c>
      <c r="E4145" s="1" t="s">
        <v>209</v>
      </c>
      <c r="F4145" s="1" t="s">
        <v>5017</v>
      </c>
      <c r="G4145" s="1" t="s">
        <v>5018</v>
      </c>
      <c r="H4145" s="1">
        <v>0.1</v>
      </c>
      <c r="I4145" s="1">
        <v>0.1</v>
      </c>
      <c r="J4145" s="1">
        <v>0.640811600242292</v>
      </c>
      <c r="K4145" s="1" t="s">
        <v>181</v>
      </c>
    </row>
    <row r="4146" spans="1:11" x14ac:dyDescent="0.25">
      <c r="A4146" s="1" t="s">
        <v>13054</v>
      </c>
      <c r="B4146" s="1" t="s">
        <v>13055</v>
      </c>
      <c r="D4146" s="1" t="s">
        <v>13056</v>
      </c>
      <c r="E4146" s="1" t="s">
        <v>209</v>
      </c>
      <c r="F4146" s="1" t="s">
        <v>5017</v>
      </c>
      <c r="G4146" s="1" t="s">
        <v>5018</v>
      </c>
      <c r="H4146" s="1">
        <v>0.1</v>
      </c>
      <c r="I4146" s="1">
        <v>0.1</v>
      </c>
      <c r="J4146" s="1">
        <v>0.70897733419415432</v>
      </c>
      <c r="K4146" s="1" t="s">
        <v>181</v>
      </c>
    </row>
    <row r="4147" spans="1:11" x14ac:dyDescent="0.25">
      <c r="A4147" s="1" t="s">
        <v>13057</v>
      </c>
      <c r="B4147" s="1" t="s">
        <v>13058</v>
      </c>
      <c r="D4147" s="1" t="s">
        <v>13059</v>
      </c>
      <c r="E4147" s="1" t="s">
        <v>209</v>
      </c>
      <c r="F4147" s="1" t="s">
        <v>5017</v>
      </c>
      <c r="G4147" s="1" t="s">
        <v>5018</v>
      </c>
      <c r="H4147" s="1">
        <v>0.1</v>
      </c>
      <c r="I4147" s="1">
        <v>0.1</v>
      </c>
      <c r="J4147" s="1">
        <v>0.67551873389224981</v>
      </c>
      <c r="K4147" s="1" t="s">
        <v>181</v>
      </c>
    </row>
    <row r="4148" spans="1:11" x14ac:dyDescent="0.25">
      <c r="A4148" s="1" t="s">
        <v>13060</v>
      </c>
      <c r="B4148" s="1" t="s">
        <v>13061</v>
      </c>
      <c r="D4148" s="1" t="s">
        <v>13062</v>
      </c>
      <c r="E4148" s="1" t="s">
        <v>209</v>
      </c>
      <c r="F4148" s="1" t="s">
        <v>5017</v>
      </c>
      <c r="G4148" s="1" t="s">
        <v>5018</v>
      </c>
      <c r="H4148" s="1">
        <v>0.1</v>
      </c>
      <c r="I4148" s="1">
        <v>0.1</v>
      </c>
      <c r="J4148" s="1">
        <v>0.61138822015415939</v>
      </c>
      <c r="K4148" s="1" t="s">
        <v>181</v>
      </c>
    </row>
    <row r="4149" spans="1:11" x14ac:dyDescent="0.25">
      <c r="A4149" s="1" t="s">
        <v>13063</v>
      </c>
      <c r="B4149" s="1" t="s">
        <v>13064</v>
      </c>
      <c r="D4149" s="1" t="s">
        <v>13065</v>
      </c>
      <c r="E4149" s="1" t="s">
        <v>209</v>
      </c>
      <c r="F4149" s="1" t="s">
        <v>5017</v>
      </c>
      <c r="G4149" s="1" t="s">
        <v>5018</v>
      </c>
      <c r="H4149" s="1">
        <v>0.1</v>
      </c>
      <c r="I4149" s="1">
        <v>0.1</v>
      </c>
      <c r="J4149" s="1">
        <v>0.75167893040163825</v>
      </c>
      <c r="K4149" s="1" t="s">
        <v>181</v>
      </c>
    </row>
    <row r="4150" spans="1:11" x14ac:dyDescent="0.25">
      <c r="A4150" s="1" t="s">
        <v>13066</v>
      </c>
      <c r="B4150" s="1" t="s">
        <v>13067</v>
      </c>
      <c r="D4150" s="1" t="s">
        <v>13068</v>
      </c>
      <c r="E4150" s="1" t="s">
        <v>209</v>
      </c>
      <c r="F4150" s="1" t="s">
        <v>5017</v>
      </c>
      <c r="G4150" s="1" t="s">
        <v>5018</v>
      </c>
      <c r="H4150" s="1">
        <v>0.1</v>
      </c>
      <c r="I4150" s="1">
        <v>0.1</v>
      </c>
      <c r="J4150" s="1">
        <v>0.76229691672669353</v>
      </c>
      <c r="K4150" s="1" t="s">
        <v>181</v>
      </c>
    </row>
    <row r="4151" spans="1:11" x14ac:dyDescent="0.25">
      <c r="A4151" s="1" t="s">
        <v>13069</v>
      </c>
      <c r="B4151" s="1" t="s">
        <v>13070</v>
      </c>
      <c r="D4151" s="1" t="s">
        <v>13071</v>
      </c>
      <c r="E4151" s="1" t="s">
        <v>209</v>
      </c>
      <c r="F4151" s="1" t="s">
        <v>5017</v>
      </c>
      <c r="G4151" s="1" t="s">
        <v>5018</v>
      </c>
      <c r="H4151" s="1">
        <v>0.1</v>
      </c>
      <c r="I4151" s="1">
        <v>0.1</v>
      </c>
      <c r="J4151" s="1">
        <v>0.85262632172562791</v>
      </c>
      <c r="K4151" s="1" t="s">
        <v>181</v>
      </c>
    </row>
    <row r="4152" spans="1:11" x14ac:dyDescent="0.25">
      <c r="A4152" s="1" t="s">
        <v>13072</v>
      </c>
      <c r="B4152" s="1" t="s">
        <v>13073</v>
      </c>
      <c r="D4152" s="1" t="s">
        <v>13074</v>
      </c>
      <c r="E4152" s="1" t="s">
        <v>209</v>
      </c>
      <c r="F4152" s="1" t="s">
        <v>5017</v>
      </c>
      <c r="G4152" s="1" t="s">
        <v>5018</v>
      </c>
      <c r="H4152" s="1">
        <v>0.1</v>
      </c>
      <c r="I4152" s="1">
        <v>0.1</v>
      </c>
      <c r="J4152" s="1">
        <v>0.61512743581564899</v>
      </c>
      <c r="K4152" s="1" t="s">
        <v>181</v>
      </c>
    </row>
    <row r="4153" spans="1:11" x14ac:dyDescent="0.25">
      <c r="A4153" s="1" t="s">
        <v>13075</v>
      </c>
      <c r="B4153" s="1" t="s">
        <v>13076</v>
      </c>
      <c r="D4153" s="1" t="s">
        <v>13077</v>
      </c>
      <c r="E4153" s="1" t="s">
        <v>209</v>
      </c>
      <c r="F4153" s="1" t="s">
        <v>5017</v>
      </c>
      <c r="G4153" s="1" t="s">
        <v>5018</v>
      </c>
      <c r="H4153" s="1">
        <v>0.1</v>
      </c>
      <c r="I4153" s="1">
        <v>0.1</v>
      </c>
      <c r="J4153" s="1">
        <v>0.50991521890308678</v>
      </c>
      <c r="K4153" s="1" t="s">
        <v>181</v>
      </c>
    </row>
    <row r="4154" spans="1:11" x14ac:dyDescent="0.25">
      <c r="A4154" s="1" t="s">
        <v>13078</v>
      </c>
      <c r="B4154" s="1" t="s">
        <v>13079</v>
      </c>
      <c r="D4154" s="1" t="s">
        <v>13080</v>
      </c>
      <c r="E4154" s="1" t="s">
        <v>209</v>
      </c>
      <c r="F4154" s="1" t="s">
        <v>5017</v>
      </c>
      <c r="G4154" s="1" t="s">
        <v>5018</v>
      </c>
      <c r="H4154" s="1">
        <v>0.1</v>
      </c>
      <c r="I4154" s="1">
        <v>0.1</v>
      </c>
      <c r="J4154" s="1">
        <v>0.9139332776189153</v>
      </c>
      <c r="K4154" s="1" t="s">
        <v>181</v>
      </c>
    </row>
    <row r="4155" spans="1:11" x14ac:dyDescent="0.25">
      <c r="A4155" s="1" t="s">
        <v>13081</v>
      </c>
      <c r="B4155" s="1" t="s">
        <v>13082</v>
      </c>
      <c r="D4155" s="1" t="s">
        <v>13083</v>
      </c>
      <c r="E4155" s="1" t="s">
        <v>209</v>
      </c>
      <c r="F4155" s="1" t="s">
        <v>5017</v>
      </c>
      <c r="G4155" s="1" t="s">
        <v>5018</v>
      </c>
      <c r="H4155" s="1">
        <v>0.1</v>
      </c>
      <c r="I4155" s="1">
        <v>0.1</v>
      </c>
      <c r="J4155" s="1">
        <v>0.38843789738307599</v>
      </c>
      <c r="K4155" s="1" t="s">
        <v>181</v>
      </c>
    </row>
    <row r="4156" spans="1:11" x14ac:dyDescent="0.25">
      <c r="A4156" s="1" t="s">
        <v>13084</v>
      </c>
      <c r="B4156" s="1" t="s">
        <v>13085</v>
      </c>
      <c r="D4156" s="1" t="s">
        <v>13086</v>
      </c>
      <c r="E4156" s="1" t="s">
        <v>209</v>
      </c>
      <c r="F4156" s="1" t="s">
        <v>5017</v>
      </c>
      <c r="G4156" s="1" t="s">
        <v>5018</v>
      </c>
      <c r="H4156" s="1">
        <v>0.1</v>
      </c>
      <c r="I4156" s="1">
        <v>0.1</v>
      </c>
      <c r="J4156" s="1">
        <v>0.50809923247534072</v>
      </c>
      <c r="K4156" s="1" t="s">
        <v>181</v>
      </c>
    </row>
    <row r="4157" spans="1:11" x14ac:dyDescent="0.25">
      <c r="A4157" s="1" t="s">
        <v>13087</v>
      </c>
      <c r="B4157" s="1" t="s">
        <v>13088</v>
      </c>
      <c r="D4157" s="1" t="s">
        <v>13089</v>
      </c>
      <c r="E4157" s="1" t="s">
        <v>209</v>
      </c>
      <c r="F4157" s="1" t="s">
        <v>5017</v>
      </c>
      <c r="G4157" s="1" t="s">
        <v>5018</v>
      </c>
      <c r="H4157" s="1">
        <v>0.1</v>
      </c>
      <c r="I4157" s="1">
        <v>0.1</v>
      </c>
      <c r="J4157" s="1">
        <v>0.5081939191698629</v>
      </c>
      <c r="K4157" s="1" t="s">
        <v>181</v>
      </c>
    </row>
    <row r="4158" spans="1:11" x14ac:dyDescent="0.25">
      <c r="A4158" s="1" t="s">
        <v>13090</v>
      </c>
      <c r="B4158" s="1" t="s">
        <v>13091</v>
      </c>
      <c r="D4158" s="1" t="s">
        <v>13092</v>
      </c>
      <c r="E4158" s="1" t="s">
        <v>209</v>
      </c>
      <c r="F4158" s="1" t="s">
        <v>5017</v>
      </c>
      <c r="G4158" s="1" t="s">
        <v>5018</v>
      </c>
      <c r="H4158" s="1">
        <v>0.1</v>
      </c>
      <c r="I4158" s="1">
        <v>0.1</v>
      </c>
      <c r="J4158" s="1">
        <v>0.4936712152315032</v>
      </c>
      <c r="K4158" s="1" t="s">
        <v>181</v>
      </c>
    </row>
    <row r="4159" spans="1:11" x14ac:dyDescent="0.25">
      <c r="A4159" s="1" t="s">
        <v>13093</v>
      </c>
      <c r="B4159" s="1" t="s">
        <v>13094</v>
      </c>
      <c r="D4159" s="1" t="s">
        <v>13095</v>
      </c>
      <c r="E4159" s="1" t="s">
        <v>209</v>
      </c>
      <c r="F4159" s="1" t="s">
        <v>5017</v>
      </c>
      <c r="G4159" s="1" t="s">
        <v>5018</v>
      </c>
      <c r="H4159" s="1">
        <v>0.1</v>
      </c>
      <c r="I4159" s="1">
        <v>0.1</v>
      </c>
      <c r="J4159" s="1">
        <v>0.48310463964321543</v>
      </c>
      <c r="K4159" s="1" t="s">
        <v>181</v>
      </c>
    </row>
    <row r="4160" spans="1:11" x14ac:dyDescent="0.25">
      <c r="A4160" s="1" t="s">
        <v>13096</v>
      </c>
      <c r="B4160" s="1" t="s">
        <v>13097</v>
      </c>
      <c r="D4160" s="1" t="s">
        <v>13098</v>
      </c>
      <c r="E4160" s="1" t="s">
        <v>209</v>
      </c>
      <c r="F4160" s="1" t="s">
        <v>5017</v>
      </c>
      <c r="G4160" s="1" t="s">
        <v>5018</v>
      </c>
      <c r="H4160" s="1">
        <v>0.1</v>
      </c>
      <c r="I4160" s="1">
        <v>0.1</v>
      </c>
      <c r="J4160" s="1">
        <v>0.61591250582902268</v>
      </c>
      <c r="K4160" s="1" t="s">
        <v>181</v>
      </c>
    </row>
    <row r="4161" spans="1:11" x14ac:dyDescent="0.25">
      <c r="A4161" s="1" t="s">
        <v>13099</v>
      </c>
      <c r="B4161" s="1" t="s">
        <v>13100</v>
      </c>
      <c r="D4161" s="1" t="s">
        <v>13101</v>
      </c>
      <c r="E4161" s="1" t="s">
        <v>209</v>
      </c>
      <c r="F4161" s="1" t="s">
        <v>5017</v>
      </c>
      <c r="G4161" s="1" t="s">
        <v>5018</v>
      </c>
      <c r="H4161" s="1">
        <v>0.1</v>
      </c>
      <c r="I4161" s="1">
        <v>0.1</v>
      </c>
      <c r="J4161" s="1">
        <v>0.50566291803208663</v>
      </c>
      <c r="K4161" s="1" t="s">
        <v>181</v>
      </c>
    </row>
    <row r="4162" spans="1:11" x14ac:dyDescent="0.25">
      <c r="A4162" s="1" t="s">
        <v>13102</v>
      </c>
      <c r="B4162" s="1" t="s">
        <v>13103</v>
      </c>
      <c r="D4162" s="1" t="s">
        <v>13104</v>
      </c>
      <c r="E4162" s="1" t="s">
        <v>209</v>
      </c>
      <c r="F4162" s="1" t="s">
        <v>5017</v>
      </c>
      <c r="G4162" s="1" t="s">
        <v>5018</v>
      </c>
      <c r="H4162" s="1">
        <v>0.1</v>
      </c>
      <c r="I4162" s="1">
        <v>0.1</v>
      </c>
      <c r="J4162" s="1">
        <v>0.66560988601656756</v>
      </c>
      <c r="K4162" s="1" t="s">
        <v>181</v>
      </c>
    </row>
    <row r="4163" spans="1:11" x14ac:dyDescent="0.25">
      <c r="A4163" s="1" t="s">
        <v>13105</v>
      </c>
      <c r="B4163" s="1" t="s">
        <v>13106</v>
      </c>
      <c r="D4163" s="1" t="s">
        <v>13107</v>
      </c>
      <c r="E4163" s="1" t="s">
        <v>209</v>
      </c>
      <c r="F4163" s="1" t="s">
        <v>5017</v>
      </c>
      <c r="G4163" s="1" t="s">
        <v>5018</v>
      </c>
      <c r="H4163" s="1">
        <v>0.1</v>
      </c>
      <c r="I4163" s="1">
        <v>0.1</v>
      </c>
      <c r="J4163" s="1">
        <v>0.59679524903938141</v>
      </c>
      <c r="K4163" s="1" t="s">
        <v>181</v>
      </c>
    </row>
    <row r="4164" spans="1:11" x14ac:dyDescent="0.25">
      <c r="A4164" s="1" t="s">
        <v>13108</v>
      </c>
      <c r="B4164" s="1" t="s">
        <v>13109</v>
      </c>
      <c r="D4164" s="1" t="s">
        <v>13110</v>
      </c>
      <c r="E4164" s="1" t="s">
        <v>209</v>
      </c>
      <c r="F4164" s="1" t="s">
        <v>5017</v>
      </c>
      <c r="G4164" s="1" t="s">
        <v>5018</v>
      </c>
      <c r="H4164" s="1">
        <v>0.1</v>
      </c>
      <c r="I4164" s="1">
        <v>0.1</v>
      </c>
      <c r="J4164" s="1">
        <v>0.58229776547830492</v>
      </c>
      <c r="K4164" s="1" t="s">
        <v>181</v>
      </c>
    </row>
    <row r="4165" spans="1:11" x14ac:dyDescent="0.25">
      <c r="A4165" s="1" t="s">
        <v>13111</v>
      </c>
      <c r="B4165" s="1" t="s">
        <v>13112</v>
      </c>
      <c r="D4165" s="1" t="s">
        <v>13113</v>
      </c>
      <c r="E4165" s="1" t="s">
        <v>209</v>
      </c>
      <c r="F4165" s="1" t="s">
        <v>5017</v>
      </c>
      <c r="G4165" s="1" t="s">
        <v>5018</v>
      </c>
      <c r="H4165" s="1">
        <v>0.1</v>
      </c>
      <c r="I4165" s="1">
        <v>0.1</v>
      </c>
      <c r="J4165" s="1">
        <v>0.53384745107132148</v>
      </c>
      <c r="K4165" s="1" t="s">
        <v>181</v>
      </c>
    </row>
    <row r="4166" spans="1:11" x14ac:dyDescent="0.25">
      <c r="A4166" s="1" t="s">
        <v>13114</v>
      </c>
      <c r="B4166" s="1" t="s">
        <v>13115</v>
      </c>
      <c r="D4166" s="1" t="s">
        <v>13116</v>
      </c>
      <c r="E4166" s="1" t="s">
        <v>209</v>
      </c>
      <c r="F4166" s="1" t="s">
        <v>5017</v>
      </c>
      <c r="G4166" s="1" t="s">
        <v>5018</v>
      </c>
      <c r="H4166" s="1">
        <v>0.1</v>
      </c>
      <c r="I4166" s="1">
        <v>0.1</v>
      </c>
      <c r="J4166" s="1">
        <v>0.98589875538878102</v>
      </c>
      <c r="K4166" s="1" t="s">
        <v>181</v>
      </c>
    </row>
    <row r="4167" spans="1:11" x14ac:dyDescent="0.25">
      <c r="A4167" s="1" t="s">
        <v>13117</v>
      </c>
      <c r="B4167" s="1" t="s">
        <v>13118</v>
      </c>
      <c r="D4167" s="1" t="s">
        <v>13119</v>
      </c>
      <c r="E4167" s="1" t="s">
        <v>209</v>
      </c>
      <c r="F4167" s="1" t="s">
        <v>5017</v>
      </c>
      <c r="G4167" s="1" t="s">
        <v>5018</v>
      </c>
      <c r="H4167" s="1">
        <v>0.1</v>
      </c>
      <c r="I4167" s="1">
        <v>0.1</v>
      </c>
      <c r="J4167" s="1">
        <v>0.82723313085234595</v>
      </c>
      <c r="K4167" s="1" t="s">
        <v>181</v>
      </c>
    </row>
    <row r="4168" spans="1:11" x14ac:dyDescent="0.25">
      <c r="A4168" s="1" t="s">
        <v>13120</v>
      </c>
      <c r="B4168" s="1" t="s">
        <v>13121</v>
      </c>
      <c r="D4168" s="1" t="s">
        <v>13122</v>
      </c>
      <c r="E4168" s="1" t="s">
        <v>209</v>
      </c>
      <c r="F4168" s="1" t="s">
        <v>5017</v>
      </c>
      <c r="G4168" s="1" t="s">
        <v>5018</v>
      </c>
      <c r="H4168" s="1">
        <v>0.1</v>
      </c>
      <c r="I4168" s="1">
        <v>0.1</v>
      </c>
      <c r="J4168" s="1">
        <v>0.86042167628318522</v>
      </c>
      <c r="K4168" s="1" t="s">
        <v>181</v>
      </c>
    </row>
    <row r="4169" spans="1:11" x14ac:dyDescent="0.25">
      <c r="A4169" s="1" t="s">
        <v>13123</v>
      </c>
      <c r="B4169" s="1" t="s">
        <v>13124</v>
      </c>
      <c r="D4169" s="1" t="s">
        <v>13125</v>
      </c>
      <c r="E4169" s="1" t="s">
        <v>209</v>
      </c>
      <c r="F4169" s="1" t="s">
        <v>5017</v>
      </c>
      <c r="G4169" s="1" t="s">
        <v>5018</v>
      </c>
      <c r="H4169" s="1">
        <v>0.1</v>
      </c>
      <c r="I4169" s="1">
        <v>0.1</v>
      </c>
      <c r="J4169" s="1">
        <v>0.5091237822160577</v>
      </c>
      <c r="K4169" s="1" t="s">
        <v>181</v>
      </c>
    </row>
    <row r="4170" spans="1:11" x14ac:dyDescent="0.25">
      <c r="A4170" s="1" t="s">
        <v>13126</v>
      </c>
      <c r="B4170" s="1" t="s">
        <v>13127</v>
      </c>
      <c r="D4170" s="1" t="s">
        <v>13128</v>
      </c>
      <c r="E4170" s="1" t="s">
        <v>209</v>
      </c>
      <c r="F4170" s="1" t="s">
        <v>5017</v>
      </c>
      <c r="G4170" s="1" t="s">
        <v>5018</v>
      </c>
      <c r="H4170" s="1">
        <v>0.1</v>
      </c>
      <c r="I4170" s="1">
        <v>0.1</v>
      </c>
      <c r="J4170" s="1">
        <v>0.55137334378794645</v>
      </c>
      <c r="K4170" s="1" t="s">
        <v>181</v>
      </c>
    </row>
    <row r="4171" spans="1:11" x14ac:dyDescent="0.25">
      <c r="A4171" s="1" t="s">
        <v>73</v>
      </c>
      <c r="B4171" s="1" t="s">
        <v>13129</v>
      </c>
      <c r="D4171" s="1" t="s">
        <v>13130</v>
      </c>
      <c r="E4171" s="1" t="s">
        <v>209</v>
      </c>
      <c r="F4171" s="1" t="s">
        <v>5017</v>
      </c>
      <c r="G4171" s="1" t="s">
        <v>5018</v>
      </c>
      <c r="H4171" s="1">
        <v>0.1</v>
      </c>
      <c r="I4171" s="1">
        <v>0.1</v>
      </c>
      <c r="J4171" s="1">
        <v>0.70894845932647121</v>
      </c>
      <c r="K4171" s="1" t="s">
        <v>181</v>
      </c>
    </row>
    <row r="4172" spans="1:11" x14ac:dyDescent="0.25">
      <c r="A4172" s="1" t="s">
        <v>13131</v>
      </c>
      <c r="B4172" s="1" t="s">
        <v>13132</v>
      </c>
      <c r="D4172" s="1" t="s">
        <v>13133</v>
      </c>
      <c r="E4172" s="1" t="s">
        <v>209</v>
      </c>
      <c r="F4172" s="1" t="s">
        <v>5017</v>
      </c>
      <c r="G4172" s="1" t="s">
        <v>5018</v>
      </c>
      <c r="H4172" s="1">
        <v>0.1</v>
      </c>
      <c r="I4172" s="1">
        <v>0.1</v>
      </c>
      <c r="J4172" s="1">
        <v>0.66288639740484256</v>
      </c>
      <c r="K4172" s="1" t="s">
        <v>181</v>
      </c>
    </row>
    <row r="4173" spans="1:11" x14ac:dyDescent="0.25">
      <c r="A4173" s="1" t="s">
        <v>13134</v>
      </c>
      <c r="B4173" s="1" t="s">
        <v>13135</v>
      </c>
      <c r="D4173" s="1" t="s">
        <v>13136</v>
      </c>
      <c r="E4173" s="1" t="s">
        <v>209</v>
      </c>
      <c r="F4173" s="1" t="s">
        <v>5017</v>
      </c>
      <c r="G4173" s="1" t="s">
        <v>5018</v>
      </c>
      <c r="H4173" s="1">
        <v>0.1</v>
      </c>
      <c r="I4173" s="1">
        <v>0.1</v>
      </c>
      <c r="J4173" s="1">
        <v>0.49612213543768346</v>
      </c>
      <c r="K4173" s="1" t="s">
        <v>181</v>
      </c>
    </row>
    <row r="4174" spans="1:11" x14ac:dyDescent="0.25">
      <c r="A4174" s="1" t="s">
        <v>13137</v>
      </c>
      <c r="B4174" s="1" t="s">
        <v>13138</v>
      </c>
      <c r="D4174" s="1" t="s">
        <v>13139</v>
      </c>
      <c r="E4174" s="1" t="s">
        <v>209</v>
      </c>
      <c r="F4174" s="1" t="s">
        <v>5017</v>
      </c>
      <c r="G4174" s="1" t="s">
        <v>5018</v>
      </c>
      <c r="H4174" s="1">
        <v>0.1</v>
      </c>
      <c r="I4174" s="1">
        <v>0.1</v>
      </c>
      <c r="J4174" s="1">
        <v>0.64782981856622146</v>
      </c>
      <c r="K4174" s="1" t="s">
        <v>181</v>
      </c>
    </row>
    <row r="4175" spans="1:11" x14ac:dyDescent="0.25">
      <c r="A4175" s="1" t="s">
        <v>13140</v>
      </c>
      <c r="B4175" s="1" t="s">
        <v>13141</v>
      </c>
      <c r="D4175" s="1" t="s">
        <v>13142</v>
      </c>
      <c r="E4175" s="1" t="s">
        <v>209</v>
      </c>
      <c r="F4175" s="1" t="s">
        <v>5017</v>
      </c>
      <c r="G4175" s="1" t="s">
        <v>5018</v>
      </c>
      <c r="H4175" s="1">
        <v>0.1</v>
      </c>
      <c r="I4175" s="1">
        <v>0.1</v>
      </c>
      <c r="J4175" s="1">
        <v>0.70523467762423508</v>
      </c>
      <c r="K4175" s="1" t="s">
        <v>181</v>
      </c>
    </row>
    <row r="4176" spans="1:11" x14ac:dyDescent="0.25">
      <c r="A4176" s="1" t="s">
        <v>13143</v>
      </c>
      <c r="B4176" s="1" t="s">
        <v>13144</v>
      </c>
      <c r="D4176" s="1" t="s">
        <v>13145</v>
      </c>
      <c r="E4176" s="1" t="s">
        <v>209</v>
      </c>
      <c r="F4176" s="1" t="s">
        <v>5017</v>
      </c>
      <c r="G4176" s="1" t="s">
        <v>5018</v>
      </c>
      <c r="H4176" s="1">
        <v>0.1</v>
      </c>
      <c r="I4176" s="1">
        <v>0.1</v>
      </c>
      <c r="J4176" s="1">
        <v>1.029537050177856</v>
      </c>
      <c r="K4176" s="1" t="s">
        <v>181</v>
      </c>
    </row>
    <row r="4177" spans="1:11" x14ac:dyDescent="0.25">
      <c r="A4177" s="1" t="s">
        <v>13146</v>
      </c>
      <c r="B4177" s="1" t="s">
        <v>13147</v>
      </c>
      <c r="D4177" s="1" t="s">
        <v>13148</v>
      </c>
      <c r="E4177" s="1" t="s">
        <v>209</v>
      </c>
      <c r="F4177" s="1" t="s">
        <v>5017</v>
      </c>
      <c r="G4177" s="1" t="s">
        <v>5018</v>
      </c>
      <c r="H4177" s="1">
        <v>0.1</v>
      </c>
      <c r="I4177" s="1">
        <v>0.1</v>
      </c>
      <c r="J4177" s="1">
        <v>0.96113451805673134</v>
      </c>
      <c r="K4177" s="1" t="s">
        <v>181</v>
      </c>
    </row>
    <row r="4178" spans="1:11" x14ac:dyDescent="0.25">
      <c r="A4178" s="1" t="s">
        <v>13149</v>
      </c>
      <c r="B4178" s="1" t="s">
        <v>13150</v>
      </c>
      <c r="D4178" s="1" t="s">
        <v>13151</v>
      </c>
      <c r="E4178" s="1" t="s">
        <v>209</v>
      </c>
      <c r="F4178" s="1" t="s">
        <v>5017</v>
      </c>
      <c r="G4178" s="1" t="s">
        <v>5018</v>
      </c>
      <c r="H4178" s="1">
        <v>0.1</v>
      </c>
      <c r="I4178" s="1">
        <v>0.1</v>
      </c>
      <c r="J4178" s="1">
        <v>0.70270220979232612</v>
      </c>
      <c r="K4178" s="1" t="s">
        <v>181</v>
      </c>
    </row>
    <row r="4179" spans="1:11" x14ac:dyDescent="0.25">
      <c r="A4179" s="1" t="s">
        <v>13152</v>
      </c>
      <c r="B4179" s="1" t="s">
        <v>13153</v>
      </c>
      <c r="D4179" s="1" t="s">
        <v>13154</v>
      </c>
      <c r="E4179" s="1" t="s">
        <v>209</v>
      </c>
      <c r="F4179" s="1" t="s">
        <v>5017</v>
      </c>
      <c r="G4179" s="1" t="s">
        <v>5018</v>
      </c>
      <c r="H4179" s="1">
        <v>0.1</v>
      </c>
      <c r="I4179" s="1">
        <v>0.1</v>
      </c>
      <c r="J4179" s="1">
        <v>0.72952220212215402</v>
      </c>
      <c r="K4179" s="1" t="s">
        <v>181</v>
      </c>
    </row>
    <row r="4180" spans="1:11" x14ac:dyDescent="0.25">
      <c r="A4180" s="1" t="s">
        <v>13155</v>
      </c>
      <c r="B4180" s="1" t="s">
        <v>13156</v>
      </c>
      <c r="D4180" s="1" t="s">
        <v>13157</v>
      </c>
      <c r="E4180" s="1" t="s">
        <v>209</v>
      </c>
      <c r="F4180" s="1" t="s">
        <v>5017</v>
      </c>
      <c r="G4180" s="1" t="s">
        <v>5018</v>
      </c>
      <c r="H4180" s="1">
        <v>0.1</v>
      </c>
      <c r="I4180" s="1">
        <v>0.1</v>
      </c>
      <c r="J4180" s="1">
        <v>0.81969679988374711</v>
      </c>
      <c r="K4180" s="1" t="s">
        <v>181</v>
      </c>
    </row>
    <row r="4181" spans="1:11" x14ac:dyDescent="0.25">
      <c r="A4181" s="1" t="s">
        <v>13158</v>
      </c>
      <c r="B4181" s="1" t="s">
        <v>13159</v>
      </c>
      <c r="D4181" s="1" t="s">
        <v>13160</v>
      </c>
      <c r="E4181" s="1" t="s">
        <v>209</v>
      </c>
      <c r="F4181" s="1" t="s">
        <v>5017</v>
      </c>
      <c r="G4181" s="1" t="s">
        <v>5018</v>
      </c>
      <c r="H4181" s="1">
        <v>0.1</v>
      </c>
      <c r="I4181" s="1">
        <v>0.1</v>
      </c>
      <c r="J4181" s="1">
        <v>1.0533539365267197</v>
      </c>
      <c r="K4181" s="1" t="s">
        <v>181</v>
      </c>
    </row>
    <row r="4182" spans="1:11" x14ac:dyDescent="0.25">
      <c r="A4182" s="1" t="s">
        <v>13161</v>
      </c>
      <c r="B4182" s="1" t="s">
        <v>13162</v>
      </c>
      <c r="D4182" s="1" t="s">
        <v>13163</v>
      </c>
      <c r="E4182" s="1" t="s">
        <v>209</v>
      </c>
      <c r="F4182" s="1" t="s">
        <v>5017</v>
      </c>
      <c r="G4182" s="1" t="s">
        <v>5018</v>
      </c>
      <c r="H4182" s="1">
        <v>0.1</v>
      </c>
      <c r="I4182" s="1">
        <v>0.1</v>
      </c>
      <c r="J4182" s="1">
        <v>0.59639343379495502</v>
      </c>
      <c r="K4182" s="1" t="s">
        <v>181</v>
      </c>
    </row>
    <row r="4183" spans="1:11" x14ac:dyDescent="0.25">
      <c r="A4183" s="1" t="s">
        <v>13164</v>
      </c>
      <c r="B4183" s="1" t="s">
        <v>13165</v>
      </c>
      <c r="D4183" s="1" t="s">
        <v>13166</v>
      </c>
      <c r="E4183" s="1" t="s">
        <v>209</v>
      </c>
      <c r="F4183" s="1" t="s">
        <v>5017</v>
      </c>
      <c r="G4183" s="1" t="s">
        <v>5018</v>
      </c>
      <c r="H4183" s="1">
        <v>0.1</v>
      </c>
      <c r="I4183" s="1">
        <v>0.1</v>
      </c>
      <c r="J4183" s="1">
        <v>0.51601149385680534</v>
      </c>
      <c r="K4183" s="1" t="s">
        <v>181</v>
      </c>
    </row>
    <row r="4184" spans="1:11" x14ac:dyDescent="0.25">
      <c r="A4184" s="1" t="s">
        <v>13167</v>
      </c>
      <c r="B4184" s="1" t="s">
        <v>13168</v>
      </c>
      <c r="D4184" s="1" t="s">
        <v>13169</v>
      </c>
      <c r="E4184" s="1" t="s">
        <v>209</v>
      </c>
      <c r="F4184" s="1" t="s">
        <v>5017</v>
      </c>
      <c r="G4184" s="1" t="s">
        <v>5018</v>
      </c>
      <c r="H4184" s="1">
        <v>0.1</v>
      </c>
      <c r="I4184" s="1">
        <v>0.1</v>
      </c>
      <c r="J4184" s="1">
        <v>0.75918302343339794</v>
      </c>
      <c r="K4184" s="1" t="s">
        <v>181</v>
      </c>
    </row>
    <row r="4185" spans="1:11" x14ac:dyDescent="0.25">
      <c r="A4185" s="1" t="s">
        <v>13170</v>
      </c>
      <c r="B4185" s="1" t="s">
        <v>13171</v>
      </c>
      <c r="D4185" s="1" t="s">
        <v>13172</v>
      </c>
      <c r="E4185" s="1" t="s">
        <v>209</v>
      </c>
      <c r="F4185" s="1" t="s">
        <v>5017</v>
      </c>
      <c r="G4185" s="1" t="s">
        <v>5018</v>
      </c>
      <c r="H4185" s="1">
        <v>0.1</v>
      </c>
      <c r="I4185" s="1">
        <v>0.1</v>
      </c>
      <c r="J4185" s="1">
        <v>0.55031422377894157</v>
      </c>
      <c r="K4185" s="1" t="s">
        <v>181</v>
      </c>
    </row>
    <row r="4186" spans="1:11" x14ac:dyDescent="0.25">
      <c r="A4186" s="1" t="s">
        <v>13173</v>
      </c>
      <c r="B4186" s="1" t="s">
        <v>13174</v>
      </c>
      <c r="D4186" s="1" t="s">
        <v>13175</v>
      </c>
      <c r="E4186" s="1" t="s">
        <v>209</v>
      </c>
      <c r="F4186" s="1" t="s">
        <v>5017</v>
      </c>
      <c r="G4186" s="1" t="s">
        <v>5018</v>
      </c>
      <c r="H4186" s="1">
        <v>0.1</v>
      </c>
      <c r="I4186" s="1">
        <v>0.1</v>
      </c>
      <c r="J4186" s="1">
        <v>0.65499401002069901</v>
      </c>
      <c r="K4186" s="1" t="s">
        <v>181</v>
      </c>
    </row>
    <row r="4187" spans="1:11" x14ac:dyDescent="0.25">
      <c r="A4187" s="1" t="s">
        <v>13176</v>
      </c>
      <c r="B4187" s="1" t="s">
        <v>13177</v>
      </c>
      <c r="D4187" s="1" t="s">
        <v>13178</v>
      </c>
      <c r="E4187" s="1" t="s">
        <v>209</v>
      </c>
      <c r="F4187" s="1" t="s">
        <v>5017</v>
      </c>
      <c r="G4187" s="1" t="s">
        <v>5018</v>
      </c>
      <c r="H4187" s="1">
        <v>0.1</v>
      </c>
      <c r="I4187" s="1">
        <v>0.1</v>
      </c>
      <c r="J4187" s="1">
        <v>0.58357149546810305</v>
      </c>
      <c r="K4187" s="1" t="s">
        <v>181</v>
      </c>
    </row>
    <row r="4188" spans="1:11" x14ac:dyDescent="0.25">
      <c r="A4188" s="1" t="s">
        <v>13179</v>
      </c>
      <c r="B4188" s="1" t="s">
        <v>13180</v>
      </c>
      <c r="D4188" s="1" t="s">
        <v>13181</v>
      </c>
      <c r="E4188" s="1" t="s">
        <v>209</v>
      </c>
      <c r="F4188" s="1" t="s">
        <v>5017</v>
      </c>
      <c r="G4188" s="1" t="s">
        <v>5018</v>
      </c>
      <c r="H4188" s="1">
        <v>0.1</v>
      </c>
      <c r="I4188" s="1">
        <v>0.1</v>
      </c>
      <c r="J4188" s="1">
        <v>0.67549974613985331</v>
      </c>
      <c r="K4188" s="1" t="s">
        <v>181</v>
      </c>
    </row>
    <row r="4189" spans="1:11" x14ac:dyDescent="0.25">
      <c r="A4189" s="1" t="s">
        <v>13182</v>
      </c>
      <c r="B4189" s="1" t="s">
        <v>13183</v>
      </c>
      <c r="D4189" s="1" t="s">
        <v>13184</v>
      </c>
      <c r="E4189" s="1" t="s">
        <v>209</v>
      </c>
      <c r="F4189" s="1" t="s">
        <v>5017</v>
      </c>
      <c r="G4189" s="1" t="s">
        <v>5018</v>
      </c>
      <c r="H4189" s="1">
        <v>0.1</v>
      </c>
      <c r="I4189" s="1">
        <v>0.1</v>
      </c>
      <c r="J4189" s="1">
        <v>0.65462333688465391</v>
      </c>
      <c r="K4189" s="1" t="s">
        <v>181</v>
      </c>
    </row>
    <row r="4190" spans="1:11" x14ac:dyDescent="0.25">
      <c r="A4190" s="1" t="s">
        <v>13185</v>
      </c>
      <c r="B4190" s="1" t="s">
        <v>13186</v>
      </c>
      <c r="D4190" s="1" t="s">
        <v>13187</v>
      </c>
      <c r="E4190" s="1" t="s">
        <v>209</v>
      </c>
      <c r="F4190" s="1" t="s">
        <v>5017</v>
      </c>
      <c r="G4190" s="1" t="s">
        <v>5018</v>
      </c>
      <c r="H4190" s="1">
        <v>0.1</v>
      </c>
      <c r="I4190" s="1">
        <v>0.1</v>
      </c>
      <c r="J4190" s="1">
        <v>0.74247268962843038</v>
      </c>
      <c r="K4190" s="1" t="s">
        <v>181</v>
      </c>
    </row>
    <row r="4191" spans="1:11" x14ac:dyDescent="0.25">
      <c r="A4191" s="1" t="s">
        <v>13188</v>
      </c>
      <c r="B4191" s="1" t="s">
        <v>13189</v>
      </c>
      <c r="D4191" s="1" t="s">
        <v>13190</v>
      </c>
      <c r="E4191" s="1" t="s">
        <v>209</v>
      </c>
      <c r="F4191" s="1" t="s">
        <v>5017</v>
      </c>
      <c r="G4191" s="1" t="s">
        <v>5018</v>
      </c>
      <c r="H4191" s="1">
        <v>0.1</v>
      </c>
      <c r="I4191" s="1">
        <v>0.1</v>
      </c>
      <c r="J4191" s="1">
        <v>0.51780219275523132</v>
      </c>
      <c r="K4191" s="1" t="s">
        <v>181</v>
      </c>
    </row>
    <row r="4192" spans="1:11" x14ac:dyDescent="0.25">
      <c r="A4192" s="1" t="s">
        <v>13191</v>
      </c>
      <c r="B4192" s="1" t="s">
        <v>13192</v>
      </c>
      <c r="D4192" s="1" t="s">
        <v>13193</v>
      </c>
      <c r="E4192" s="1" t="s">
        <v>209</v>
      </c>
      <c r="F4192" s="1" t="s">
        <v>5017</v>
      </c>
      <c r="G4192" s="1" t="s">
        <v>5018</v>
      </c>
      <c r="H4192" s="1">
        <v>0.1</v>
      </c>
      <c r="I4192" s="1">
        <v>0.1</v>
      </c>
      <c r="J4192" s="1">
        <v>0.5301952788394817</v>
      </c>
      <c r="K4192" s="1" t="s">
        <v>181</v>
      </c>
    </row>
    <row r="4193" spans="1:11" x14ac:dyDescent="0.25">
      <c r="A4193" s="1" t="s">
        <v>13194</v>
      </c>
      <c r="B4193" s="1" t="s">
        <v>13195</v>
      </c>
      <c r="D4193" s="1" t="s">
        <v>13196</v>
      </c>
      <c r="E4193" s="1" t="s">
        <v>209</v>
      </c>
      <c r="F4193" s="1" t="s">
        <v>5017</v>
      </c>
      <c r="G4193" s="1" t="s">
        <v>5018</v>
      </c>
      <c r="H4193" s="1">
        <v>0.1</v>
      </c>
      <c r="I4193" s="1">
        <v>0.1</v>
      </c>
      <c r="J4193" s="1">
        <v>0.63664669831845366</v>
      </c>
      <c r="K4193" s="1" t="s">
        <v>181</v>
      </c>
    </row>
    <row r="4194" spans="1:11" x14ac:dyDescent="0.25">
      <c r="A4194" s="1" t="s">
        <v>13197</v>
      </c>
      <c r="B4194" s="1" t="s">
        <v>13198</v>
      </c>
      <c r="D4194" s="1" t="s">
        <v>13199</v>
      </c>
      <c r="E4194" s="1" t="s">
        <v>209</v>
      </c>
      <c r="F4194" s="1" t="s">
        <v>5017</v>
      </c>
      <c r="G4194" s="1" t="s">
        <v>5018</v>
      </c>
      <c r="H4194" s="1">
        <v>0.1</v>
      </c>
      <c r="I4194" s="1">
        <v>0.1</v>
      </c>
      <c r="J4194" s="1">
        <v>0.76168209673320209</v>
      </c>
      <c r="K4194" s="1" t="s">
        <v>181</v>
      </c>
    </row>
    <row r="4195" spans="1:11" x14ac:dyDescent="0.25">
      <c r="A4195" s="1" t="s">
        <v>13200</v>
      </c>
      <c r="B4195" s="1" t="s">
        <v>13201</v>
      </c>
      <c r="D4195" s="1" t="s">
        <v>13202</v>
      </c>
      <c r="E4195" s="1" t="s">
        <v>209</v>
      </c>
      <c r="F4195" s="1" t="s">
        <v>5017</v>
      </c>
      <c r="G4195" s="1" t="s">
        <v>5018</v>
      </c>
      <c r="H4195" s="1">
        <v>0.1</v>
      </c>
      <c r="I4195" s="1">
        <v>0.1</v>
      </c>
      <c r="J4195" s="1">
        <v>0.62089108948681104</v>
      </c>
      <c r="K4195" s="1" t="s">
        <v>181</v>
      </c>
    </row>
    <row r="4196" spans="1:11" x14ac:dyDescent="0.25">
      <c r="A4196" s="1" t="s">
        <v>13203</v>
      </c>
      <c r="B4196" s="1" t="s">
        <v>13204</v>
      </c>
      <c r="D4196" s="1" t="s">
        <v>13205</v>
      </c>
      <c r="E4196" s="1" t="s">
        <v>209</v>
      </c>
      <c r="F4196" s="1" t="s">
        <v>5017</v>
      </c>
      <c r="G4196" s="1" t="s">
        <v>5018</v>
      </c>
      <c r="H4196" s="1">
        <v>0.1</v>
      </c>
      <c r="I4196" s="1">
        <v>0.1</v>
      </c>
      <c r="J4196" s="1">
        <v>0.79838869383631483</v>
      </c>
      <c r="K4196" s="1" t="s">
        <v>181</v>
      </c>
    </row>
    <row r="4197" spans="1:11" x14ac:dyDescent="0.25">
      <c r="A4197" s="1" t="s">
        <v>13206</v>
      </c>
      <c r="B4197" s="1" t="s">
        <v>13207</v>
      </c>
      <c r="D4197" s="1" t="s">
        <v>13208</v>
      </c>
      <c r="E4197" s="1" t="s">
        <v>209</v>
      </c>
      <c r="F4197" s="1" t="s">
        <v>5017</v>
      </c>
      <c r="G4197" s="1" t="s">
        <v>5018</v>
      </c>
      <c r="H4197" s="1">
        <v>0.1</v>
      </c>
      <c r="I4197" s="1">
        <v>0.1</v>
      </c>
      <c r="J4197" s="1">
        <v>0.77560546626086091</v>
      </c>
      <c r="K4197" s="1" t="s">
        <v>181</v>
      </c>
    </row>
    <row r="4198" spans="1:11" x14ac:dyDescent="0.25">
      <c r="A4198" s="1" t="s">
        <v>13209</v>
      </c>
      <c r="B4198" s="1" t="s">
        <v>13210</v>
      </c>
      <c r="D4198" s="1" t="s">
        <v>13211</v>
      </c>
      <c r="E4198" s="1" t="s">
        <v>209</v>
      </c>
      <c r="F4198" s="1" t="s">
        <v>5017</v>
      </c>
      <c r="G4198" s="1" t="s">
        <v>5018</v>
      </c>
      <c r="H4198" s="1">
        <v>0.1</v>
      </c>
      <c r="I4198" s="1">
        <v>0.1</v>
      </c>
      <c r="J4198" s="1">
        <v>0.88730135045766489</v>
      </c>
      <c r="K4198" s="1" t="s">
        <v>181</v>
      </c>
    </row>
    <row r="4199" spans="1:11" x14ac:dyDescent="0.25">
      <c r="A4199" s="1" t="s">
        <v>13212</v>
      </c>
      <c r="B4199" s="1" t="s">
        <v>13213</v>
      </c>
      <c r="D4199" s="1" t="s">
        <v>13214</v>
      </c>
      <c r="E4199" s="1" t="s">
        <v>209</v>
      </c>
      <c r="F4199" s="1" t="s">
        <v>5017</v>
      </c>
      <c r="G4199" s="1" t="s">
        <v>5018</v>
      </c>
      <c r="H4199" s="1">
        <v>0.1</v>
      </c>
      <c r="I4199" s="1">
        <v>0.1</v>
      </c>
      <c r="J4199" s="1">
        <v>0.591071976613609</v>
      </c>
      <c r="K4199" s="1" t="s">
        <v>181</v>
      </c>
    </row>
    <row r="4200" spans="1:11" x14ac:dyDescent="0.25">
      <c r="A4200" s="1" t="s">
        <v>13215</v>
      </c>
      <c r="B4200" s="1" t="s">
        <v>13216</v>
      </c>
      <c r="D4200" s="1" t="s">
        <v>13217</v>
      </c>
      <c r="E4200" s="1" t="s">
        <v>209</v>
      </c>
      <c r="F4200" s="1" t="s">
        <v>5017</v>
      </c>
      <c r="G4200" s="1" t="s">
        <v>5018</v>
      </c>
      <c r="H4200" s="1">
        <v>0.1</v>
      </c>
      <c r="I4200" s="1">
        <v>0.1</v>
      </c>
      <c r="J4200" s="1">
        <v>0.73984951358438633</v>
      </c>
      <c r="K4200" s="1" t="s">
        <v>181</v>
      </c>
    </row>
    <row r="4201" spans="1:11" x14ac:dyDescent="0.25">
      <c r="A4201" s="1" t="s">
        <v>13218</v>
      </c>
      <c r="B4201" s="1" t="s">
        <v>13219</v>
      </c>
      <c r="D4201" s="1" t="s">
        <v>13220</v>
      </c>
      <c r="E4201" s="1" t="s">
        <v>209</v>
      </c>
      <c r="F4201" s="1" t="s">
        <v>5017</v>
      </c>
      <c r="G4201" s="1" t="s">
        <v>5018</v>
      </c>
      <c r="H4201" s="1">
        <v>0.1</v>
      </c>
      <c r="I4201" s="1">
        <v>0.1</v>
      </c>
      <c r="J4201" s="1">
        <v>0.79765501914434433</v>
      </c>
      <c r="K4201" s="1" t="s">
        <v>181</v>
      </c>
    </row>
    <row r="4202" spans="1:11" x14ac:dyDescent="0.25">
      <c r="A4202" s="1" t="s">
        <v>13221</v>
      </c>
      <c r="B4202" s="1" t="s">
        <v>13222</v>
      </c>
      <c r="D4202" s="1" t="s">
        <v>13223</v>
      </c>
      <c r="E4202" s="1" t="s">
        <v>209</v>
      </c>
      <c r="F4202" s="1" t="s">
        <v>5017</v>
      </c>
      <c r="G4202" s="1" t="s">
        <v>5018</v>
      </c>
      <c r="H4202" s="1">
        <v>0.1</v>
      </c>
      <c r="I4202" s="1">
        <v>0.1</v>
      </c>
      <c r="J4202" s="1">
        <v>0.48581044156789105</v>
      </c>
      <c r="K4202" s="1" t="s">
        <v>181</v>
      </c>
    </row>
    <row r="4203" spans="1:11" x14ac:dyDescent="0.25">
      <c r="A4203" s="1" t="s">
        <v>13224</v>
      </c>
      <c r="B4203" s="1" t="s">
        <v>13225</v>
      </c>
      <c r="D4203" s="1" t="s">
        <v>13226</v>
      </c>
      <c r="E4203" s="1" t="s">
        <v>209</v>
      </c>
      <c r="F4203" s="1" t="s">
        <v>5017</v>
      </c>
      <c r="G4203" s="1" t="s">
        <v>5018</v>
      </c>
      <c r="H4203" s="1">
        <v>0.1</v>
      </c>
      <c r="I4203" s="1">
        <v>0.1</v>
      </c>
      <c r="J4203" s="1">
        <v>0.84106292988680731</v>
      </c>
      <c r="K4203" s="1" t="s">
        <v>181</v>
      </c>
    </row>
    <row r="4204" spans="1:11" x14ac:dyDescent="0.25">
      <c r="A4204" s="1" t="s">
        <v>13227</v>
      </c>
      <c r="B4204" s="1" t="s">
        <v>13228</v>
      </c>
      <c r="D4204" s="1" t="s">
        <v>13229</v>
      </c>
      <c r="E4204" s="1" t="s">
        <v>209</v>
      </c>
      <c r="F4204" s="1" t="s">
        <v>5017</v>
      </c>
      <c r="G4204" s="1" t="s">
        <v>5018</v>
      </c>
      <c r="H4204" s="1">
        <v>0.1</v>
      </c>
      <c r="I4204" s="1">
        <v>0.1</v>
      </c>
      <c r="J4204" s="1">
        <v>0.69664194105203248</v>
      </c>
      <c r="K4204" s="1" t="s">
        <v>181</v>
      </c>
    </row>
    <row r="4205" spans="1:11" x14ac:dyDescent="0.25">
      <c r="A4205" s="1" t="s">
        <v>13230</v>
      </c>
      <c r="B4205" s="1" t="s">
        <v>13231</v>
      </c>
      <c r="D4205" s="1" t="s">
        <v>13232</v>
      </c>
      <c r="E4205" s="1" t="s">
        <v>209</v>
      </c>
      <c r="F4205" s="1" t="s">
        <v>5017</v>
      </c>
      <c r="G4205" s="1" t="s">
        <v>5018</v>
      </c>
      <c r="H4205" s="1">
        <v>0.1</v>
      </c>
      <c r="I4205" s="1">
        <v>0.1</v>
      </c>
      <c r="J4205" s="1">
        <v>0.71967973917284833</v>
      </c>
      <c r="K4205" s="1" t="s">
        <v>181</v>
      </c>
    </row>
    <row r="4206" spans="1:11" x14ac:dyDescent="0.25">
      <c r="A4206" s="1" t="s">
        <v>13233</v>
      </c>
      <c r="B4206" s="1" t="s">
        <v>13234</v>
      </c>
      <c r="D4206" s="1" t="s">
        <v>13235</v>
      </c>
      <c r="E4206" s="1" t="s">
        <v>209</v>
      </c>
      <c r="F4206" s="1" t="s">
        <v>5017</v>
      </c>
      <c r="G4206" s="1" t="s">
        <v>5018</v>
      </c>
      <c r="H4206" s="1">
        <v>0.1</v>
      </c>
      <c r="I4206" s="1">
        <v>0.1</v>
      </c>
      <c r="J4206" s="1">
        <v>0.82710640530237556</v>
      </c>
      <c r="K4206" s="1" t="s">
        <v>181</v>
      </c>
    </row>
    <row r="4207" spans="1:11" x14ac:dyDescent="0.25">
      <c r="A4207" s="1" t="s">
        <v>13236</v>
      </c>
      <c r="B4207" s="1" t="s">
        <v>13237</v>
      </c>
      <c r="D4207" s="1" t="s">
        <v>13238</v>
      </c>
      <c r="E4207" s="1" t="s">
        <v>209</v>
      </c>
      <c r="F4207" s="1" t="s">
        <v>5017</v>
      </c>
      <c r="G4207" s="1" t="s">
        <v>5018</v>
      </c>
      <c r="H4207" s="1">
        <v>0.1</v>
      </c>
      <c r="I4207" s="1">
        <v>0.1</v>
      </c>
      <c r="J4207" s="1">
        <v>0.86230432183017225</v>
      </c>
      <c r="K4207" s="1" t="s">
        <v>181</v>
      </c>
    </row>
    <row r="4208" spans="1:11" x14ac:dyDescent="0.25">
      <c r="A4208" s="1" t="s">
        <v>13239</v>
      </c>
      <c r="B4208" s="1" t="s">
        <v>13240</v>
      </c>
      <c r="D4208" s="1" t="s">
        <v>13241</v>
      </c>
      <c r="E4208" s="1" t="s">
        <v>209</v>
      </c>
      <c r="F4208" s="1" t="s">
        <v>5017</v>
      </c>
      <c r="G4208" s="1" t="s">
        <v>5018</v>
      </c>
      <c r="H4208" s="1">
        <v>0.1</v>
      </c>
      <c r="I4208" s="1">
        <v>0.1</v>
      </c>
      <c r="J4208" s="1">
        <v>0.52174185198662049</v>
      </c>
      <c r="K4208" s="1" t="s">
        <v>181</v>
      </c>
    </row>
    <row r="4209" spans="1:11" x14ac:dyDescent="0.25">
      <c r="A4209" s="1" t="s">
        <v>13242</v>
      </c>
      <c r="B4209" s="1" t="s">
        <v>13243</v>
      </c>
      <c r="D4209" s="1" t="s">
        <v>13244</v>
      </c>
      <c r="E4209" s="1" t="s">
        <v>209</v>
      </c>
      <c r="F4209" s="1" t="s">
        <v>5017</v>
      </c>
      <c r="G4209" s="1" t="s">
        <v>5018</v>
      </c>
      <c r="H4209" s="1">
        <v>0.1</v>
      </c>
      <c r="I4209" s="1">
        <v>0.1</v>
      </c>
      <c r="J4209" s="1">
        <v>0.50214285770386158</v>
      </c>
      <c r="K4209" s="1" t="s">
        <v>181</v>
      </c>
    </row>
    <row r="4210" spans="1:11" x14ac:dyDescent="0.25">
      <c r="A4210" s="1" t="s">
        <v>13245</v>
      </c>
      <c r="B4210" s="1" t="s">
        <v>13246</v>
      </c>
      <c r="D4210" s="1" t="s">
        <v>13247</v>
      </c>
      <c r="E4210" s="1" t="s">
        <v>209</v>
      </c>
      <c r="F4210" s="1" t="s">
        <v>5017</v>
      </c>
      <c r="G4210" s="1" t="s">
        <v>5018</v>
      </c>
      <c r="H4210" s="1">
        <v>0.1</v>
      </c>
      <c r="I4210" s="1">
        <v>0.1</v>
      </c>
      <c r="J4210" s="1">
        <v>0.90251137198732312</v>
      </c>
      <c r="K4210" s="1" t="s">
        <v>181</v>
      </c>
    </row>
    <row r="4211" spans="1:11" x14ac:dyDescent="0.25">
      <c r="A4211" s="1" t="s">
        <v>13248</v>
      </c>
      <c r="B4211" s="1" t="s">
        <v>13249</v>
      </c>
      <c r="D4211" s="1" t="s">
        <v>13250</v>
      </c>
      <c r="E4211" s="1" t="s">
        <v>209</v>
      </c>
      <c r="F4211" s="1" t="s">
        <v>5017</v>
      </c>
      <c r="G4211" s="1" t="s">
        <v>5018</v>
      </c>
      <c r="H4211" s="1">
        <v>0.1</v>
      </c>
      <c r="I4211" s="1">
        <v>0.1</v>
      </c>
      <c r="J4211" s="1">
        <v>0.81458168835549238</v>
      </c>
      <c r="K4211" s="1" t="s">
        <v>181</v>
      </c>
    </row>
    <row r="4212" spans="1:11" x14ac:dyDescent="0.25">
      <c r="A4212" s="1" t="s">
        <v>13251</v>
      </c>
      <c r="B4212" s="1" t="s">
        <v>13252</v>
      </c>
      <c r="D4212" s="1" t="s">
        <v>13253</v>
      </c>
      <c r="E4212" s="1" t="s">
        <v>209</v>
      </c>
      <c r="F4212" s="1" t="s">
        <v>5017</v>
      </c>
      <c r="G4212" s="1" t="s">
        <v>5018</v>
      </c>
      <c r="H4212" s="1">
        <v>0.1</v>
      </c>
      <c r="I4212" s="1">
        <v>0.1</v>
      </c>
      <c r="J4212" s="1">
        <v>0.9061831598971507</v>
      </c>
      <c r="K4212" s="1" t="s">
        <v>181</v>
      </c>
    </row>
    <row r="4213" spans="1:11" x14ac:dyDescent="0.25">
      <c r="A4213" s="1" t="s">
        <v>13254</v>
      </c>
      <c r="B4213" s="1" t="s">
        <v>13255</v>
      </c>
      <c r="D4213" s="1" t="s">
        <v>13256</v>
      </c>
      <c r="E4213" s="1" t="s">
        <v>209</v>
      </c>
      <c r="F4213" s="1" t="s">
        <v>5017</v>
      </c>
      <c r="G4213" s="1" t="s">
        <v>5018</v>
      </c>
      <c r="H4213" s="1">
        <v>0.1</v>
      </c>
      <c r="I4213" s="1">
        <v>0.1</v>
      </c>
      <c r="J4213" s="1">
        <v>0.7308269202485268</v>
      </c>
      <c r="K4213" s="1" t="s">
        <v>181</v>
      </c>
    </row>
    <row r="4214" spans="1:11" x14ac:dyDescent="0.25">
      <c r="A4214" s="1" t="s">
        <v>13257</v>
      </c>
      <c r="B4214" s="1" t="s">
        <v>13258</v>
      </c>
      <c r="D4214" s="1" t="s">
        <v>13259</v>
      </c>
      <c r="E4214" s="1" t="s">
        <v>209</v>
      </c>
      <c r="F4214" s="1" t="s">
        <v>5017</v>
      </c>
      <c r="G4214" s="1" t="s">
        <v>5018</v>
      </c>
      <c r="H4214" s="1">
        <v>0.1</v>
      </c>
      <c r="I4214" s="1">
        <v>0.1</v>
      </c>
      <c r="J4214" s="1">
        <v>0.50396754437067826</v>
      </c>
      <c r="K4214" s="1" t="s">
        <v>181</v>
      </c>
    </row>
    <row r="4215" spans="1:11" x14ac:dyDescent="0.25">
      <c r="A4215" s="1" t="s">
        <v>13260</v>
      </c>
      <c r="B4215" s="1" t="s">
        <v>13261</v>
      </c>
      <c r="D4215" s="1" t="s">
        <v>13262</v>
      </c>
      <c r="E4215" s="1" t="s">
        <v>209</v>
      </c>
      <c r="F4215" s="1" t="s">
        <v>5017</v>
      </c>
      <c r="G4215" s="1" t="s">
        <v>5018</v>
      </c>
      <c r="H4215" s="1">
        <v>0.1</v>
      </c>
      <c r="I4215" s="1">
        <v>0.1</v>
      </c>
      <c r="J4215" s="1">
        <v>0.66899851523381515</v>
      </c>
      <c r="K4215" s="1" t="s">
        <v>181</v>
      </c>
    </row>
    <row r="4216" spans="1:11" x14ac:dyDescent="0.25">
      <c r="A4216" s="1" t="s">
        <v>13263</v>
      </c>
      <c r="B4216" s="1" t="s">
        <v>13264</v>
      </c>
      <c r="D4216" s="1" t="s">
        <v>13265</v>
      </c>
      <c r="E4216" s="1" t="s">
        <v>209</v>
      </c>
      <c r="F4216" s="1" t="s">
        <v>5017</v>
      </c>
      <c r="G4216" s="1" t="s">
        <v>5018</v>
      </c>
      <c r="H4216" s="1">
        <v>0.1</v>
      </c>
      <c r="I4216" s="1">
        <v>0.1</v>
      </c>
      <c r="J4216" s="1">
        <v>0.63979954938000272</v>
      </c>
      <c r="K4216" s="1" t="s">
        <v>181</v>
      </c>
    </row>
    <row r="4217" spans="1:11" x14ac:dyDescent="0.25">
      <c r="A4217" s="1" t="s">
        <v>13266</v>
      </c>
      <c r="B4217" s="1" t="s">
        <v>13267</v>
      </c>
      <c r="D4217" s="1" t="s">
        <v>13268</v>
      </c>
      <c r="E4217" s="1" t="s">
        <v>209</v>
      </c>
      <c r="F4217" s="1" t="s">
        <v>5017</v>
      </c>
      <c r="G4217" s="1" t="s">
        <v>5018</v>
      </c>
      <c r="H4217" s="1">
        <v>0.1</v>
      </c>
      <c r="I4217" s="1">
        <v>0.1</v>
      </c>
      <c r="J4217" s="1">
        <v>0.9359055704736774</v>
      </c>
      <c r="K4217" s="1" t="s">
        <v>181</v>
      </c>
    </row>
    <row r="4218" spans="1:11" x14ac:dyDescent="0.25">
      <c r="A4218" s="1" t="s">
        <v>13269</v>
      </c>
      <c r="B4218" s="1" t="s">
        <v>13270</v>
      </c>
      <c r="D4218" s="1" t="s">
        <v>13271</v>
      </c>
      <c r="E4218" s="1" t="s">
        <v>209</v>
      </c>
      <c r="F4218" s="1" t="s">
        <v>5017</v>
      </c>
      <c r="G4218" s="1" t="s">
        <v>5018</v>
      </c>
      <c r="H4218" s="1">
        <v>0.1</v>
      </c>
      <c r="I4218" s="1">
        <v>0.1</v>
      </c>
      <c r="J4218" s="1">
        <v>0.91263549606555061</v>
      </c>
      <c r="K4218" s="1" t="s">
        <v>181</v>
      </c>
    </row>
    <row r="4219" spans="1:11" x14ac:dyDescent="0.25">
      <c r="A4219" s="1" t="s">
        <v>13272</v>
      </c>
      <c r="B4219" s="1" t="s">
        <v>13273</v>
      </c>
      <c r="D4219" s="1" t="s">
        <v>13274</v>
      </c>
      <c r="E4219" s="1" t="s">
        <v>209</v>
      </c>
      <c r="F4219" s="1" t="s">
        <v>5017</v>
      </c>
      <c r="G4219" s="1" t="s">
        <v>5018</v>
      </c>
      <c r="H4219" s="1">
        <v>0.1</v>
      </c>
      <c r="I4219" s="1">
        <v>0.1</v>
      </c>
      <c r="J4219" s="1">
        <v>0.84256103599108223</v>
      </c>
      <c r="K4219" s="1" t="s">
        <v>181</v>
      </c>
    </row>
    <row r="4220" spans="1:11" x14ac:dyDescent="0.25">
      <c r="A4220" s="1" t="s">
        <v>13275</v>
      </c>
      <c r="B4220" s="1" t="s">
        <v>13276</v>
      </c>
      <c r="D4220" s="1" t="s">
        <v>13277</v>
      </c>
      <c r="E4220" s="1" t="s">
        <v>209</v>
      </c>
      <c r="F4220" s="1" t="s">
        <v>5017</v>
      </c>
      <c r="G4220" s="1" t="s">
        <v>5018</v>
      </c>
      <c r="H4220" s="1">
        <v>0.1</v>
      </c>
      <c r="I4220" s="1">
        <v>0.1</v>
      </c>
      <c r="J4220" s="1">
        <v>0.70382425614502175</v>
      </c>
      <c r="K4220" s="1" t="s">
        <v>181</v>
      </c>
    </row>
    <row r="4221" spans="1:11" x14ac:dyDescent="0.25">
      <c r="A4221" s="1" t="s">
        <v>13278</v>
      </c>
      <c r="B4221" s="1" t="s">
        <v>13279</v>
      </c>
      <c r="D4221" s="1" t="s">
        <v>13280</v>
      </c>
      <c r="E4221" s="1" t="s">
        <v>209</v>
      </c>
      <c r="F4221" s="1" t="s">
        <v>5017</v>
      </c>
      <c r="G4221" s="1" t="s">
        <v>5018</v>
      </c>
      <c r="H4221" s="1">
        <v>0.1</v>
      </c>
      <c r="I4221" s="1">
        <v>0.1</v>
      </c>
      <c r="J4221" s="1">
        <v>0.98937979230511575</v>
      </c>
      <c r="K4221" s="1" t="s">
        <v>181</v>
      </c>
    </row>
    <row r="4222" spans="1:11" x14ac:dyDescent="0.25">
      <c r="A4222" s="1" t="s">
        <v>13281</v>
      </c>
      <c r="B4222" s="1" t="s">
        <v>13282</v>
      </c>
      <c r="D4222" s="1" t="s">
        <v>13283</v>
      </c>
      <c r="E4222" s="1" t="s">
        <v>209</v>
      </c>
      <c r="F4222" s="1" t="s">
        <v>5017</v>
      </c>
      <c r="G4222" s="1" t="s">
        <v>5018</v>
      </c>
      <c r="H4222" s="1">
        <v>0.1</v>
      </c>
      <c r="I4222" s="1">
        <v>0.1</v>
      </c>
      <c r="J4222" s="1">
        <v>0.79080313617083431</v>
      </c>
      <c r="K4222" s="1" t="s">
        <v>181</v>
      </c>
    </row>
    <row r="4223" spans="1:11" x14ac:dyDescent="0.25">
      <c r="A4223" s="1" t="s">
        <v>13284</v>
      </c>
      <c r="B4223" s="1" t="s">
        <v>13285</v>
      </c>
      <c r="D4223" s="1" t="s">
        <v>13286</v>
      </c>
      <c r="E4223" s="1" t="s">
        <v>209</v>
      </c>
      <c r="F4223" s="1" t="s">
        <v>5017</v>
      </c>
      <c r="G4223" s="1" t="s">
        <v>5018</v>
      </c>
      <c r="H4223" s="1">
        <v>0.1</v>
      </c>
      <c r="I4223" s="1">
        <v>0.1</v>
      </c>
      <c r="J4223" s="1">
        <v>0.81418504236876377</v>
      </c>
      <c r="K4223" s="1" t="s">
        <v>181</v>
      </c>
    </row>
    <row r="4224" spans="1:11" x14ac:dyDescent="0.25">
      <c r="A4224" s="1" t="s">
        <v>13287</v>
      </c>
      <c r="B4224" s="1" t="s">
        <v>13288</v>
      </c>
      <c r="D4224" s="1" t="s">
        <v>13289</v>
      </c>
      <c r="E4224" s="1" t="s">
        <v>209</v>
      </c>
      <c r="F4224" s="1" t="s">
        <v>5017</v>
      </c>
      <c r="G4224" s="1" t="s">
        <v>5018</v>
      </c>
      <c r="H4224" s="1">
        <v>0.1</v>
      </c>
      <c r="I4224" s="1">
        <v>0.1</v>
      </c>
      <c r="J4224" s="1">
        <v>0.8963391355047583</v>
      </c>
      <c r="K4224" s="1" t="s">
        <v>181</v>
      </c>
    </row>
    <row r="4225" spans="1:11" x14ac:dyDescent="0.25">
      <c r="A4225" s="1" t="s">
        <v>13290</v>
      </c>
      <c r="B4225" s="1" t="s">
        <v>13291</v>
      </c>
      <c r="D4225" s="1" t="s">
        <v>13292</v>
      </c>
      <c r="E4225" s="1" t="s">
        <v>209</v>
      </c>
      <c r="F4225" s="1" t="s">
        <v>5017</v>
      </c>
      <c r="G4225" s="1" t="s">
        <v>5018</v>
      </c>
      <c r="H4225" s="1">
        <v>0.1</v>
      </c>
      <c r="I4225" s="1">
        <v>0.1</v>
      </c>
      <c r="J4225" s="1">
        <v>0.87658277296227061</v>
      </c>
      <c r="K4225" s="1" t="s">
        <v>181</v>
      </c>
    </row>
    <row r="4226" spans="1:11" x14ac:dyDescent="0.25">
      <c r="A4226" s="1" t="s">
        <v>13293</v>
      </c>
      <c r="B4226" s="1" t="s">
        <v>13294</v>
      </c>
      <c r="D4226" s="1" t="s">
        <v>13295</v>
      </c>
      <c r="E4226" s="1" t="s">
        <v>209</v>
      </c>
      <c r="F4226" s="1" t="s">
        <v>5017</v>
      </c>
      <c r="G4226" s="1" t="s">
        <v>5018</v>
      </c>
      <c r="H4226" s="1">
        <v>0.1</v>
      </c>
      <c r="I4226" s="1">
        <v>0.1</v>
      </c>
      <c r="J4226" s="1">
        <v>0.94337892822492742</v>
      </c>
      <c r="K4226" s="1" t="s">
        <v>181</v>
      </c>
    </row>
    <row r="4227" spans="1:11" x14ac:dyDescent="0.25">
      <c r="A4227" s="1" t="s">
        <v>13296</v>
      </c>
      <c r="B4227" s="1" t="s">
        <v>13297</v>
      </c>
      <c r="D4227" s="1" t="s">
        <v>13298</v>
      </c>
      <c r="E4227" s="1" t="s">
        <v>209</v>
      </c>
      <c r="F4227" s="1" t="s">
        <v>5017</v>
      </c>
      <c r="G4227" s="1" t="s">
        <v>5018</v>
      </c>
      <c r="H4227" s="1">
        <v>0.1</v>
      </c>
      <c r="I4227" s="1">
        <v>0.1</v>
      </c>
      <c r="J4227" s="1">
        <v>0.72711120593529732</v>
      </c>
      <c r="K4227" s="1" t="s">
        <v>181</v>
      </c>
    </row>
    <row r="4228" spans="1:11" x14ac:dyDescent="0.25">
      <c r="A4228" s="1" t="s">
        <v>13299</v>
      </c>
      <c r="B4228" s="1" t="s">
        <v>13300</v>
      </c>
      <c r="D4228" s="1" t="s">
        <v>13301</v>
      </c>
      <c r="E4228" s="1" t="s">
        <v>209</v>
      </c>
      <c r="F4228" s="1" t="s">
        <v>5017</v>
      </c>
      <c r="G4228" s="1" t="s">
        <v>5018</v>
      </c>
      <c r="H4228" s="1">
        <v>0.1</v>
      </c>
      <c r="I4228" s="1">
        <v>0.1</v>
      </c>
      <c r="J4228" s="1">
        <v>0.94360690201164832</v>
      </c>
      <c r="K4228" s="1" t="s">
        <v>181</v>
      </c>
    </row>
    <row r="4229" spans="1:11" x14ac:dyDescent="0.25">
      <c r="A4229" s="1" t="s">
        <v>13302</v>
      </c>
      <c r="B4229" s="1" t="s">
        <v>13303</v>
      </c>
      <c r="D4229" s="1" t="s">
        <v>13304</v>
      </c>
      <c r="E4229" s="1" t="s">
        <v>209</v>
      </c>
      <c r="F4229" s="1" t="s">
        <v>5017</v>
      </c>
      <c r="G4229" s="1" t="s">
        <v>5018</v>
      </c>
      <c r="H4229" s="1">
        <v>0.1</v>
      </c>
      <c r="I4229" s="1">
        <v>0.1</v>
      </c>
      <c r="J4229" s="1">
        <v>1.0053085811828768</v>
      </c>
      <c r="K4229" s="1" t="s">
        <v>181</v>
      </c>
    </row>
    <row r="4230" spans="1:11" x14ac:dyDescent="0.25">
      <c r="A4230" s="1" t="s">
        <v>34</v>
      </c>
      <c r="B4230" s="1" t="s">
        <v>13305</v>
      </c>
      <c r="D4230" s="1" t="s">
        <v>13306</v>
      </c>
      <c r="E4230" s="1" t="s">
        <v>209</v>
      </c>
      <c r="F4230" s="1" t="s">
        <v>5017</v>
      </c>
      <c r="G4230" s="1" t="s">
        <v>5018</v>
      </c>
      <c r="H4230" s="1">
        <v>0.1</v>
      </c>
      <c r="I4230" s="1">
        <v>0.1</v>
      </c>
      <c r="J4230" s="1">
        <v>0.77451373873931195</v>
      </c>
      <c r="K4230" s="1" t="s">
        <v>181</v>
      </c>
    </row>
    <row r="4231" spans="1:11" x14ac:dyDescent="0.25">
      <c r="A4231" s="1" t="s">
        <v>13307</v>
      </c>
      <c r="B4231" s="1" t="s">
        <v>13308</v>
      </c>
      <c r="D4231" s="1" t="s">
        <v>13309</v>
      </c>
      <c r="E4231" s="1" t="s">
        <v>209</v>
      </c>
      <c r="F4231" s="1" t="s">
        <v>5017</v>
      </c>
      <c r="G4231" s="1" t="s">
        <v>5018</v>
      </c>
      <c r="H4231" s="1">
        <v>0.1</v>
      </c>
      <c r="I4231" s="1">
        <v>0.1</v>
      </c>
      <c r="J4231" s="1">
        <v>0.77266642081968961</v>
      </c>
      <c r="K4231" s="1" t="s">
        <v>181</v>
      </c>
    </row>
    <row r="4232" spans="1:11" x14ac:dyDescent="0.25">
      <c r="A4232" s="1" t="s">
        <v>13310</v>
      </c>
      <c r="B4232" s="1" t="s">
        <v>13311</v>
      </c>
      <c r="D4232" s="1" t="s">
        <v>13312</v>
      </c>
      <c r="E4232" s="1" t="s">
        <v>209</v>
      </c>
      <c r="F4232" s="1" t="s">
        <v>5017</v>
      </c>
      <c r="G4232" s="1" t="s">
        <v>5018</v>
      </c>
      <c r="H4232" s="1">
        <v>0.1</v>
      </c>
      <c r="I4232" s="1">
        <v>0.1</v>
      </c>
      <c r="J4232" s="1">
        <v>0.80533446340234482</v>
      </c>
      <c r="K4232" s="1" t="s">
        <v>181</v>
      </c>
    </row>
    <row r="4233" spans="1:11" x14ac:dyDescent="0.25">
      <c r="A4233" s="1" t="s">
        <v>13313</v>
      </c>
      <c r="B4233" s="1" t="s">
        <v>13314</v>
      </c>
      <c r="D4233" s="1" t="s">
        <v>13315</v>
      </c>
      <c r="E4233" s="1" t="s">
        <v>209</v>
      </c>
      <c r="F4233" s="1" t="s">
        <v>5017</v>
      </c>
      <c r="G4233" s="1" t="s">
        <v>5018</v>
      </c>
      <c r="H4233" s="1">
        <v>0.1</v>
      </c>
      <c r="I4233" s="1">
        <v>0.1</v>
      </c>
      <c r="J4233" s="1">
        <v>0.79999893704157743</v>
      </c>
      <c r="K4233" s="1" t="s">
        <v>181</v>
      </c>
    </row>
    <row r="4234" spans="1:11" x14ac:dyDescent="0.25">
      <c r="A4234" s="1" t="s">
        <v>13316</v>
      </c>
      <c r="B4234" s="1" t="s">
        <v>13317</v>
      </c>
      <c r="D4234" s="1" t="s">
        <v>13318</v>
      </c>
      <c r="E4234" s="1" t="s">
        <v>209</v>
      </c>
      <c r="F4234" s="1" t="s">
        <v>5017</v>
      </c>
      <c r="G4234" s="1" t="s">
        <v>5018</v>
      </c>
      <c r="H4234" s="1">
        <v>0.1</v>
      </c>
      <c r="I4234" s="1">
        <v>0.1</v>
      </c>
      <c r="J4234" s="1">
        <v>0.7538244992433536</v>
      </c>
      <c r="K4234" s="1" t="s">
        <v>181</v>
      </c>
    </row>
    <row r="4235" spans="1:11" x14ac:dyDescent="0.25">
      <c r="A4235" s="1" t="s">
        <v>13319</v>
      </c>
      <c r="B4235" s="1" t="s">
        <v>13320</v>
      </c>
      <c r="D4235" s="1" t="s">
        <v>13321</v>
      </c>
      <c r="E4235" s="1" t="s">
        <v>209</v>
      </c>
      <c r="F4235" s="1" t="s">
        <v>5017</v>
      </c>
      <c r="G4235" s="1" t="s">
        <v>5018</v>
      </c>
      <c r="H4235" s="1">
        <v>0.1</v>
      </c>
      <c r="I4235" s="1">
        <v>0.1</v>
      </c>
      <c r="J4235" s="1">
        <v>0.63764923349602365</v>
      </c>
      <c r="K4235" s="1" t="s">
        <v>181</v>
      </c>
    </row>
    <row r="4236" spans="1:11" x14ac:dyDescent="0.25">
      <c r="A4236" s="1" t="s">
        <v>13322</v>
      </c>
      <c r="B4236" s="1" t="s">
        <v>13323</v>
      </c>
      <c r="D4236" s="1" t="s">
        <v>13324</v>
      </c>
      <c r="E4236" s="1" t="s">
        <v>209</v>
      </c>
      <c r="F4236" s="1" t="s">
        <v>5017</v>
      </c>
      <c r="G4236" s="1" t="s">
        <v>5018</v>
      </c>
      <c r="H4236" s="1">
        <v>0.1</v>
      </c>
      <c r="I4236" s="1">
        <v>0.1</v>
      </c>
      <c r="J4236" s="1">
        <v>0.76943306515403564</v>
      </c>
      <c r="K4236" s="1" t="s">
        <v>181</v>
      </c>
    </row>
    <row r="4237" spans="1:11" x14ac:dyDescent="0.25">
      <c r="A4237" s="1" t="s">
        <v>13325</v>
      </c>
      <c r="B4237" s="1" t="s">
        <v>13326</v>
      </c>
      <c r="D4237" s="1" t="s">
        <v>13327</v>
      </c>
      <c r="E4237" s="1" t="s">
        <v>209</v>
      </c>
      <c r="F4237" s="1" t="s">
        <v>5017</v>
      </c>
      <c r="G4237" s="1" t="s">
        <v>5018</v>
      </c>
      <c r="H4237" s="1">
        <v>0.1</v>
      </c>
      <c r="I4237" s="1">
        <v>0.1</v>
      </c>
      <c r="J4237" s="1">
        <v>0.62046313484924942</v>
      </c>
      <c r="K4237" s="1" t="s">
        <v>181</v>
      </c>
    </row>
    <row r="4238" spans="1:11" x14ac:dyDescent="0.25">
      <c r="A4238" s="1" t="s">
        <v>13328</v>
      </c>
      <c r="B4238" s="1" t="s">
        <v>13329</v>
      </c>
      <c r="D4238" s="1" t="s">
        <v>13330</v>
      </c>
      <c r="E4238" s="1" t="s">
        <v>209</v>
      </c>
      <c r="F4238" s="1" t="s">
        <v>5017</v>
      </c>
      <c r="G4238" s="1" t="s">
        <v>5018</v>
      </c>
      <c r="H4238" s="1">
        <v>0.1</v>
      </c>
      <c r="I4238" s="1">
        <v>0.1</v>
      </c>
      <c r="J4238" s="1">
        <v>0.57294852561947773</v>
      </c>
      <c r="K4238" s="1" t="s">
        <v>181</v>
      </c>
    </row>
    <row r="4239" spans="1:11" x14ac:dyDescent="0.25">
      <c r="A4239" s="1" t="s">
        <v>13331</v>
      </c>
      <c r="B4239" s="1" t="s">
        <v>13332</v>
      </c>
      <c r="D4239" s="1" t="s">
        <v>13333</v>
      </c>
      <c r="E4239" s="1" t="s">
        <v>209</v>
      </c>
      <c r="F4239" s="1" t="s">
        <v>5017</v>
      </c>
      <c r="G4239" s="1" t="s">
        <v>5018</v>
      </c>
      <c r="H4239" s="1">
        <v>0.1</v>
      </c>
      <c r="I4239" s="1">
        <v>0.1</v>
      </c>
      <c r="J4239" s="1">
        <v>0.62838030885929608</v>
      </c>
      <c r="K4239" s="1" t="s">
        <v>181</v>
      </c>
    </row>
    <row r="4240" spans="1:11" x14ac:dyDescent="0.25">
      <c r="A4240" s="1" t="s">
        <v>13334</v>
      </c>
      <c r="B4240" s="1" t="s">
        <v>13335</v>
      </c>
      <c r="D4240" s="1" t="s">
        <v>13336</v>
      </c>
      <c r="E4240" s="1" t="s">
        <v>209</v>
      </c>
      <c r="F4240" s="1" t="s">
        <v>5017</v>
      </c>
      <c r="G4240" s="1" t="s">
        <v>5018</v>
      </c>
      <c r="H4240" s="1">
        <v>0.1</v>
      </c>
      <c r="I4240" s="1">
        <v>0.1</v>
      </c>
      <c r="J4240" s="1">
        <v>0.54453378314018408</v>
      </c>
      <c r="K4240" s="1" t="s">
        <v>181</v>
      </c>
    </row>
    <row r="4241" spans="1:11" x14ac:dyDescent="0.25">
      <c r="A4241" s="1" t="s">
        <v>13337</v>
      </c>
      <c r="B4241" s="1" t="s">
        <v>13338</v>
      </c>
      <c r="D4241" s="1" t="s">
        <v>13339</v>
      </c>
      <c r="E4241" s="1" t="s">
        <v>209</v>
      </c>
      <c r="F4241" s="1" t="s">
        <v>5017</v>
      </c>
      <c r="G4241" s="1" t="s">
        <v>5018</v>
      </c>
      <c r="H4241" s="1">
        <v>0.1</v>
      </c>
      <c r="I4241" s="1">
        <v>0.1</v>
      </c>
      <c r="J4241" s="1">
        <v>0.53732822809553415</v>
      </c>
      <c r="K4241" s="1" t="s">
        <v>181</v>
      </c>
    </row>
    <row r="4242" spans="1:11" x14ac:dyDescent="0.25">
      <c r="A4242" s="1" t="s">
        <v>13340</v>
      </c>
      <c r="B4242" s="1" t="s">
        <v>13341</v>
      </c>
      <c r="D4242" s="1" t="s">
        <v>13342</v>
      </c>
      <c r="E4242" s="1" t="s">
        <v>209</v>
      </c>
      <c r="F4242" s="1" t="s">
        <v>5017</v>
      </c>
      <c r="G4242" s="1" t="s">
        <v>5018</v>
      </c>
      <c r="H4242" s="1">
        <v>0.1</v>
      </c>
      <c r="I4242" s="1">
        <v>0.1</v>
      </c>
      <c r="J4242" s="1">
        <v>0.82748109001934955</v>
      </c>
      <c r="K4242" s="1" t="s">
        <v>181</v>
      </c>
    </row>
    <row r="4243" spans="1:11" x14ac:dyDescent="0.25">
      <c r="A4243" s="1" t="s">
        <v>13343</v>
      </c>
      <c r="B4243" s="1" t="s">
        <v>13344</v>
      </c>
      <c r="D4243" s="1" t="s">
        <v>13345</v>
      </c>
      <c r="E4243" s="1" t="s">
        <v>209</v>
      </c>
      <c r="F4243" s="1" t="s">
        <v>5017</v>
      </c>
      <c r="G4243" s="1" t="s">
        <v>5018</v>
      </c>
      <c r="H4243" s="1">
        <v>0.1</v>
      </c>
      <c r="I4243" s="1">
        <v>0.1</v>
      </c>
      <c r="J4243" s="1">
        <v>0.83816590184378803</v>
      </c>
      <c r="K4243" s="1" t="s">
        <v>181</v>
      </c>
    </row>
    <row r="4244" spans="1:11" x14ac:dyDescent="0.25">
      <c r="A4244" s="1" t="s">
        <v>13346</v>
      </c>
      <c r="B4244" s="1" t="s">
        <v>13347</v>
      </c>
      <c r="D4244" s="1" t="s">
        <v>13348</v>
      </c>
      <c r="E4244" s="1" t="s">
        <v>209</v>
      </c>
      <c r="F4244" s="1" t="s">
        <v>5017</v>
      </c>
      <c r="G4244" s="1" t="s">
        <v>5018</v>
      </c>
      <c r="H4244" s="1">
        <v>0.1</v>
      </c>
      <c r="I4244" s="1">
        <v>0.1</v>
      </c>
      <c r="J4244" s="1">
        <v>0.85279516223424834</v>
      </c>
      <c r="K4244" s="1" t="s">
        <v>181</v>
      </c>
    </row>
    <row r="4245" spans="1:11" x14ac:dyDescent="0.25">
      <c r="A4245" s="1" t="s">
        <v>13349</v>
      </c>
      <c r="B4245" s="1" t="s">
        <v>13350</v>
      </c>
      <c r="D4245" s="1" t="s">
        <v>13351</v>
      </c>
      <c r="E4245" s="1" t="s">
        <v>209</v>
      </c>
      <c r="F4245" s="1" t="s">
        <v>5017</v>
      </c>
      <c r="G4245" s="1" t="s">
        <v>5018</v>
      </c>
      <c r="H4245" s="1">
        <v>0.1</v>
      </c>
      <c r="I4245" s="1">
        <v>0.1</v>
      </c>
      <c r="J4245" s="1">
        <v>0.91129712982146416</v>
      </c>
      <c r="K4245" s="1" t="s">
        <v>181</v>
      </c>
    </row>
    <row r="4246" spans="1:11" x14ac:dyDescent="0.25">
      <c r="A4246" s="1" t="s">
        <v>13352</v>
      </c>
      <c r="B4246" s="1" t="s">
        <v>13353</v>
      </c>
      <c r="D4246" s="1" t="s">
        <v>13354</v>
      </c>
      <c r="E4246" s="1" t="s">
        <v>209</v>
      </c>
      <c r="F4246" s="1" t="s">
        <v>5017</v>
      </c>
      <c r="G4246" s="1" t="s">
        <v>5018</v>
      </c>
      <c r="H4246" s="1">
        <v>0.1</v>
      </c>
      <c r="I4246" s="1">
        <v>0.1</v>
      </c>
      <c r="J4246" s="1">
        <v>0.80817944165051769</v>
      </c>
      <c r="K4246" s="1" t="s">
        <v>181</v>
      </c>
    </row>
    <row r="4247" spans="1:11" x14ac:dyDescent="0.25">
      <c r="A4247" s="1" t="s">
        <v>13355</v>
      </c>
      <c r="B4247" s="1" t="s">
        <v>13356</v>
      </c>
      <c r="D4247" s="1" t="s">
        <v>13357</v>
      </c>
      <c r="E4247" s="1" t="s">
        <v>209</v>
      </c>
      <c r="F4247" s="1" t="s">
        <v>5017</v>
      </c>
      <c r="G4247" s="1" t="s">
        <v>5018</v>
      </c>
      <c r="H4247" s="1">
        <v>0.1</v>
      </c>
      <c r="I4247" s="1">
        <v>0.1</v>
      </c>
      <c r="J4247" s="1">
        <v>0.53541290865674829</v>
      </c>
      <c r="K4247" s="1" t="s">
        <v>181</v>
      </c>
    </row>
    <row r="4248" spans="1:11" x14ac:dyDescent="0.25">
      <c r="A4248" s="1" t="s">
        <v>13358</v>
      </c>
      <c r="B4248" s="1" t="s">
        <v>13359</v>
      </c>
      <c r="D4248" s="1" t="s">
        <v>13360</v>
      </c>
      <c r="E4248" s="1" t="s">
        <v>209</v>
      </c>
      <c r="F4248" s="1" t="s">
        <v>5017</v>
      </c>
      <c r="G4248" s="1" t="s">
        <v>5018</v>
      </c>
      <c r="H4248" s="1">
        <v>0.1</v>
      </c>
      <c r="I4248" s="1">
        <v>0.1</v>
      </c>
      <c r="J4248" s="1">
        <v>0.54428861632638725</v>
      </c>
      <c r="K4248" s="1" t="s">
        <v>181</v>
      </c>
    </row>
    <row r="4249" spans="1:11" x14ac:dyDescent="0.25">
      <c r="A4249" s="1" t="s">
        <v>13361</v>
      </c>
      <c r="B4249" s="1" t="s">
        <v>13362</v>
      </c>
      <c r="D4249" s="1" t="s">
        <v>13363</v>
      </c>
      <c r="E4249" s="1" t="s">
        <v>209</v>
      </c>
      <c r="F4249" s="1" t="s">
        <v>5017</v>
      </c>
      <c r="G4249" s="1" t="s">
        <v>5018</v>
      </c>
      <c r="H4249" s="1">
        <v>0.1</v>
      </c>
      <c r="I4249" s="1">
        <v>0.1</v>
      </c>
      <c r="J4249" s="1">
        <v>0.66836848660665182</v>
      </c>
      <c r="K4249" s="1" t="s">
        <v>181</v>
      </c>
    </row>
    <row r="4250" spans="1:11" x14ac:dyDescent="0.25">
      <c r="A4250" s="1" t="s">
        <v>13364</v>
      </c>
      <c r="B4250" s="1" t="s">
        <v>13365</v>
      </c>
      <c r="D4250" s="1" t="s">
        <v>13366</v>
      </c>
      <c r="E4250" s="1" t="s">
        <v>209</v>
      </c>
      <c r="F4250" s="1" t="s">
        <v>5017</v>
      </c>
      <c r="G4250" s="1" t="s">
        <v>5018</v>
      </c>
      <c r="H4250" s="1">
        <v>0.1</v>
      </c>
      <c r="I4250" s="1">
        <v>0.1</v>
      </c>
      <c r="J4250" s="1">
        <v>0.89695900778880733</v>
      </c>
      <c r="K4250" s="1" t="s">
        <v>181</v>
      </c>
    </row>
    <row r="4251" spans="1:11" x14ac:dyDescent="0.25">
      <c r="A4251" s="1" t="s">
        <v>13367</v>
      </c>
      <c r="B4251" s="1" t="s">
        <v>13368</v>
      </c>
      <c r="D4251" s="1" t="s">
        <v>13369</v>
      </c>
      <c r="E4251" s="1" t="s">
        <v>209</v>
      </c>
      <c r="F4251" s="1" t="s">
        <v>5017</v>
      </c>
      <c r="G4251" s="1" t="s">
        <v>5018</v>
      </c>
      <c r="H4251" s="1">
        <v>0.1</v>
      </c>
      <c r="I4251" s="1">
        <v>0.1</v>
      </c>
      <c r="J4251" s="1">
        <v>0.51003835729810165</v>
      </c>
      <c r="K4251" s="1" t="s">
        <v>181</v>
      </c>
    </row>
    <row r="4252" spans="1:11" x14ac:dyDescent="0.25">
      <c r="A4252" s="1" t="s">
        <v>13370</v>
      </c>
      <c r="B4252" s="1" t="s">
        <v>13371</v>
      </c>
      <c r="D4252" s="1" t="s">
        <v>13372</v>
      </c>
      <c r="E4252" s="1" t="s">
        <v>209</v>
      </c>
      <c r="F4252" s="1" t="s">
        <v>5017</v>
      </c>
      <c r="G4252" s="1" t="s">
        <v>5018</v>
      </c>
      <c r="H4252" s="1">
        <v>0.1</v>
      </c>
      <c r="I4252" s="1">
        <v>0.1</v>
      </c>
      <c r="J4252" s="1">
        <v>0.69725275567755485</v>
      </c>
      <c r="K4252" s="1" t="s">
        <v>181</v>
      </c>
    </row>
    <row r="4253" spans="1:11" x14ac:dyDescent="0.25">
      <c r="A4253" s="1" t="s">
        <v>13373</v>
      </c>
      <c r="B4253" s="1" t="s">
        <v>13374</v>
      </c>
      <c r="D4253" s="1" t="s">
        <v>13375</v>
      </c>
      <c r="E4253" s="1" t="s">
        <v>209</v>
      </c>
      <c r="F4253" s="1" t="s">
        <v>5017</v>
      </c>
      <c r="G4253" s="1" t="s">
        <v>5018</v>
      </c>
      <c r="H4253" s="1">
        <v>0.1</v>
      </c>
      <c r="I4253" s="1">
        <v>0.1</v>
      </c>
      <c r="J4253" s="1">
        <v>0.82895286718793737</v>
      </c>
      <c r="K4253" s="1" t="s">
        <v>181</v>
      </c>
    </row>
    <row r="4254" spans="1:11" x14ac:dyDescent="0.25">
      <c r="A4254" s="1" t="s">
        <v>13376</v>
      </c>
      <c r="B4254" s="1" t="s">
        <v>13377</v>
      </c>
      <c r="D4254" s="1" t="s">
        <v>13378</v>
      </c>
      <c r="E4254" s="1" t="s">
        <v>209</v>
      </c>
      <c r="F4254" s="1" t="s">
        <v>5017</v>
      </c>
      <c r="G4254" s="1" t="s">
        <v>5018</v>
      </c>
      <c r="H4254" s="1">
        <v>0.1</v>
      </c>
      <c r="I4254" s="1">
        <v>0.1</v>
      </c>
      <c r="J4254" s="1">
        <v>0.71479119479833486</v>
      </c>
      <c r="K4254" s="1" t="s">
        <v>181</v>
      </c>
    </row>
    <row r="4255" spans="1:11" x14ac:dyDescent="0.25">
      <c r="A4255" s="1" t="s">
        <v>13379</v>
      </c>
      <c r="B4255" s="1" t="s">
        <v>13380</v>
      </c>
      <c r="D4255" s="1" t="s">
        <v>13381</v>
      </c>
      <c r="E4255" s="1" t="s">
        <v>209</v>
      </c>
      <c r="F4255" s="1" t="s">
        <v>5017</v>
      </c>
      <c r="G4255" s="1" t="s">
        <v>5018</v>
      </c>
      <c r="H4255" s="1">
        <v>0.1</v>
      </c>
      <c r="I4255" s="1">
        <v>0.1</v>
      </c>
      <c r="J4255" s="1">
        <v>0.63402953476689872</v>
      </c>
      <c r="K4255" s="1" t="s">
        <v>181</v>
      </c>
    </row>
    <row r="4256" spans="1:11" x14ac:dyDescent="0.25">
      <c r="A4256" s="1" t="s">
        <v>13382</v>
      </c>
      <c r="B4256" s="1" t="s">
        <v>13383</v>
      </c>
      <c r="D4256" s="1" t="s">
        <v>13384</v>
      </c>
      <c r="E4256" s="1" t="s">
        <v>209</v>
      </c>
      <c r="F4256" s="1" t="s">
        <v>5017</v>
      </c>
      <c r="G4256" s="1" t="s">
        <v>5018</v>
      </c>
      <c r="H4256" s="1">
        <v>0.1</v>
      </c>
      <c r="I4256" s="1">
        <v>0.1</v>
      </c>
      <c r="J4256" s="1">
        <v>0.79322673346405792</v>
      </c>
      <c r="K4256" s="1" t="s">
        <v>181</v>
      </c>
    </row>
    <row r="4257" spans="1:11" x14ac:dyDescent="0.25">
      <c r="A4257" s="1" t="s">
        <v>13385</v>
      </c>
      <c r="B4257" s="1" t="s">
        <v>13386</v>
      </c>
      <c r="D4257" s="1" t="s">
        <v>13387</v>
      </c>
      <c r="E4257" s="1" t="s">
        <v>209</v>
      </c>
      <c r="F4257" s="1" t="s">
        <v>5017</v>
      </c>
      <c r="G4257" s="1" t="s">
        <v>5018</v>
      </c>
      <c r="H4257" s="1">
        <v>0.1</v>
      </c>
      <c r="I4257" s="1">
        <v>0.1</v>
      </c>
      <c r="J4257" s="1">
        <v>0.80882612037375057</v>
      </c>
      <c r="K4257" s="1" t="s">
        <v>181</v>
      </c>
    </row>
    <row r="4258" spans="1:11" x14ac:dyDescent="0.25">
      <c r="A4258" s="1" t="s">
        <v>13388</v>
      </c>
      <c r="B4258" s="1" t="s">
        <v>13389</v>
      </c>
      <c r="D4258" s="1" t="s">
        <v>13390</v>
      </c>
      <c r="E4258" s="1" t="s">
        <v>209</v>
      </c>
      <c r="F4258" s="1" t="s">
        <v>5017</v>
      </c>
      <c r="G4258" s="1" t="s">
        <v>5018</v>
      </c>
      <c r="H4258" s="1">
        <v>0.1</v>
      </c>
      <c r="I4258" s="1">
        <v>0.1</v>
      </c>
      <c r="J4258" s="1">
        <v>0.67880177582928347</v>
      </c>
      <c r="K4258" s="1" t="s">
        <v>181</v>
      </c>
    </row>
    <row r="4259" spans="1:11" x14ac:dyDescent="0.25">
      <c r="A4259" s="1" t="s">
        <v>13391</v>
      </c>
      <c r="B4259" s="1" t="s">
        <v>13392</v>
      </c>
      <c r="D4259" s="1" t="s">
        <v>13393</v>
      </c>
      <c r="E4259" s="1" t="s">
        <v>209</v>
      </c>
      <c r="F4259" s="1" t="s">
        <v>5017</v>
      </c>
      <c r="G4259" s="1" t="s">
        <v>5018</v>
      </c>
      <c r="H4259" s="1">
        <v>0.1</v>
      </c>
      <c r="I4259" s="1">
        <v>0.1</v>
      </c>
      <c r="J4259" s="1">
        <v>0.54855534096171399</v>
      </c>
      <c r="K4259" s="1" t="s">
        <v>181</v>
      </c>
    </row>
    <row r="4260" spans="1:11" x14ac:dyDescent="0.25">
      <c r="A4260" s="1" t="s">
        <v>13394</v>
      </c>
      <c r="B4260" s="1" t="s">
        <v>13395</v>
      </c>
      <c r="D4260" s="1" t="s">
        <v>13396</v>
      </c>
      <c r="E4260" s="1" t="s">
        <v>209</v>
      </c>
      <c r="F4260" s="1" t="s">
        <v>5017</v>
      </c>
      <c r="G4260" s="1" t="s">
        <v>5018</v>
      </c>
      <c r="H4260" s="1">
        <v>0.1</v>
      </c>
      <c r="I4260" s="1">
        <v>0.1</v>
      </c>
      <c r="J4260" s="1">
        <v>0.63383991071577805</v>
      </c>
      <c r="K4260" s="1" t="s">
        <v>181</v>
      </c>
    </row>
    <row r="4261" spans="1:11" x14ac:dyDescent="0.25">
      <c r="A4261" s="1" t="s">
        <v>13397</v>
      </c>
      <c r="B4261" s="1" t="s">
        <v>13398</v>
      </c>
      <c r="D4261" s="1" t="s">
        <v>13399</v>
      </c>
      <c r="E4261" s="1" t="s">
        <v>209</v>
      </c>
      <c r="F4261" s="1" t="s">
        <v>5017</v>
      </c>
      <c r="G4261" s="1" t="s">
        <v>5018</v>
      </c>
      <c r="H4261" s="1">
        <v>0.1</v>
      </c>
      <c r="I4261" s="1">
        <v>0.1</v>
      </c>
      <c r="J4261" s="1">
        <v>0.69886000777337864</v>
      </c>
      <c r="K4261" s="1" t="s">
        <v>181</v>
      </c>
    </row>
    <row r="4262" spans="1:11" x14ac:dyDescent="0.25">
      <c r="A4262" s="1" t="s">
        <v>13400</v>
      </c>
      <c r="B4262" s="1" t="s">
        <v>13401</v>
      </c>
      <c r="D4262" s="1" t="s">
        <v>13402</v>
      </c>
      <c r="E4262" s="1" t="s">
        <v>209</v>
      </c>
      <c r="F4262" s="1" t="s">
        <v>5017</v>
      </c>
      <c r="G4262" s="1" t="s">
        <v>5018</v>
      </c>
      <c r="H4262" s="1">
        <v>0.1</v>
      </c>
      <c r="I4262" s="1">
        <v>0.1</v>
      </c>
      <c r="J4262" s="1">
        <v>0.83615275300967296</v>
      </c>
      <c r="K4262" s="1" t="s">
        <v>181</v>
      </c>
    </row>
    <row r="4263" spans="1:11" x14ac:dyDescent="0.25">
      <c r="A4263" s="1" t="s">
        <v>13403</v>
      </c>
      <c r="B4263" s="1" t="s">
        <v>13404</v>
      </c>
      <c r="D4263" s="1" t="s">
        <v>13405</v>
      </c>
      <c r="E4263" s="1" t="s">
        <v>209</v>
      </c>
      <c r="F4263" s="1" t="s">
        <v>5017</v>
      </c>
      <c r="G4263" s="1" t="s">
        <v>5018</v>
      </c>
      <c r="H4263" s="1">
        <v>0.1</v>
      </c>
      <c r="I4263" s="1">
        <v>0.1</v>
      </c>
      <c r="J4263" s="1">
        <v>0.54474824890369133</v>
      </c>
      <c r="K4263" s="1" t="s">
        <v>181</v>
      </c>
    </row>
    <row r="4264" spans="1:11" x14ac:dyDescent="0.25">
      <c r="A4264" s="1" t="s">
        <v>13406</v>
      </c>
      <c r="B4264" s="1" t="s">
        <v>13407</v>
      </c>
      <c r="D4264" s="1" t="s">
        <v>13408</v>
      </c>
      <c r="E4264" s="1" t="s">
        <v>209</v>
      </c>
      <c r="F4264" s="1" t="s">
        <v>5017</v>
      </c>
      <c r="G4264" s="1" t="s">
        <v>5018</v>
      </c>
      <c r="H4264" s="1">
        <v>0.1</v>
      </c>
      <c r="I4264" s="1">
        <v>0.1</v>
      </c>
      <c r="J4264" s="1">
        <v>0.75437012330649678</v>
      </c>
      <c r="K4264" s="1" t="s">
        <v>181</v>
      </c>
    </row>
    <row r="4265" spans="1:11" x14ac:dyDescent="0.25">
      <c r="A4265" s="1" t="s">
        <v>13409</v>
      </c>
      <c r="B4265" s="1" t="s">
        <v>13410</v>
      </c>
      <c r="D4265" s="1" t="s">
        <v>13411</v>
      </c>
      <c r="E4265" s="1" t="s">
        <v>209</v>
      </c>
      <c r="F4265" s="1" t="s">
        <v>5017</v>
      </c>
      <c r="G4265" s="1" t="s">
        <v>5018</v>
      </c>
      <c r="H4265" s="1">
        <v>0.1</v>
      </c>
      <c r="I4265" s="1">
        <v>0.1</v>
      </c>
      <c r="J4265" s="1">
        <v>0.62891234771704929</v>
      </c>
      <c r="K4265" s="1" t="s">
        <v>181</v>
      </c>
    </row>
    <row r="4266" spans="1:11" x14ac:dyDescent="0.25">
      <c r="A4266" s="1" t="s">
        <v>13412</v>
      </c>
      <c r="B4266" s="1" t="s">
        <v>13413</v>
      </c>
      <c r="D4266" s="1" t="s">
        <v>13414</v>
      </c>
      <c r="E4266" s="1" t="s">
        <v>209</v>
      </c>
      <c r="F4266" s="1" t="s">
        <v>5017</v>
      </c>
      <c r="G4266" s="1" t="s">
        <v>5018</v>
      </c>
      <c r="H4266" s="1">
        <v>0.1</v>
      </c>
      <c r="I4266" s="1">
        <v>0.1</v>
      </c>
      <c r="J4266" s="1">
        <v>0.44348988209145362</v>
      </c>
      <c r="K4266" s="1" t="s">
        <v>181</v>
      </c>
    </row>
    <row r="4267" spans="1:11" x14ac:dyDescent="0.25">
      <c r="A4267" s="1" t="s">
        <v>13415</v>
      </c>
      <c r="B4267" s="1" t="s">
        <v>13416</v>
      </c>
      <c r="D4267" s="1" t="s">
        <v>13417</v>
      </c>
      <c r="E4267" s="1" t="s">
        <v>209</v>
      </c>
      <c r="F4267" s="1" t="s">
        <v>5017</v>
      </c>
      <c r="G4267" s="1" t="s">
        <v>5018</v>
      </c>
      <c r="H4267" s="1">
        <v>0.1</v>
      </c>
      <c r="I4267" s="1">
        <v>0.1</v>
      </c>
      <c r="J4267" s="1">
        <v>0.5064949450458659</v>
      </c>
      <c r="K4267" s="1" t="s">
        <v>181</v>
      </c>
    </row>
    <row r="4268" spans="1:11" x14ac:dyDescent="0.25">
      <c r="A4268" s="1" t="s">
        <v>13418</v>
      </c>
      <c r="B4268" s="1" t="s">
        <v>13419</v>
      </c>
      <c r="D4268" s="1" t="s">
        <v>13420</v>
      </c>
      <c r="E4268" s="1" t="s">
        <v>209</v>
      </c>
      <c r="F4268" s="1" t="s">
        <v>5017</v>
      </c>
      <c r="G4268" s="1" t="s">
        <v>5018</v>
      </c>
      <c r="H4268" s="1">
        <v>0.1</v>
      </c>
      <c r="I4268" s="1">
        <v>0.1</v>
      </c>
      <c r="J4268" s="1">
        <v>0.51504815279135152</v>
      </c>
      <c r="K4268" s="1" t="s">
        <v>181</v>
      </c>
    </row>
    <row r="4269" spans="1:11" x14ac:dyDescent="0.25">
      <c r="A4269" s="1" t="s">
        <v>13421</v>
      </c>
      <c r="B4269" s="1" t="s">
        <v>13422</v>
      </c>
      <c r="D4269" s="1" t="s">
        <v>13423</v>
      </c>
      <c r="E4269" s="1" t="s">
        <v>209</v>
      </c>
      <c r="F4269" s="1" t="s">
        <v>5017</v>
      </c>
      <c r="G4269" s="1" t="s">
        <v>5018</v>
      </c>
      <c r="H4269" s="1">
        <v>0.1</v>
      </c>
      <c r="I4269" s="1">
        <v>0.1</v>
      </c>
      <c r="J4269" s="1">
        <v>0.50923708300617243</v>
      </c>
      <c r="K4269" s="1" t="s">
        <v>181</v>
      </c>
    </row>
    <row r="4270" spans="1:11" x14ac:dyDescent="0.25">
      <c r="A4270" s="1" t="s">
        <v>13424</v>
      </c>
      <c r="B4270" s="1" t="s">
        <v>13425</v>
      </c>
      <c r="D4270" s="1" t="s">
        <v>13426</v>
      </c>
      <c r="E4270" s="1" t="s">
        <v>209</v>
      </c>
      <c r="F4270" s="1" t="s">
        <v>5017</v>
      </c>
      <c r="G4270" s="1" t="s">
        <v>5018</v>
      </c>
      <c r="H4270" s="1">
        <v>0.1</v>
      </c>
      <c r="I4270" s="1">
        <v>0.1</v>
      </c>
      <c r="J4270" s="1">
        <v>0.74761429913379784</v>
      </c>
      <c r="K4270" s="1" t="s">
        <v>181</v>
      </c>
    </row>
    <row r="4271" spans="1:11" x14ac:dyDescent="0.25">
      <c r="A4271" s="1" t="s">
        <v>13427</v>
      </c>
      <c r="B4271" s="1" t="s">
        <v>13428</v>
      </c>
      <c r="D4271" s="1" t="s">
        <v>13429</v>
      </c>
      <c r="E4271" s="1" t="s">
        <v>209</v>
      </c>
      <c r="F4271" s="1" t="s">
        <v>5017</v>
      </c>
      <c r="G4271" s="1" t="s">
        <v>5018</v>
      </c>
      <c r="H4271" s="1">
        <v>0.1</v>
      </c>
      <c r="I4271" s="1">
        <v>0.1</v>
      </c>
      <c r="J4271" s="1">
        <v>0.62167575561204125</v>
      </c>
      <c r="K4271" s="1" t="s">
        <v>181</v>
      </c>
    </row>
    <row r="4272" spans="1:11" x14ac:dyDescent="0.25">
      <c r="A4272" s="1" t="s">
        <v>13430</v>
      </c>
      <c r="B4272" s="1" t="s">
        <v>13431</v>
      </c>
      <c r="D4272" s="1" t="s">
        <v>13432</v>
      </c>
      <c r="E4272" s="1" t="s">
        <v>209</v>
      </c>
      <c r="F4272" s="1" t="s">
        <v>5017</v>
      </c>
      <c r="G4272" s="1" t="s">
        <v>5018</v>
      </c>
      <c r="H4272" s="1">
        <v>0.1</v>
      </c>
      <c r="I4272" s="1">
        <v>0.1</v>
      </c>
      <c r="J4272" s="1">
        <v>0.46998902575350737</v>
      </c>
      <c r="K4272" s="1" t="s">
        <v>181</v>
      </c>
    </row>
    <row r="4273" spans="1:11" x14ac:dyDescent="0.25">
      <c r="A4273" s="1" t="s">
        <v>13433</v>
      </c>
      <c r="B4273" s="1" t="s">
        <v>13434</v>
      </c>
      <c r="D4273" s="1" t="s">
        <v>13435</v>
      </c>
      <c r="E4273" s="1" t="s">
        <v>209</v>
      </c>
      <c r="F4273" s="1" t="s">
        <v>5017</v>
      </c>
      <c r="G4273" s="1" t="s">
        <v>5018</v>
      </c>
      <c r="H4273" s="1">
        <v>0.1</v>
      </c>
      <c r="I4273" s="1">
        <v>0.1</v>
      </c>
      <c r="J4273" s="1">
        <v>0.72696768273663315</v>
      </c>
      <c r="K4273" s="1" t="s">
        <v>181</v>
      </c>
    </row>
    <row r="4274" spans="1:11" x14ac:dyDescent="0.25">
      <c r="A4274" s="1" t="s">
        <v>98</v>
      </c>
      <c r="B4274" s="1" t="s">
        <v>13436</v>
      </c>
      <c r="D4274" s="1" t="s">
        <v>13437</v>
      </c>
      <c r="E4274" s="1" t="s">
        <v>209</v>
      </c>
      <c r="F4274" s="1" t="s">
        <v>5017</v>
      </c>
      <c r="G4274" s="1" t="s">
        <v>5018</v>
      </c>
      <c r="H4274" s="1">
        <v>0.1</v>
      </c>
      <c r="I4274" s="1">
        <v>0.1</v>
      </c>
      <c r="J4274" s="1">
        <v>0.70419494017674611</v>
      </c>
      <c r="K4274" s="1" t="s">
        <v>181</v>
      </c>
    </row>
    <row r="4275" spans="1:11" x14ac:dyDescent="0.25">
      <c r="A4275" s="1" t="s">
        <v>13438</v>
      </c>
      <c r="B4275" s="1" t="s">
        <v>13439</v>
      </c>
      <c r="D4275" s="1" t="s">
        <v>13440</v>
      </c>
      <c r="E4275" s="1" t="s">
        <v>209</v>
      </c>
      <c r="F4275" s="1" t="s">
        <v>5017</v>
      </c>
      <c r="G4275" s="1" t="s">
        <v>5018</v>
      </c>
      <c r="H4275" s="1">
        <v>0.1</v>
      </c>
      <c r="I4275" s="1">
        <v>0.1</v>
      </c>
      <c r="J4275" s="1">
        <v>0.52727511560452189</v>
      </c>
      <c r="K4275" s="1" t="s">
        <v>181</v>
      </c>
    </row>
    <row r="4276" spans="1:11" x14ac:dyDescent="0.25">
      <c r="A4276" s="1" t="s">
        <v>114</v>
      </c>
      <c r="B4276" s="1" t="s">
        <v>13441</v>
      </c>
      <c r="D4276" s="1" t="s">
        <v>13442</v>
      </c>
      <c r="E4276" s="1" t="s">
        <v>209</v>
      </c>
      <c r="F4276" s="1" t="s">
        <v>5017</v>
      </c>
      <c r="G4276" s="1" t="s">
        <v>5018</v>
      </c>
      <c r="H4276" s="1">
        <v>0.1</v>
      </c>
      <c r="I4276" s="1">
        <v>0.1</v>
      </c>
      <c r="J4276" s="1">
        <v>0.46449807997513315</v>
      </c>
      <c r="K4276" s="1" t="s">
        <v>181</v>
      </c>
    </row>
    <row r="4277" spans="1:11" x14ac:dyDescent="0.25">
      <c r="A4277" s="1" t="s">
        <v>13443</v>
      </c>
      <c r="B4277" s="1" t="s">
        <v>13444</v>
      </c>
      <c r="D4277" s="1" t="s">
        <v>13445</v>
      </c>
      <c r="E4277" s="1" t="s">
        <v>209</v>
      </c>
      <c r="F4277" s="1" t="s">
        <v>5017</v>
      </c>
      <c r="G4277" s="1" t="s">
        <v>5018</v>
      </c>
      <c r="H4277" s="1">
        <v>0.1</v>
      </c>
      <c r="I4277" s="1">
        <v>0.1</v>
      </c>
      <c r="J4277" s="1">
        <v>0.60577448128291633</v>
      </c>
      <c r="K4277" s="1" t="s">
        <v>181</v>
      </c>
    </row>
    <row r="4278" spans="1:11" x14ac:dyDescent="0.25">
      <c r="A4278" s="1" t="s">
        <v>13446</v>
      </c>
      <c r="B4278" s="1" t="s">
        <v>13447</v>
      </c>
      <c r="D4278" s="1" t="s">
        <v>13448</v>
      </c>
      <c r="E4278" s="1" t="s">
        <v>209</v>
      </c>
      <c r="F4278" s="1" t="s">
        <v>5017</v>
      </c>
      <c r="G4278" s="1" t="s">
        <v>5018</v>
      </c>
      <c r="H4278" s="1">
        <v>0.1</v>
      </c>
      <c r="I4278" s="1">
        <v>0.1</v>
      </c>
      <c r="J4278" s="1">
        <v>0.57253001261287251</v>
      </c>
      <c r="K4278" s="1" t="s">
        <v>181</v>
      </c>
    </row>
    <row r="4279" spans="1:11" x14ac:dyDescent="0.25">
      <c r="A4279" s="1" t="s">
        <v>13449</v>
      </c>
      <c r="B4279" s="1" t="s">
        <v>13450</v>
      </c>
      <c r="D4279" s="1" t="s">
        <v>13451</v>
      </c>
      <c r="E4279" s="1" t="s">
        <v>209</v>
      </c>
      <c r="F4279" s="1" t="s">
        <v>5017</v>
      </c>
      <c r="G4279" s="1" t="s">
        <v>5018</v>
      </c>
      <c r="H4279" s="1">
        <v>0.1</v>
      </c>
      <c r="I4279" s="1">
        <v>0.1</v>
      </c>
      <c r="J4279" s="1">
        <v>0.67381959110842837</v>
      </c>
      <c r="K4279" s="1" t="s">
        <v>181</v>
      </c>
    </row>
    <row r="4280" spans="1:11" x14ac:dyDescent="0.25">
      <c r="A4280" s="1" t="s">
        <v>13452</v>
      </c>
      <c r="B4280" s="1" t="s">
        <v>13453</v>
      </c>
      <c r="D4280" s="1" t="s">
        <v>13454</v>
      </c>
      <c r="E4280" s="1" t="s">
        <v>209</v>
      </c>
      <c r="F4280" s="1" t="s">
        <v>5017</v>
      </c>
      <c r="G4280" s="1" t="s">
        <v>5018</v>
      </c>
      <c r="H4280" s="1">
        <v>0.1</v>
      </c>
      <c r="I4280" s="1">
        <v>0.1</v>
      </c>
      <c r="J4280" s="1">
        <v>0.6332473042321175</v>
      </c>
      <c r="K4280" s="1" t="s">
        <v>181</v>
      </c>
    </row>
    <row r="4281" spans="1:11" x14ac:dyDescent="0.25">
      <c r="A4281" s="1" t="s">
        <v>13455</v>
      </c>
      <c r="B4281" s="1" t="s">
        <v>13456</v>
      </c>
      <c r="D4281" s="1" t="s">
        <v>13457</v>
      </c>
      <c r="E4281" s="1" t="s">
        <v>209</v>
      </c>
      <c r="F4281" s="1" t="s">
        <v>5017</v>
      </c>
      <c r="G4281" s="1" t="s">
        <v>5018</v>
      </c>
      <c r="H4281" s="1">
        <v>0.1</v>
      </c>
      <c r="I4281" s="1">
        <v>0.1</v>
      </c>
      <c r="J4281" s="1">
        <v>0.60352885667578482</v>
      </c>
      <c r="K4281" s="1" t="s">
        <v>181</v>
      </c>
    </row>
    <row r="4282" spans="1:11" x14ac:dyDescent="0.25">
      <c r="A4282" s="1" t="s">
        <v>13458</v>
      </c>
      <c r="B4282" s="1" t="s">
        <v>13459</v>
      </c>
      <c r="D4282" s="1" t="s">
        <v>13460</v>
      </c>
      <c r="E4282" s="1" t="s">
        <v>209</v>
      </c>
      <c r="F4282" s="1" t="s">
        <v>5017</v>
      </c>
      <c r="G4282" s="1" t="s">
        <v>5018</v>
      </c>
      <c r="H4282" s="1">
        <v>0.1</v>
      </c>
      <c r="I4282" s="1">
        <v>0.1</v>
      </c>
      <c r="J4282" s="1">
        <v>0.91577152116569038</v>
      </c>
      <c r="K4282" s="1" t="s">
        <v>181</v>
      </c>
    </row>
    <row r="4283" spans="1:11" x14ac:dyDescent="0.25">
      <c r="A4283" s="1" t="s">
        <v>13461</v>
      </c>
      <c r="B4283" s="1" t="s">
        <v>13462</v>
      </c>
      <c r="D4283" s="1" t="s">
        <v>13463</v>
      </c>
      <c r="E4283" s="1" t="s">
        <v>209</v>
      </c>
      <c r="F4283" s="1" t="s">
        <v>5017</v>
      </c>
      <c r="G4283" s="1" t="s">
        <v>5018</v>
      </c>
      <c r="H4283" s="1">
        <v>0.1</v>
      </c>
      <c r="I4283" s="1">
        <v>0.1</v>
      </c>
      <c r="J4283" s="1">
        <v>0.9194071982081311</v>
      </c>
      <c r="K4283" s="1" t="s">
        <v>181</v>
      </c>
    </row>
    <row r="4284" spans="1:11" x14ac:dyDescent="0.25">
      <c r="A4284" s="1" t="s">
        <v>13464</v>
      </c>
      <c r="B4284" s="1" t="s">
        <v>13465</v>
      </c>
      <c r="D4284" s="1" t="s">
        <v>13466</v>
      </c>
      <c r="E4284" s="1" t="s">
        <v>209</v>
      </c>
      <c r="F4284" s="1" t="s">
        <v>5017</v>
      </c>
      <c r="G4284" s="1" t="s">
        <v>5018</v>
      </c>
      <c r="H4284" s="1">
        <v>0.1</v>
      </c>
      <c r="I4284" s="1">
        <v>0.1</v>
      </c>
      <c r="J4284" s="1">
        <v>0.45125662120554894</v>
      </c>
      <c r="K4284" s="1" t="s">
        <v>181</v>
      </c>
    </row>
    <row r="4285" spans="1:11" x14ac:dyDescent="0.25">
      <c r="A4285" s="1" t="s">
        <v>13467</v>
      </c>
      <c r="B4285" s="1" t="s">
        <v>13468</v>
      </c>
      <c r="D4285" s="1" t="s">
        <v>13469</v>
      </c>
      <c r="E4285" s="1" t="s">
        <v>209</v>
      </c>
      <c r="F4285" s="1" t="s">
        <v>5017</v>
      </c>
      <c r="G4285" s="1" t="s">
        <v>5018</v>
      </c>
      <c r="H4285" s="1">
        <v>0.1</v>
      </c>
      <c r="I4285" s="1">
        <v>0.1</v>
      </c>
      <c r="J4285" s="1">
        <v>0.43902690114800663</v>
      </c>
      <c r="K4285" s="1" t="s">
        <v>181</v>
      </c>
    </row>
    <row r="4286" spans="1:11" x14ac:dyDescent="0.25">
      <c r="A4286" s="1" t="s">
        <v>13470</v>
      </c>
      <c r="B4286" s="1" t="s">
        <v>13471</v>
      </c>
      <c r="D4286" s="1" t="s">
        <v>13472</v>
      </c>
      <c r="E4286" s="1" t="s">
        <v>209</v>
      </c>
      <c r="F4286" s="1" t="s">
        <v>5017</v>
      </c>
      <c r="G4286" s="1" t="s">
        <v>5018</v>
      </c>
      <c r="H4286" s="1">
        <v>0.1</v>
      </c>
      <c r="I4286" s="1">
        <v>0.1</v>
      </c>
      <c r="J4286" s="1">
        <v>0.60061991451147279</v>
      </c>
      <c r="K4286" s="1" t="s">
        <v>181</v>
      </c>
    </row>
    <row r="4287" spans="1:11" x14ac:dyDescent="0.25">
      <c r="A4287" s="1" t="s">
        <v>13473</v>
      </c>
      <c r="B4287" s="1" t="s">
        <v>13474</v>
      </c>
      <c r="D4287" s="1" t="s">
        <v>13475</v>
      </c>
      <c r="E4287" s="1" t="s">
        <v>209</v>
      </c>
      <c r="F4287" s="1" t="s">
        <v>5017</v>
      </c>
      <c r="G4287" s="1" t="s">
        <v>5018</v>
      </c>
      <c r="H4287" s="1">
        <v>0.1</v>
      </c>
      <c r="I4287" s="1">
        <v>0.1</v>
      </c>
      <c r="J4287" s="1">
        <v>0.6349224371798966</v>
      </c>
      <c r="K4287" s="1" t="s">
        <v>181</v>
      </c>
    </row>
    <row r="4288" spans="1:11" x14ac:dyDescent="0.25">
      <c r="A4288" s="1" t="s">
        <v>13476</v>
      </c>
      <c r="B4288" s="1" t="s">
        <v>13477</v>
      </c>
      <c r="D4288" s="1" t="s">
        <v>13478</v>
      </c>
      <c r="E4288" s="1" t="s">
        <v>209</v>
      </c>
      <c r="F4288" s="1" t="s">
        <v>5017</v>
      </c>
      <c r="G4288" s="1" t="s">
        <v>5018</v>
      </c>
      <c r="H4288" s="1">
        <v>0.1</v>
      </c>
      <c r="I4288" s="1">
        <v>0.1</v>
      </c>
      <c r="J4288" s="1">
        <v>0.68605258550402259</v>
      </c>
      <c r="K4288" s="1" t="s">
        <v>181</v>
      </c>
    </row>
    <row r="4289" spans="1:11" x14ac:dyDescent="0.25">
      <c r="A4289" s="1" t="s">
        <v>13479</v>
      </c>
      <c r="B4289" s="1" t="s">
        <v>13480</v>
      </c>
      <c r="D4289" s="1" t="s">
        <v>13481</v>
      </c>
      <c r="E4289" s="1" t="s">
        <v>209</v>
      </c>
      <c r="F4289" s="1" t="s">
        <v>5017</v>
      </c>
      <c r="G4289" s="1" t="s">
        <v>5018</v>
      </c>
      <c r="H4289" s="1">
        <v>0.1</v>
      </c>
      <c r="I4289" s="1">
        <v>0.1</v>
      </c>
      <c r="J4289" s="1">
        <v>0.60824400011183388</v>
      </c>
      <c r="K4289" s="1" t="s">
        <v>181</v>
      </c>
    </row>
    <row r="4290" spans="1:11" x14ac:dyDescent="0.25">
      <c r="A4290" s="1" t="s">
        <v>13482</v>
      </c>
      <c r="B4290" s="1" t="s">
        <v>13483</v>
      </c>
      <c r="D4290" s="1" t="s">
        <v>13484</v>
      </c>
      <c r="E4290" s="1" t="s">
        <v>209</v>
      </c>
      <c r="F4290" s="1" t="s">
        <v>5017</v>
      </c>
      <c r="G4290" s="1" t="s">
        <v>5018</v>
      </c>
      <c r="H4290" s="1">
        <v>0.1</v>
      </c>
      <c r="I4290" s="1">
        <v>0.1</v>
      </c>
      <c r="J4290" s="1">
        <v>0.84766252297411149</v>
      </c>
      <c r="K4290" s="1" t="s">
        <v>181</v>
      </c>
    </row>
    <row r="4291" spans="1:11" x14ac:dyDescent="0.25">
      <c r="A4291" s="1" t="s">
        <v>13485</v>
      </c>
      <c r="B4291" s="1" t="s">
        <v>13486</v>
      </c>
      <c r="D4291" s="1" t="s">
        <v>13487</v>
      </c>
      <c r="E4291" s="1" t="s">
        <v>209</v>
      </c>
      <c r="F4291" s="1" t="s">
        <v>5017</v>
      </c>
      <c r="G4291" s="1" t="s">
        <v>5018</v>
      </c>
      <c r="H4291" s="1">
        <v>0.1</v>
      </c>
      <c r="I4291" s="1">
        <v>0.1</v>
      </c>
      <c r="J4291" s="1">
        <v>0.6551669888812176</v>
      </c>
      <c r="K4291" s="1" t="s">
        <v>181</v>
      </c>
    </row>
    <row r="4292" spans="1:11" x14ac:dyDescent="0.25">
      <c r="A4292" s="1" t="s">
        <v>13488</v>
      </c>
      <c r="B4292" s="1" t="s">
        <v>13489</v>
      </c>
      <c r="D4292" s="1" t="s">
        <v>13490</v>
      </c>
      <c r="E4292" s="1" t="s">
        <v>209</v>
      </c>
      <c r="F4292" s="1" t="s">
        <v>5017</v>
      </c>
      <c r="G4292" s="1" t="s">
        <v>5018</v>
      </c>
      <c r="H4292" s="1">
        <v>0.1</v>
      </c>
      <c r="I4292" s="1">
        <v>0.1</v>
      </c>
      <c r="J4292" s="1">
        <v>0.74726633078317006</v>
      </c>
      <c r="K4292" s="1" t="s">
        <v>181</v>
      </c>
    </row>
    <row r="4293" spans="1:11" x14ac:dyDescent="0.25">
      <c r="A4293" s="1" t="s">
        <v>13491</v>
      </c>
      <c r="B4293" s="1" t="s">
        <v>13492</v>
      </c>
      <c r="D4293" s="1" t="s">
        <v>13493</v>
      </c>
      <c r="E4293" s="1" t="s">
        <v>209</v>
      </c>
      <c r="F4293" s="1" t="s">
        <v>5017</v>
      </c>
      <c r="G4293" s="1" t="s">
        <v>5018</v>
      </c>
      <c r="H4293" s="1">
        <v>0.1</v>
      </c>
      <c r="I4293" s="1">
        <v>0.1</v>
      </c>
      <c r="J4293" s="1">
        <v>0.70592559596599669</v>
      </c>
      <c r="K4293" s="1" t="s">
        <v>181</v>
      </c>
    </row>
    <row r="4294" spans="1:11" x14ac:dyDescent="0.25">
      <c r="A4294" s="1" t="s">
        <v>13494</v>
      </c>
      <c r="B4294" s="1" t="s">
        <v>13495</v>
      </c>
      <c r="D4294" s="1" t="s">
        <v>13496</v>
      </c>
      <c r="E4294" s="1" t="s">
        <v>209</v>
      </c>
      <c r="F4294" s="1" t="s">
        <v>5017</v>
      </c>
      <c r="G4294" s="1" t="s">
        <v>5018</v>
      </c>
      <c r="H4294" s="1">
        <v>0.1</v>
      </c>
      <c r="I4294" s="1">
        <v>0.1</v>
      </c>
      <c r="J4294" s="1">
        <v>0.55500142579572487</v>
      </c>
      <c r="K4294" s="1" t="s">
        <v>181</v>
      </c>
    </row>
    <row r="4295" spans="1:11" x14ac:dyDescent="0.25">
      <c r="A4295" s="1" t="s">
        <v>13497</v>
      </c>
      <c r="B4295" s="1" t="s">
        <v>13498</v>
      </c>
      <c r="D4295" s="1" t="s">
        <v>13499</v>
      </c>
      <c r="E4295" s="1" t="s">
        <v>209</v>
      </c>
      <c r="F4295" s="1" t="s">
        <v>5017</v>
      </c>
      <c r="G4295" s="1" t="s">
        <v>5018</v>
      </c>
      <c r="H4295" s="1">
        <v>0.1</v>
      </c>
      <c r="I4295" s="1">
        <v>0.1</v>
      </c>
      <c r="J4295" s="1">
        <v>0.50297324776720276</v>
      </c>
      <c r="K4295" s="1" t="s">
        <v>181</v>
      </c>
    </row>
    <row r="4296" spans="1:11" x14ac:dyDescent="0.25">
      <c r="A4296" s="1" t="s">
        <v>13500</v>
      </c>
      <c r="B4296" s="1" t="s">
        <v>13501</v>
      </c>
      <c r="D4296" s="1" t="s">
        <v>13502</v>
      </c>
      <c r="E4296" s="1" t="s">
        <v>209</v>
      </c>
      <c r="F4296" s="1" t="s">
        <v>5017</v>
      </c>
      <c r="G4296" s="1" t="s">
        <v>5018</v>
      </c>
      <c r="H4296" s="1">
        <v>0.1</v>
      </c>
      <c r="I4296" s="1">
        <v>0.1</v>
      </c>
      <c r="J4296" s="1">
        <v>0.87875049732429455</v>
      </c>
      <c r="K4296" s="1" t="s">
        <v>181</v>
      </c>
    </row>
    <row r="4297" spans="1:11" x14ac:dyDescent="0.25">
      <c r="A4297" s="1" t="s">
        <v>13503</v>
      </c>
      <c r="B4297" s="1" t="s">
        <v>13504</v>
      </c>
      <c r="D4297" s="1" t="s">
        <v>13505</v>
      </c>
      <c r="E4297" s="1" t="s">
        <v>209</v>
      </c>
      <c r="F4297" s="1" t="s">
        <v>5017</v>
      </c>
      <c r="G4297" s="1" t="s">
        <v>5018</v>
      </c>
      <c r="H4297" s="1">
        <v>0.1</v>
      </c>
      <c r="I4297" s="1">
        <v>0.1</v>
      </c>
      <c r="J4297" s="1">
        <v>0.61830355368500378</v>
      </c>
      <c r="K4297" s="1" t="s">
        <v>181</v>
      </c>
    </row>
    <row r="4298" spans="1:11" x14ac:dyDescent="0.25">
      <c r="A4298" s="1" t="s">
        <v>13506</v>
      </c>
      <c r="B4298" s="1" t="s">
        <v>13507</v>
      </c>
      <c r="D4298" s="1" t="s">
        <v>13508</v>
      </c>
      <c r="E4298" s="1" t="s">
        <v>209</v>
      </c>
      <c r="F4298" s="1" t="s">
        <v>5017</v>
      </c>
      <c r="G4298" s="1" t="s">
        <v>5018</v>
      </c>
      <c r="H4298" s="1">
        <v>0.1</v>
      </c>
      <c r="I4298" s="1">
        <v>0.1</v>
      </c>
      <c r="J4298" s="1">
        <v>0.73888393582238154</v>
      </c>
      <c r="K4298" s="1" t="s">
        <v>181</v>
      </c>
    </row>
    <row r="4299" spans="1:11" x14ac:dyDescent="0.25">
      <c r="A4299" s="1" t="s">
        <v>13509</v>
      </c>
      <c r="B4299" s="1" t="s">
        <v>13510</v>
      </c>
      <c r="D4299" s="1" t="s">
        <v>13511</v>
      </c>
      <c r="E4299" s="1" t="s">
        <v>209</v>
      </c>
      <c r="F4299" s="1" t="s">
        <v>5017</v>
      </c>
      <c r="G4299" s="1" t="s">
        <v>5018</v>
      </c>
      <c r="H4299" s="1">
        <v>0.1</v>
      </c>
      <c r="I4299" s="1">
        <v>0.1</v>
      </c>
      <c r="J4299" s="1">
        <v>0.85324998885196268</v>
      </c>
      <c r="K4299" s="1" t="s">
        <v>181</v>
      </c>
    </row>
    <row r="4300" spans="1:11" x14ac:dyDescent="0.25">
      <c r="A4300" s="1" t="s">
        <v>13512</v>
      </c>
      <c r="B4300" s="1" t="s">
        <v>13513</v>
      </c>
      <c r="D4300" s="1" t="s">
        <v>13514</v>
      </c>
      <c r="E4300" s="1" t="s">
        <v>209</v>
      </c>
      <c r="F4300" s="1" t="s">
        <v>5017</v>
      </c>
      <c r="G4300" s="1" t="s">
        <v>5018</v>
      </c>
      <c r="H4300" s="1">
        <v>0.1</v>
      </c>
      <c r="I4300" s="1">
        <v>0.1</v>
      </c>
      <c r="J4300" s="1">
        <v>0.62552496829377635</v>
      </c>
      <c r="K4300" s="1" t="s">
        <v>181</v>
      </c>
    </row>
    <row r="4301" spans="1:11" x14ac:dyDescent="0.25">
      <c r="A4301" s="1" t="s">
        <v>13515</v>
      </c>
      <c r="B4301" s="1" t="s">
        <v>13516</v>
      </c>
      <c r="D4301" s="1" t="s">
        <v>13517</v>
      </c>
      <c r="E4301" s="1" t="s">
        <v>209</v>
      </c>
      <c r="F4301" s="1" t="s">
        <v>5017</v>
      </c>
      <c r="G4301" s="1" t="s">
        <v>5018</v>
      </c>
      <c r="H4301" s="1">
        <v>0.1</v>
      </c>
      <c r="I4301" s="1">
        <v>0.1</v>
      </c>
      <c r="J4301" s="1">
        <v>0.7347269821125133</v>
      </c>
      <c r="K4301" s="1" t="s">
        <v>181</v>
      </c>
    </row>
    <row r="4302" spans="1:11" x14ac:dyDescent="0.25">
      <c r="A4302" s="1" t="s">
        <v>13518</v>
      </c>
      <c r="B4302" s="1" t="s">
        <v>13519</v>
      </c>
      <c r="D4302" s="1" t="s">
        <v>13520</v>
      </c>
      <c r="E4302" s="1" t="s">
        <v>209</v>
      </c>
      <c r="F4302" s="1" t="s">
        <v>5017</v>
      </c>
      <c r="G4302" s="1" t="s">
        <v>5018</v>
      </c>
      <c r="H4302" s="1">
        <v>0.1</v>
      </c>
      <c r="I4302" s="1">
        <v>0.1</v>
      </c>
      <c r="J4302" s="1">
        <v>0.63476387255977118</v>
      </c>
      <c r="K4302" s="1" t="s">
        <v>181</v>
      </c>
    </row>
    <row r="4303" spans="1:11" x14ac:dyDescent="0.25">
      <c r="A4303" s="1" t="s">
        <v>13521</v>
      </c>
      <c r="B4303" s="1" t="s">
        <v>13522</v>
      </c>
      <c r="D4303" s="1" t="s">
        <v>13523</v>
      </c>
      <c r="E4303" s="1" t="s">
        <v>209</v>
      </c>
      <c r="F4303" s="1" t="s">
        <v>5017</v>
      </c>
      <c r="G4303" s="1" t="s">
        <v>5018</v>
      </c>
      <c r="H4303" s="1">
        <v>0.1</v>
      </c>
      <c r="I4303" s="1">
        <v>0.1</v>
      </c>
      <c r="J4303" s="1">
        <v>0.61996262727449092</v>
      </c>
      <c r="K4303" s="1" t="s">
        <v>181</v>
      </c>
    </row>
    <row r="4304" spans="1:11" x14ac:dyDescent="0.25">
      <c r="A4304" s="1" t="s">
        <v>13524</v>
      </c>
      <c r="B4304" s="1" t="s">
        <v>13525</v>
      </c>
      <c r="D4304" s="1" t="s">
        <v>13526</v>
      </c>
      <c r="E4304" s="1" t="s">
        <v>209</v>
      </c>
      <c r="F4304" s="1" t="s">
        <v>5017</v>
      </c>
      <c r="G4304" s="1" t="s">
        <v>5018</v>
      </c>
      <c r="H4304" s="1">
        <v>0.1</v>
      </c>
      <c r="I4304" s="1">
        <v>0.1</v>
      </c>
      <c r="J4304" s="1">
        <v>0.66655663156006772</v>
      </c>
      <c r="K4304" s="1" t="s">
        <v>181</v>
      </c>
    </row>
    <row r="4305" spans="1:11" x14ac:dyDescent="0.25">
      <c r="A4305" s="1" t="s">
        <v>13527</v>
      </c>
      <c r="B4305" s="1" t="s">
        <v>13528</v>
      </c>
      <c r="D4305" s="1" t="s">
        <v>13529</v>
      </c>
      <c r="E4305" s="1" t="s">
        <v>209</v>
      </c>
      <c r="F4305" s="1" t="s">
        <v>5017</v>
      </c>
      <c r="G4305" s="1" t="s">
        <v>5018</v>
      </c>
      <c r="H4305" s="1">
        <v>0.1</v>
      </c>
      <c r="I4305" s="1">
        <v>0.1</v>
      </c>
      <c r="J4305" s="1">
        <v>0.51758795125642554</v>
      </c>
      <c r="K4305" s="1" t="s">
        <v>181</v>
      </c>
    </row>
    <row r="4306" spans="1:11" x14ac:dyDescent="0.25">
      <c r="A4306" s="1" t="s">
        <v>13530</v>
      </c>
      <c r="B4306" s="1" t="s">
        <v>13531</v>
      </c>
      <c r="D4306" s="1" t="s">
        <v>13532</v>
      </c>
      <c r="E4306" s="1" t="s">
        <v>209</v>
      </c>
      <c r="F4306" s="1" t="s">
        <v>5017</v>
      </c>
      <c r="G4306" s="1" t="s">
        <v>5018</v>
      </c>
      <c r="H4306" s="1">
        <v>0.1</v>
      </c>
      <c r="I4306" s="1">
        <v>0.1</v>
      </c>
      <c r="J4306" s="1">
        <v>0.62711113599873469</v>
      </c>
      <c r="K4306" s="1" t="s">
        <v>181</v>
      </c>
    </row>
    <row r="4307" spans="1:11" x14ac:dyDescent="0.25">
      <c r="A4307" s="1" t="s">
        <v>13533</v>
      </c>
      <c r="B4307" s="1" t="s">
        <v>13534</v>
      </c>
      <c r="D4307" s="1" t="s">
        <v>13535</v>
      </c>
      <c r="E4307" s="1" t="s">
        <v>209</v>
      </c>
      <c r="F4307" s="1" t="s">
        <v>5017</v>
      </c>
      <c r="G4307" s="1" t="s">
        <v>5018</v>
      </c>
      <c r="H4307" s="1">
        <v>0.1</v>
      </c>
      <c r="I4307" s="1">
        <v>0.1</v>
      </c>
      <c r="J4307" s="1">
        <v>0.83329169148444493</v>
      </c>
      <c r="K4307" s="1" t="s">
        <v>181</v>
      </c>
    </row>
    <row r="4308" spans="1:11" x14ac:dyDescent="0.25">
      <c r="A4308" s="1" t="s">
        <v>13536</v>
      </c>
      <c r="B4308" s="1" t="s">
        <v>13537</v>
      </c>
      <c r="D4308" s="1" t="s">
        <v>13538</v>
      </c>
      <c r="E4308" s="1" t="s">
        <v>209</v>
      </c>
      <c r="F4308" s="1" t="s">
        <v>5017</v>
      </c>
      <c r="G4308" s="1" t="s">
        <v>5018</v>
      </c>
      <c r="H4308" s="1">
        <v>0.1</v>
      </c>
      <c r="I4308" s="1">
        <v>0.1</v>
      </c>
      <c r="J4308" s="1">
        <v>0.51736244764505079</v>
      </c>
      <c r="K4308" s="1" t="s">
        <v>181</v>
      </c>
    </row>
    <row r="4309" spans="1:11" x14ac:dyDescent="0.25">
      <c r="A4309" s="1" t="s">
        <v>13539</v>
      </c>
      <c r="B4309" s="1" t="s">
        <v>13540</v>
      </c>
      <c r="D4309" s="1" t="s">
        <v>13541</v>
      </c>
      <c r="E4309" s="1" t="s">
        <v>209</v>
      </c>
      <c r="F4309" s="1" t="s">
        <v>5017</v>
      </c>
      <c r="G4309" s="1" t="s">
        <v>5018</v>
      </c>
      <c r="H4309" s="1">
        <v>0.1</v>
      </c>
      <c r="I4309" s="1">
        <v>0.1</v>
      </c>
      <c r="J4309" s="1">
        <v>0.8094450222452384</v>
      </c>
      <c r="K4309" s="1" t="s">
        <v>181</v>
      </c>
    </row>
    <row r="4310" spans="1:11" x14ac:dyDescent="0.25">
      <c r="A4310" s="1" t="s">
        <v>13542</v>
      </c>
      <c r="B4310" s="1" t="s">
        <v>13543</v>
      </c>
      <c r="D4310" s="1" t="s">
        <v>13544</v>
      </c>
      <c r="E4310" s="1" t="s">
        <v>209</v>
      </c>
      <c r="F4310" s="1" t="s">
        <v>5017</v>
      </c>
      <c r="G4310" s="1" t="s">
        <v>5018</v>
      </c>
      <c r="H4310" s="1">
        <v>0.1</v>
      </c>
      <c r="I4310" s="1">
        <v>0.1</v>
      </c>
      <c r="J4310" s="1">
        <v>0.76411710929284482</v>
      </c>
      <c r="K4310" s="1" t="s">
        <v>181</v>
      </c>
    </row>
    <row r="4311" spans="1:11" x14ac:dyDescent="0.25">
      <c r="A4311" s="1" t="s">
        <v>13545</v>
      </c>
      <c r="B4311" s="1" t="s">
        <v>13546</v>
      </c>
      <c r="D4311" s="1" t="s">
        <v>13547</v>
      </c>
      <c r="E4311" s="1" t="s">
        <v>209</v>
      </c>
      <c r="F4311" s="1" t="s">
        <v>5017</v>
      </c>
      <c r="G4311" s="1" t="s">
        <v>5018</v>
      </c>
      <c r="H4311" s="1">
        <v>0.1</v>
      </c>
      <c r="I4311" s="1">
        <v>0.1</v>
      </c>
      <c r="J4311" s="1">
        <v>0.76307067414895191</v>
      </c>
      <c r="K4311" s="1" t="s">
        <v>181</v>
      </c>
    </row>
    <row r="4312" spans="1:11" x14ac:dyDescent="0.25">
      <c r="A4312" s="1" t="s">
        <v>13548</v>
      </c>
      <c r="B4312" s="1" t="s">
        <v>13549</v>
      </c>
      <c r="D4312" s="1" t="s">
        <v>13550</v>
      </c>
      <c r="E4312" s="1" t="s">
        <v>209</v>
      </c>
      <c r="F4312" s="1" t="s">
        <v>5017</v>
      </c>
      <c r="G4312" s="1" t="s">
        <v>5018</v>
      </c>
      <c r="H4312" s="1">
        <v>0.1</v>
      </c>
      <c r="I4312" s="1">
        <v>0.1</v>
      </c>
      <c r="J4312" s="1">
        <v>0.84413941160674155</v>
      </c>
      <c r="K4312" s="1" t="s">
        <v>181</v>
      </c>
    </row>
    <row r="4313" spans="1:11" x14ac:dyDescent="0.25">
      <c r="A4313" s="1" t="s">
        <v>13551</v>
      </c>
      <c r="B4313" s="1" t="s">
        <v>13552</v>
      </c>
      <c r="D4313" s="1" t="s">
        <v>13553</v>
      </c>
      <c r="E4313" s="1" t="s">
        <v>209</v>
      </c>
      <c r="F4313" s="1" t="s">
        <v>5017</v>
      </c>
      <c r="G4313" s="1" t="s">
        <v>5018</v>
      </c>
      <c r="H4313" s="1">
        <v>0.1</v>
      </c>
      <c r="I4313" s="1">
        <v>0.1</v>
      </c>
      <c r="J4313" s="1">
        <v>0.60527521143000962</v>
      </c>
      <c r="K4313" s="1" t="s">
        <v>181</v>
      </c>
    </row>
    <row r="4314" spans="1:11" x14ac:dyDescent="0.25">
      <c r="A4314" s="1" t="s">
        <v>13554</v>
      </c>
      <c r="B4314" s="1" t="s">
        <v>13555</v>
      </c>
      <c r="D4314" s="1" t="s">
        <v>13556</v>
      </c>
      <c r="E4314" s="1" t="s">
        <v>209</v>
      </c>
      <c r="F4314" s="1" t="s">
        <v>5017</v>
      </c>
      <c r="G4314" s="1" t="s">
        <v>5018</v>
      </c>
      <c r="H4314" s="1">
        <v>0.1</v>
      </c>
      <c r="I4314" s="1">
        <v>0.1</v>
      </c>
      <c r="J4314" s="1">
        <v>0.5669544917408974</v>
      </c>
      <c r="K4314" s="1" t="s">
        <v>181</v>
      </c>
    </row>
    <row r="4315" spans="1:11" x14ac:dyDescent="0.25">
      <c r="A4315" s="1" t="s">
        <v>13557</v>
      </c>
      <c r="B4315" s="1" t="s">
        <v>13558</v>
      </c>
      <c r="D4315" s="1" t="s">
        <v>13559</v>
      </c>
      <c r="E4315" s="1" t="s">
        <v>209</v>
      </c>
      <c r="F4315" s="1" t="s">
        <v>5017</v>
      </c>
      <c r="G4315" s="1" t="s">
        <v>5018</v>
      </c>
      <c r="H4315" s="1">
        <v>0.1</v>
      </c>
      <c r="I4315" s="1">
        <v>0.1</v>
      </c>
      <c r="J4315" s="1">
        <v>0.47173739420092603</v>
      </c>
      <c r="K4315" s="1" t="s">
        <v>181</v>
      </c>
    </row>
    <row r="4316" spans="1:11" x14ac:dyDescent="0.25">
      <c r="A4316" s="1" t="s">
        <v>158</v>
      </c>
      <c r="B4316" s="1" t="s">
        <v>13560</v>
      </c>
      <c r="D4316" s="1" t="s">
        <v>13561</v>
      </c>
      <c r="E4316" s="1" t="s">
        <v>209</v>
      </c>
      <c r="F4316" s="1" t="s">
        <v>5017</v>
      </c>
      <c r="G4316" s="1" t="s">
        <v>5018</v>
      </c>
      <c r="H4316" s="1">
        <v>0.1</v>
      </c>
      <c r="I4316" s="1">
        <v>0.1</v>
      </c>
      <c r="J4316" s="1">
        <v>0.50282074459835147</v>
      </c>
      <c r="K4316" s="1" t="s">
        <v>181</v>
      </c>
    </row>
    <row r="4317" spans="1:11" x14ac:dyDescent="0.25">
      <c r="A4317" s="1" t="s">
        <v>13562</v>
      </c>
      <c r="B4317" s="1" t="s">
        <v>13563</v>
      </c>
      <c r="D4317" s="1" t="s">
        <v>13564</v>
      </c>
      <c r="E4317" s="1" t="s">
        <v>209</v>
      </c>
      <c r="F4317" s="1" t="s">
        <v>5017</v>
      </c>
      <c r="G4317" s="1" t="s">
        <v>5018</v>
      </c>
      <c r="H4317" s="1">
        <v>0.1</v>
      </c>
      <c r="I4317" s="1">
        <v>0.1</v>
      </c>
      <c r="J4317" s="1">
        <v>0.92176685073048281</v>
      </c>
      <c r="K4317" s="1" t="s">
        <v>181</v>
      </c>
    </row>
    <row r="4318" spans="1:11" x14ac:dyDescent="0.25">
      <c r="A4318" s="1" t="s">
        <v>13565</v>
      </c>
      <c r="B4318" s="1" t="s">
        <v>13566</v>
      </c>
      <c r="D4318" s="1" t="s">
        <v>13567</v>
      </c>
      <c r="E4318" s="1" t="s">
        <v>209</v>
      </c>
      <c r="F4318" s="1" t="s">
        <v>5017</v>
      </c>
      <c r="G4318" s="1" t="s">
        <v>5018</v>
      </c>
      <c r="H4318" s="1">
        <v>0.1</v>
      </c>
      <c r="I4318" s="1">
        <v>0.1</v>
      </c>
      <c r="J4318" s="1">
        <v>0.82298821044040571</v>
      </c>
      <c r="K4318" s="1" t="s">
        <v>181</v>
      </c>
    </row>
    <row r="4319" spans="1:11" x14ac:dyDescent="0.25">
      <c r="A4319" s="1" t="s">
        <v>13568</v>
      </c>
      <c r="B4319" s="1" t="s">
        <v>13569</v>
      </c>
      <c r="D4319" s="1" t="s">
        <v>13570</v>
      </c>
      <c r="E4319" s="1" t="s">
        <v>209</v>
      </c>
      <c r="F4319" s="1" t="s">
        <v>5017</v>
      </c>
      <c r="G4319" s="1" t="s">
        <v>5018</v>
      </c>
      <c r="H4319" s="1">
        <v>0.1</v>
      </c>
      <c r="I4319" s="1">
        <v>0.1</v>
      </c>
      <c r="J4319" s="1">
        <v>0.75315883584945287</v>
      </c>
      <c r="K4319" s="1" t="s">
        <v>181</v>
      </c>
    </row>
    <row r="4320" spans="1:11" x14ac:dyDescent="0.25">
      <c r="A4320" s="1" t="s">
        <v>13571</v>
      </c>
      <c r="B4320" s="1" t="s">
        <v>13572</v>
      </c>
      <c r="D4320" s="1" t="s">
        <v>13573</v>
      </c>
      <c r="E4320" s="1" t="s">
        <v>209</v>
      </c>
      <c r="F4320" s="1" t="s">
        <v>5017</v>
      </c>
      <c r="G4320" s="1" t="s">
        <v>5018</v>
      </c>
      <c r="H4320" s="1">
        <v>0.1</v>
      </c>
      <c r="I4320" s="1">
        <v>0.1</v>
      </c>
      <c r="J4320" s="1">
        <v>0.51513587445456854</v>
      </c>
      <c r="K4320" s="1" t="s">
        <v>181</v>
      </c>
    </row>
    <row r="4321" spans="1:11" x14ac:dyDescent="0.25">
      <c r="A4321" s="1" t="s">
        <v>13574</v>
      </c>
      <c r="B4321" s="1" t="s">
        <v>13575</v>
      </c>
      <c r="D4321" s="1" t="s">
        <v>13576</v>
      </c>
      <c r="E4321" s="1" t="s">
        <v>209</v>
      </c>
      <c r="F4321" s="1" t="s">
        <v>5017</v>
      </c>
      <c r="G4321" s="1" t="s">
        <v>5018</v>
      </c>
      <c r="H4321" s="1">
        <v>0.1</v>
      </c>
      <c r="I4321" s="1">
        <v>0.1</v>
      </c>
      <c r="J4321" s="1">
        <v>0.57087647174854339</v>
      </c>
      <c r="K4321" s="1" t="s">
        <v>181</v>
      </c>
    </row>
    <row r="4322" spans="1:11" x14ac:dyDescent="0.25">
      <c r="A4322" s="1" t="s">
        <v>13577</v>
      </c>
      <c r="B4322" s="1" t="s">
        <v>13578</v>
      </c>
      <c r="D4322" s="1" t="s">
        <v>13579</v>
      </c>
      <c r="E4322" s="1" t="s">
        <v>209</v>
      </c>
      <c r="F4322" s="1" t="s">
        <v>5017</v>
      </c>
      <c r="G4322" s="1" t="s">
        <v>5018</v>
      </c>
      <c r="H4322" s="1">
        <v>0.1</v>
      </c>
      <c r="I4322" s="1">
        <v>0.1</v>
      </c>
      <c r="J4322" s="1">
        <v>0.73992759028526844</v>
      </c>
      <c r="K4322" s="1" t="s">
        <v>181</v>
      </c>
    </row>
    <row r="4323" spans="1:11" x14ac:dyDescent="0.25">
      <c r="A4323" s="1" t="s">
        <v>13580</v>
      </c>
      <c r="B4323" s="1" t="s">
        <v>13581</v>
      </c>
      <c r="D4323" s="1" t="s">
        <v>13582</v>
      </c>
      <c r="E4323" s="1" t="s">
        <v>209</v>
      </c>
      <c r="F4323" s="1" t="s">
        <v>5017</v>
      </c>
      <c r="G4323" s="1" t="s">
        <v>5018</v>
      </c>
      <c r="H4323" s="1">
        <v>0.1</v>
      </c>
      <c r="I4323" s="1">
        <v>0.1</v>
      </c>
      <c r="J4323" s="1">
        <v>0.76865263223798175</v>
      </c>
      <c r="K4323" s="1" t="s">
        <v>181</v>
      </c>
    </row>
    <row r="4324" spans="1:11" x14ac:dyDescent="0.25">
      <c r="A4324" s="1" t="s">
        <v>13583</v>
      </c>
      <c r="B4324" s="1" t="s">
        <v>13584</v>
      </c>
      <c r="D4324" s="1" t="s">
        <v>13585</v>
      </c>
      <c r="E4324" s="1" t="s">
        <v>209</v>
      </c>
      <c r="F4324" s="1" t="s">
        <v>5017</v>
      </c>
      <c r="G4324" s="1" t="s">
        <v>5018</v>
      </c>
      <c r="H4324" s="1">
        <v>0.1</v>
      </c>
      <c r="I4324" s="1">
        <v>0.1</v>
      </c>
      <c r="J4324" s="1">
        <v>0.58448116458651755</v>
      </c>
      <c r="K4324" s="1" t="s">
        <v>181</v>
      </c>
    </row>
    <row r="4325" spans="1:11" x14ac:dyDescent="0.25">
      <c r="A4325" s="1" t="s">
        <v>13586</v>
      </c>
      <c r="B4325" s="1" t="s">
        <v>13587</v>
      </c>
      <c r="D4325" s="1" t="s">
        <v>13588</v>
      </c>
      <c r="E4325" s="1" t="s">
        <v>209</v>
      </c>
      <c r="F4325" s="1" t="s">
        <v>5017</v>
      </c>
      <c r="G4325" s="1" t="s">
        <v>5018</v>
      </c>
      <c r="H4325" s="1">
        <v>0.1</v>
      </c>
      <c r="I4325" s="1">
        <v>0.1</v>
      </c>
      <c r="J4325" s="1">
        <v>0.77799843990320572</v>
      </c>
      <c r="K4325" s="1" t="s">
        <v>181</v>
      </c>
    </row>
    <row r="4326" spans="1:11" x14ac:dyDescent="0.25">
      <c r="A4326" s="1" t="s">
        <v>13589</v>
      </c>
      <c r="B4326" s="1" t="s">
        <v>13590</v>
      </c>
      <c r="D4326" s="1" t="s">
        <v>13591</v>
      </c>
      <c r="E4326" s="1" t="s">
        <v>209</v>
      </c>
      <c r="F4326" s="1" t="s">
        <v>5017</v>
      </c>
      <c r="G4326" s="1" t="s">
        <v>5018</v>
      </c>
      <c r="H4326" s="1">
        <v>0.1</v>
      </c>
      <c r="I4326" s="1">
        <v>0.1</v>
      </c>
      <c r="J4326" s="1">
        <v>0.73215748851376583</v>
      </c>
      <c r="K4326" s="1" t="s">
        <v>181</v>
      </c>
    </row>
    <row r="4327" spans="1:11" x14ac:dyDescent="0.25">
      <c r="A4327" s="1" t="s">
        <v>13592</v>
      </c>
      <c r="B4327" s="1" t="s">
        <v>13593</v>
      </c>
      <c r="D4327" s="1" t="s">
        <v>13594</v>
      </c>
      <c r="E4327" s="1" t="s">
        <v>209</v>
      </c>
      <c r="F4327" s="1" t="s">
        <v>5017</v>
      </c>
      <c r="G4327" s="1" t="s">
        <v>5018</v>
      </c>
      <c r="H4327" s="1">
        <v>0.1</v>
      </c>
      <c r="I4327" s="1">
        <v>0.1</v>
      </c>
      <c r="J4327" s="1">
        <v>0.65374332320706752</v>
      </c>
      <c r="K4327" s="1" t="s">
        <v>181</v>
      </c>
    </row>
    <row r="4328" spans="1:11" x14ac:dyDescent="0.25">
      <c r="A4328" s="1" t="s">
        <v>13595</v>
      </c>
      <c r="B4328" s="1" t="s">
        <v>13596</v>
      </c>
      <c r="D4328" s="1" t="s">
        <v>13597</v>
      </c>
      <c r="E4328" s="1" t="s">
        <v>209</v>
      </c>
      <c r="F4328" s="1" t="s">
        <v>5017</v>
      </c>
      <c r="G4328" s="1" t="s">
        <v>5018</v>
      </c>
      <c r="H4328" s="1">
        <v>0.1</v>
      </c>
      <c r="I4328" s="1">
        <v>0.1</v>
      </c>
      <c r="J4328" s="1">
        <v>0.62957447538276745</v>
      </c>
      <c r="K4328" s="1" t="s">
        <v>181</v>
      </c>
    </row>
    <row r="4329" spans="1:11" x14ac:dyDescent="0.25">
      <c r="A4329" s="1" t="s">
        <v>13598</v>
      </c>
      <c r="B4329" s="1" t="s">
        <v>13599</v>
      </c>
      <c r="D4329" s="1" t="s">
        <v>13600</v>
      </c>
      <c r="E4329" s="1" t="s">
        <v>209</v>
      </c>
      <c r="F4329" s="1" t="s">
        <v>5017</v>
      </c>
      <c r="G4329" s="1" t="s">
        <v>5018</v>
      </c>
      <c r="H4329" s="1">
        <v>0.1</v>
      </c>
      <c r="I4329" s="1">
        <v>0.1</v>
      </c>
      <c r="J4329" s="1">
        <v>0.65928006103593673</v>
      </c>
      <c r="K4329" s="1" t="s">
        <v>181</v>
      </c>
    </row>
    <row r="4330" spans="1:11" x14ac:dyDescent="0.25">
      <c r="A4330" s="1" t="s">
        <v>13601</v>
      </c>
      <c r="B4330" s="1" t="s">
        <v>13602</v>
      </c>
      <c r="D4330" s="1" t="s">
        <v>13603</v>
      </c>
      <c r="E4330" s="1" t="s">
        <v>209</v>
      </c>
      <c r="F4330" s="1" t="s">
        <v>5017</v>
      </c>
      <c r="G4330" s="1" t="s">
        <v>5018</v>
      </c>
      <c r="H4330" s="1">
        <v>0.1</v>
      </c>
      <c r="I4330" s="1">
        <v>0.1</v>
      </c>
      <c r="J4330" s="1">
        <v>0.67413435976259528</v>
      </c>
      <c r="K4330" s="1" t="s">
        <v>181</v>
      </c>
    </row>
    <row r="4331" spans="1:11" x14ac:dyDescent="0.25">
      <c r="A4331" s="1" t="s">
        <v>13604</v>
      </c>
      <c r="B4331" s="1" t="s">
        <v>13605</v>
      </c>
      <c r="D4331" s="1" t="s">
        <v>13606</v>
      </c>
      <c r="E4331" s="1" t="s">
        <v>209</v>
      </c>
      <c r="F4331" s="1" t="s">
        <v>5017</v>
      </c>
      <c r="G4331" s="1" t="s">
        <v>5018</v>
      </c>
      <c r="H4331" s="1">
        <v>0.1</v>
      </c>
      <c r="I4331" s="1">
        <v>0.1</v>
      </c>
      <c r="J4331" s="1">
        <v>0.66348607768465984</v>
      </c>
      <c r="K4331" s="1" t="s">
        <v>181</v>
      </c>
    </row>
    <row r="4332" spans="1:11" x14ac:dyDescent="0.25">
      <c r="A4332" s="1" t="s">
        <v>13607</v>
      </c>
      <c r="B4332" s="1" t="s">
        <v>13608</v>
      </c>
      <c r="D4332" s="1" t="s">
        <v>13609</v>
      </c>
      <c r="E4332" s="1" t="s">
        <v>209</v>
      </c>
      <c r="F4332" s="1" t="s">
        <v>5017</v>
      </c>
      <c r="G4332" s="1" t="s">
        <v>5018</v>
      </c>
      <c r="H4332" s="1">
        <v>0.1</v>
      </c>
      <c r="I4332" s="1">
        <v>0.1</v>
      </c>
      <c r="J4332" s="1">
        <v>0.75539353085488548</v>
      </c>
      <c r="K4332" s="1" t="s">
        <v>181</v>
      </c>
    </row>
    <row r="4333" spans="1:11" x14ac:dyDescent="0.25">
      <c r="A4333" s="1" t="s">
        <v>13610</v>
      </c>
      <c r="B4333" s="1" t="s">
        <v>13611</v>
      </c>
      <c r="D4333" s="1" t="s">
        <v>13612</v>
      </c>
      <c r="E4333" s="1" t="s">
        <v>209</v>
      </c>
      <c r="F4333" s="1" t="s">
        <v>5017</v>
      </c>
      <c r="G4333" s="1" t="s">
        <v>5018</v>
      </c>
      <c r="H4333" s="1">
        <v>0.1</v>
      </c>
      <c r="I4333" s="1">
        <v>0.1</v>
      </c>
      <c r="J4333" s="1">
        <v>0.68548147643307422</v>
      </c>
      <c r="K4333" s="1" t="s">
        <v>181</v>
      </c>
    </row>
    <row r="4334" spans="1:11" x14ac:dyDescent="0.25">
      <c r="A4334" s="1" t="s">
        <v>13613</v>
      </c>
      <c r="B4334" s="1" t="s">
        <v>13614</v>
      </c>
      <c r="D4334" s="1" t="s">
        <v>13615</v>
      </c>
      <c r="E4334" s="1" t="s">
        <v>209</v>
      </c>
      <c r="F4334" s="1" t="s">
        <v>5017</v>
      </c>
      <c r="G4334" s="1" t="s">
        <v>5018</v>
      </c>
      <c r="H4334" s="1">
        <v>0.1</v>
      </c>
      <c r="I4334" s="1">
        <v>0.1</v>
      </c>
      <c r="J4334" s="1">
        <v>0.61851544814344683</v>
      </c>
      <c r="K4334" s="1" t="s">
        <v>181</v>
      </c>
    </row>
    <row r="4335" spans="1:11" x14ac:dyDescent="0.25">
      <c r="A4335" s="1" t="s">
        <v>13616</v>
      </c>
      <c r="B4335" s="1" t="s">
        <v>13617</v>
      </c>
      <c r="D4335" s="1" t="s">
        <v>13618</v>
      </c>
      <c r="E4335" s="1" t="s">
        <v>209</v>
      </c>
      <c r="F4335" s="1" t="s">
        <v>5017</v>
      </c>
      <c r="G4335" s="1" t="s">
        <v>5018</v>
      </c>
      <c r="H4335" s="1">
        <v>0.1</v>
      </c>
      <c r="I4335" s="1">
        <v>0.1</v>
      </c>
      <c r="J4335" s="1">
        <v>0.75769727302889911</v>
      </c>
      <c r="K4335" s="1" t="s">
        <v>181</v>
      </c>
    </row>
    <row r="4336" spans="1:11" x14ac:dyDescent="0.25">
      <c r="A4336" s="1" t="s">
        <v>13619</v>
      </c>
      <c r="B4336" s="1" t="s">
        <v>13620</v>
      </c>
      <c r="D4336" s="1" t="s">
        <v>13621</v>
      </c>
      <c r="E4336" s="1" t="s">
        <v>209</v>
      </c>
      <c r="F4336" s="1" t="s">
        <v>5017</v>
      </c>
      <c r="G4336" s="1" t="s">
        <v>5018</v>
      </c>
      <c r="H4336" s="1">
        <v>0.1</v>
      </c>
      <c r="I4336" s="1">
        <v>0.1</v>
      </c>
      <c r="J4336" s="1">
        <v>0.86971998081949975</v>
      </c>
      <c r="K4336" s="1" t="s">
        <v>181</v>
      </c>
    </row>
    <row r="4337" spans="1:11" x14ac:dyDescent="0.25">
      <c r="A4337" s="1" t="s">
        <v>13622</v>
      </c>
      <c r="B4337" s="1" t="s">
        <v>13623</v>
      </c>
      <c r="D4337" s="1" t="s">
        <v>13624</v>
      </c>
      <c r="E4337" s="1" t="s">
        <v>209</v>
      </c>
      <c r="F4337" s="1" t="s">
        <v>5017</v>
      </c>
      <c r="G4337" s="1" t="s">
        <v>5018</v>
      </c>
      <c r="H4337" s="1">
        <v>0.1</v>
      </c>
      <c r="I4337" s="1">
        <v>0.1</v>
      </c>
      <c r="J4337" s="1">
        <v>0.63886951597663744</v>
      </c>
      <c r="K4337" s="1" t="s">
        <v>181</v>
      </c>
    </row>
    <row r="4338" spans="1:11" x14ac:dyDescent="0.25">
      <c r="A4338" s="1" t="s">
        <v>13625</v>
      </c>
      <c r="B4338" s="1" t="s">
        <v>13626</v>
      </c>
      <c r="D4338" s="1" t="s">
        <v>13627</v>
      </c>
      <c r="E4338" s="1" t="s">
        <v>209</v>
      </c>
      <c r="F4338" s="1" t="s">
        <v>5017</v>
      </c>
      <c r="G4338" s="1" t="s">
        <v>5018</v>
      </c>
      <c r="H4338" s="1">
        <v>0.1</v>
      </c>
      <c r="I4338" s="1">
        <v>0.1</v>
      </c>
      <c r="J4338" s="1">
        <v>0.73395174885042591</v>
      </c>
      <c r="K4338" s="1" t="s">
        <v>181</v>
      </c>
    </row>
    <row r="4339" spans="1:11" x14ac:dyDescent="0.25">
      <c r="A4339" s="1" t="s">
        <v>13628</v>
      </c>
      <c r="B4339" s="1" t="s">
        <v>13629</v>
      </c>
      <c r="D4339" s="1" t="s">
        <v>13630</v>
      </c>
      <c r="E4339" s="1" t="s">
        <v>209</v>
      </c>
      <c r="F4339" s="1" t="s">
        <v>5017</v>
      </c>
      <c r="G4339" s="1" t="s">
        <v>5018</v>
      </c>
      <c r="H4339" s="1">
        <v>0.1</v>
      </c>
      <c r="I4339" s="1">
        <v>0.1</v>
      </c>
      <c r="J4339" s="1">
        <v>0.68648733770509185</v>
      </c>
      <c r="K4339" s="1" t="s">
        <v>181</v>
      </c>
    </row>
    <row r="4340" spans="1:11" x14ac:dyDescent="0.25">
      <c r="A4340" s="1" t="s">
        <v>13631</v>
      </c>
      <c r="B4340" s="1" t="s">
        <v>13632</v>
      </c>
      <c r="D4340" s="1" t="s">
        <v>13633</v>
      </c>
      <c r="E4340" s="1" t="s">
        <v>209</v>
      </c>
      <c r="F4340" s="1" t="s">
        <v>5017</v>
      </c>
      <c r="G4340" s="1" t="s">
        <v>5018</v>
      </c>
      <c r="H4340" s="1">
        <v>0.1</v>
      </c>
      <c r="I4340" s="1">
        <v>0.1</v>
      </c>
      <c r="J4340" s="1">
        <v>0.55104395718252841</v>
      </c>
      <c r="K4340" s="1" t="s">
        <v>181</v>
      </c>
    </row>
    <row r="4341" spans="1:11" x14ac:dyDescent="0.25">
      <c r="A4341" s="1" t="s">
        <v>13634</v>
      </c>
      <c r="B4341" s="1" t="s">
        <v>13635</v>
      </c>
      <c r="D4341" s="1" t="s">
        <v>13636</v>
      </c>
      <c r="E4341" s="1" t="s">
        <v>209</v>
      </c>
      <c r="F4341" s="1" t="s">
        <v>5017</v>
      </c>
      <c r="G4341" s="1" t="s">
        <v>5018</v>
      </c>
      <c r="H4341" s="1">
        <v>0.1</v>
      </c>
      <c r="I4341" s="1">
        <v>0.1</v>
      </c>
      <c r="J4341" s="1">
        <v>0.71548675991915112</v>
      </c>
      <c r="K4341" s="1" t="s">
        <v>181</v>
      </c>
    </row>
    <row r="4342" spans="1:11" x14ac:dyDescent="0.25">
      <c r="A4342" s="1" t="s">
        <v>13637</v>
      </c>
      <c r="B4342" s="1" t="s">
        <v>13638</v>
      </c>
      <c r="D4342" s="1" t="s">
        <v>13639</v>
      </c>
      <c r="E4342" s="1" t="s">
        <v>209</v>
      </c>
      <c r="F4342" s="1" t="s">
        <v>5017</v>
      </c>
      <c r="G4342" s="1" t="s">
        <v>5018</v>
      </c>
      <c r="H4342" s="1">
        <v>0.1</v>
      </c>
      <c r="I4342" s="1">
        <v>0.1</v>
      </c>
      <c r="J4342" s="1">
        <v>0.63354240444970933</v>
      </c>
      <c r="K4342" s="1" t="s">
        <v>181</v>
      </c>
    </row>
    <row r="4343" spans="1:11" x14ac:dyDescent="0.25">
      <c r="A4343" s="1" t="s">
        <v>13640</v>
      </c>
      <c r="B4343" s="1" t="s">
        <v>13641</v>
      </c>
      <c r="D4343" s="1" t="s">
        <v>13642</v>
      </c>
      <c r="E4343" s="1" t="s">
        <v>209</v>
      </c>
      <c r="F4343" s="1" t="s">
        <v>5017</v>
      </c>
      <c r="G4343" s="1" t="s">
        <v>5018</v>
      </c>
      <c r="H4343" s="1">
        <v>0.1</v>
      </c>
      <c r="I4343" s="1">
        <v>0.1</v>
      </c>
      <c r="J4343" s="1">
        <v>0.64453772535568699</v>
      </c>
      <c r="K4343" s="1" t="s">
        <v>181</v>
      </c>
    </row>
    <row r="4344" spans="1:11" x14ac:dyDescent="0.25">
      <c r="A4344" s="1" t="s">
        <v>13643</v>
      </c>
      <c r="B4344" s="1" t="s">
        <v>13644</v>
      </c>
      <c r="D4344" s="1" t="s">
        <v>13645</v>
      </c>
      <c r="E4344" s="1" t="s">
        <v>209</v>
      </c>
      <c r="F4344" s="1" t="s">
        <v>5017</v>
      </c>
      <c r="G4344" s="1" t="s">
        <v>5018</v>
      </c>
      <c r="H4344" s="1">
        <v>0.1</v>
      </c>
      <c r="I4344" s="1">
        <v>0.1</v>
      </c>
      <c r="J4344" s="1">
        <v>0.4618683982454842</v>
      </c>
      <c r="K4344" s="1" t="s">
        <v>181</v>
      </c>
    </row>
    <row r="4345" spans="1:11" x14ac:dyDescent="0.25">
      <c r="A4345" s="1" t="s">
        <v>13646</v>
      </c>
      <c r="B4345" s="1" t="s">
        <v>13647</v>
      </c>
      <c r="D4345" s="1" t="s">
        <v>13648</v>
      </c>
      <c r="E4345" s="1" t="s">
        <v>209</v>
      </c>
      <c r="F4345" s="1" t="s">
        <v>5017</v>
      </c>
      <c r="G4345" s="1" t="s">
        <v>5018</v>
      </c>
      <c r="H4345" s="1">
        <v>0.1</v>
      </c>
      <c r="I4345" s="1">
        <v>0.1</v>
      </c>
      <c r="J4345" s="1">
        <v>0.46856359438040124</v>
      </c>
      <c r="K4345" s="1" t="s">
        <v>181</v>
      </c>
    </row>
    <row r="4346" spans="1:11" x14ac:dyDescent="0.25">
      <c r="A4346" s="1" t="s">
        <v>13649</v>
      </c>
      <c r="B4346" s="1" t="s">
        <v>13650</v>
      </c>
      <c r="D4346" s="1" t="s">
        <v>13651</v>
      </c>
      <c r="E4346" s="1" t="s">
        <v>209</v>
      </c>
      <c r="F4346" s="1" t="s">
        <v>5017</v>
      </c>
      <c r="G4346" s="1" t="s">
        <v>5018</v>
      </c>
      <c r="H4346" s="1">
        <v>0.1</v>
      </c>
      <c r="I4346" s="1">
        <v>0.1</v>
      </c>
      <c r="J4346" s="1">
        <v>0.57767904847637441</v>
      </c>
      <c r="K4346" s="1" t="s">
        <v>181</v>
      </c>
    </row>
    <row r="4347" spans="1:11" x14ac:dyDescent="0.25">
      <c r="A4347" s="1" t="s">
        <v>13652</v>
      </c>
      <c r="B4347" s="1" t="s">
        <v>13653</v>
      </c>
      <c r="D4347" s="1" t="s">
        <v>13654</v>
      </c>
      <c r="E4347" s="1" t="s">
        <v>209</v>
      </c>
      <c r="F4347" s="1" t="s">
        <v>5017</v>
      </c>
      <c r="G4347" s="1" t="s">
        <v>5018</v>
      </c>
      <c r="H4347" s="1">
        <v>0.1</v>
      </c>
      <c r="I4347" s="1">
        <v>0.1</v>
      </c>
      <c r="J4347" s="1">
        <v>0.58303290462306367</v>
      </c>
      <c r="K4347" s="1" t="s">
        <v>181</v>
      </c>
    </row>
    <row r="4348" spans="1:11" x14ac:dyDescent="0.25">
      <c r="A4348" s="1" t="s">
        <v>13655</v>
      </c>
      <c r="B4348" s="1" t="s">
        <v>13656</v>
      </c>
      <c r="D4348" s="1" t="s">
        <v>13657</v>
      </c>
      <c r="E4348" s="1" t="s">
        <v>209</v>
      </c>
      <c r="F4348" s="1" t="s">
        <v>5017</v>
      </c>
      <c r="G4348" s="1" t="s">
        <v>5018</v>
      </c>
      <c r="H4348" s="1">
        <v>0.1</v>
      </c>
      <c r="I4348" s="1">
        <v>0.1</v>
      </c>
      <c r="J4348" s="1">
        <v>0.46327649651987479</v>
      </c>
      <c r="K4348" s="1" t="s">
        <v>181</v>
      </c>
    </row>
    <row r="4349" spans="1:11" x14ac:dyDescent="0.25">
      <c r="A4349" s="1" t="s">
        <v>13658</v>
      </c>
      <c r="B4349" s="1" t="s">
        <v>13659</v>
      </c>
      <c r="D4349" s="1" t="s">
        <v>13660</v>
      </c>
      <c r="E4349" s="1" t="s">
        <v>209</v>
      </c>
      <c r="F4349" s="1" t="s">
        <v>5017</v>
      </c>
      <c r="G4349" s="1" t="s">
        <v>5018</v>
      </c>
      <c r="H4349" s="1">
        <v>0.1</v>
      </c>
      <c r="I4349" s="1">
        <v>0.1</v>
      </c>
      <c r="J4349" s="1">
        <v>0.53966254024951843</v>
      </c>
      <c r="K4349" s="1" t="s">
        <v>181</v>
      </c>
    </row>
    <row r="4350" spans="1:11" x14ac:dyDescent="0.25">
      <c r="A4350" s="1" t="s">
        <v>13661</v>
      </c>
      <c r="B4350" s="1" t="s">
        <v>13662</v>
      </c>
      <c r="D4350" s="1" t="s">
        <v>13663</v>
      </c>
      <c r="E4350" s="1" t="s">
        <v>209</v>
      </c>
      <c r="F4350" s="1" t="s">
        <v>5017</v>
      </c>
      <c r="G4350" s="1" t="s">
        <v>5018</v>
      </c>
      <c r="H4350" s="1">
        <v>0.1</v>
      </c>
      <c r="I4350" s="1">
        <v>0.1</v>
      </c>
      <c r="J4350" s="1">
        <v>0.47083093751652461</v>
      </c>
      <c r="K4350" s="1" t="s">
        <v>181</v>
      </c>
    </row>
    <row r="4351" spans="1:11" x14ac:dyDescent="0.25">
      <c r="A4351" s="1" t="s">
        <v>13664</v>
      </c>
      <c r="B4351" s="1" t="s">
        <v>13665</v>
      </c>
      <c r="D4351" s="1" t="s">
        <v>13666</v>
      </c>
      <c r="E4351" s="1" t="s">
        <v>209</v>
      </c>
      <c r="F4351" s="1" t="s">
        <v>5017</v>
      </c>
      <c r="G4351" s="1" t="s">
        <v>5018</v>
      </c>
      <c r="H4351" s="1">
        <v>0.1</v>
      </c>
      <c r="I4351" s="1">
        <v>0.1</v>
      </c>
      <c r="J4351" s="1">
        <v>0.73664769530834584</v>
      </c>
      <c r="K4351" s="1" t="s">
        <v>181</v>
      </c>
    </row>
    <row r="4352" spans="1:11" x14ac:dyDescent="0.25">
      <c r="A4352" s="1" t="s">
        <v>13667</v>
      </c>
      <c r="B4352" s="1" t="s">
        <v>13668</v>
      </c>
      <c r="D4352" s="1" t="s">
        <v>13669</v>
      </c>
      <c r="E4352" s="1" t="s">
        <v>209</v>
      </c>
      <c r="F4352" s="1" t="s">
        <v>5017</v>
      </c>
      <c r="G4352" s="1" t="s">
        <v>5018</v>
      </c>
      <c r="H4352" s="1">
        <v>0.1</v>
      </c>
      <c r="I4352" s="1">
        <v>0.1</v>
      </c>
      <c r="J4352" s="1">
        <v>0.70748171278224992</v>
      </c>
      <c r="K4352" s="1" t="s">
        <v>181</v>
      </c>
    </row>
    <row r="4353" spans="1:11" x14ac:dyDescent="0.25">
      <c r="A4353" s="1" t="s">
        <v>13670</v>
      </c>
      <c r="B4353" s="1" t="s">
        <v>13671</v>
      </c>
      <c r="D4353" s="1" t="s">
        <v>13672</v>
      </c>
      <c r="E4353" s="1" t="s">
        <v>209</v>
      </c>
      <c r="F4353" s="1" t="s">
        <v>5017</v>
      </c>
      <c r="G4353" s="1" t="s">
        <v>5018</v>
      </c>
      <c r="H4353" s="1">
        <v>0.1</v>
      </c>
      <c r="I4353" s="1">
        <v>0.1</v>
      </c>
      <c r="J4353" s="1">
        <v>0.67382471441199832</v>
      </c>
      <c r="K4353" s="1" t="s">
        <v>181</v>
      </c>
    </row>
    <row r="4354" spans="1:11" x14ac:dyDescent="0.25">
      <c r="A4354" s="1" t="s">
        <v>13673</v>
      </c>
      <c r="B4354" s="1" t="s">
        <v>13674</v>
      </c>
      <c r="D4354" s="1" t="s">
        <v>13675</v>
      </c>
      <c r="E4354" s="1" t="s">
        <v>209</v>
      </c>
      <c r="F4354" s="1" t="s">
        <v>5017</v>
      </c>
      <c r="G4354" s="1" t="s">
        <v>5018</v>
      </c>
      <c r="H4354" s="1">
        <v>0.1</v>
      </c>
      <c r="I4354" s="1">
        <v>0.1</v>
      </c>
      <c r="J4354" s="1">
        <v>0.51745830066071197</v>
      </c>
      <c r="K4354" s="1" t="s">
        <v>181</v>
      </c>
    </row>
    <row r="4355" spans="1:11" x14ac:dyDescent="0.25">
      <c r="A4355" s="1" t="s">
        <v>13676</v>
      </c>
      <c r="B4355" s="1" t="s">
        <v>13677</v>
      </c>
      <c r="D4355" s="1" t="s">
        <v>13678</v>
      </c>
      <c r="E4355" s="1" t="s">
        <v>209</v>
      </c>
      <c r="F4355" s="1" t="s">
        <v>5017</v>
      </c>
      <c r="G4355" s="1" t="s">
        <v>5018</v>
      </c>
      <c r="H4355" s="1">
        <v>0.1</v>
      </c>
      <c r="I4355" s="1">
        <v>0.1</v>
      </c>
      <c r="J4355" s="1">
        <v>0.45849324111714962</v>
      </c>
      <c r="K4355" s="1" t="s">
        <v>181</v>
      </c>
    </row>
    <row r="4356" spans="1:11" x14ac:dyDescent="0.25">
      <c r="A4356" s="1" t="s">
        <v>13679</v>
      </c>
      <c r="B4356" s="1" t="s">
        <v>13680</v>
      </c>
      <c r="D4356" s="1" t="s">
        <v>13681</v>
      </c>
      <c r="E4356" s="1" t="s">
        <v>209</v>
      </c>
      <c r="F4356" s="1" t="s">
        <v>5017</v>
      </c>
      <c r="G4356" s="1" t="s">
        <v>5018</v>
      </c>
      <c r="H4356" s="1">
        <v>0.1</v>
      </c>
      <c r="I4356" s="1">
        <v>0.1</v>
      </c>
      <c r="J4356" s="1">
        <v>0.76766387604253405</v>
      </c>
      <c r="K4356" s="1" t="s">
        <v>181</v>
      </c>
    </row>
    <row r="4357" spans="1:11" x14ac:dyDescent="0.25">
      <c r="A4357" s="1" t="s">
        <v>13682</v>
      </c>
      <c r="B4357" s="1" t="s">
        <v>13683</v>
      </c>
      <c r="D4357" s="1" t="s">
        <v>13684</v>
      </c>
      <c r="E4357" s="1" t="s">
        <v>209</v>
      </c>
      <c r="F4357" s="1" t="s">
        <v>5017</v>
      </c>
      <c r="G4357" s="1" t="s">
        <v>5018</v>
      </c>
      <c r="H4357" s="1">
        <v>0.1</v>
      </c>
      <c r="I4357" s="1">
        <v>0.1</v>
      </c>
      <c r="J4357" s="1">
        <v>0.70078890268313665</v>
      </c>
      <c r="K4357" s="1" t="s">
        <v>181</v>
      </c>
    </row>
    <row r="4358" spans="1:11" x14ac:dyDescent="0.25">
      <c r="A4358" s="1" t="s">
        <v>13685</v>
      </c>
      <c r="B4358" s="1" t="s">
        <v>13686</v>
      </c>
      <c r="D4358" s="1" t="s">
        <v>13687</v>
      </c>
      <c r="E4358" s="1" t="s">
        <v>209</v>
      </c>
      <c r="F4358" s="1" t="s">
        <v>5017</v>
      </c>
      <c r="G4358" s="1" t="s">
        <v>5018</v>
      </c>
      <c r="H4358" s="1">
        <v>0.1</v>
      </c>
      <c r="I4358" s="1">
        <v>0.1</v>
      </c>
      <c r="J4358" s="1">
        <v>0.66146665160984697</v>
      </c>
      <c r="K4358" s="1" t="s">
        <v>181</v>
      </c>
    </row>
    <row r="4359" spans="1:11" x14ac:dyDescent="0.25">
      <c r="A4359" s="1" t="s">
        <v>13688</v>
      </c>
      <c r="B4359" s="1" t="s">
        <v>13689</v>
      </c>
      <c r="D4359" s="1" t="s">
        <v>13690</v>
      </c>
      <c r="E4359" s="1" t="s">
        <v>209</v>
      </c>
      <c r="F4359" s="1" t="s">
        <v>5017</v>
      </c>
      <c r="G4359" s="1" t="s">
        <v>5018</v>
      </c>
      <c r="H4359" s="1">
        <v>0.1</v>
      </c>
      <c r="I4359" s="1">
        <v>0.1</v>
      </c>
      <c r="J4359" s="1">
        <v>0.68964007071394229</v>
      </c>
      <c r="K4359" s="1" t="s">
        <v>181</v>
      </c>
    </row>
    <row r="4360" spans="1:11" x14ac:dyDescent="0.25">
      <c r="A4360" s="1" t="s">
        <v>13691</v>
      </c>
      <c r="B4360" s="1" t="s">
        <v>13692</v>
      </c>
      <c r="D4360" s="1" t="s">
        <v>13693</v>
      </c>
      <c r="E4360" s="1" t="s">
        <v>209</v>
      </c>
      <c r="F4360" s="1" t="s">
        <v>5017</v>
      </c>
      <c r="G4360" s="1" t="s">
        <v>5018</v>
      </c>
      <c r="H4360" s="1">
        <v>0.1</v>
      </c>
      <c r="I4360" s="1">
        <v>0.1</v>
      </c>
      <c r="J4360" s="1">
        <v>0.90023332351582341</v>
      </c>
      <c r="K4360" s="1" t="s">
        <v>181</v>
      </c>
    </row>
    <row r="4361" spans="1:11" x14ac:dyDescent="0.25">
      <c r="A4361" s="1" t="s">
        <v>13694</v>
      </c>
      <c r="B4361" s="1" t="s">
        <v>13695</v>
      </c>
      <c r="D4361" s="1" t="s">
        <v>13696</v>
      </c>
      <c r="E4361" s="1" t="s">
        <v>209</v>
      </c>
      <c r="F4361" s="1" t="s">
        <v>5017</v>
      </c>
      <c r="G4361" s="1" t="s">
        <v>5018</v>
      </c>
      <c r="H4361" s="1">
        <v>0.1</v>
      </c>
      <c r="I4361" s="1">
        <v>0.1</v>
      </c>
      <c r="J4361" s="1">
        <v>0.78284182119938917</v>
      </c>
      <c r="K4361" s="1" t="s">
        <v>181</v>
      </c>
    </row>
    <row r="4362" spans="1:11" x14ac:dyDescent="0.25">
      <c r="A4362" s="1" t="s">
        <v>13697</v>
      </c>
      <c r="B4362" s="1" t="s">
        <v>13698</v>
      </c>
      <c r="D4362" s="1" t="s">
        <v>13699</v>
      </c>
      <c r="E4362" s="1" t="s">
        <v>209</v>
      </c>
      <c r="F4362" s="1" t="s">
        <v>5017</v>
      </c>
      <c r="G4362" s="1" t="s">
        <v>5018</v>
      </c>
      <c r="H4362" s="1">
        <v>0.1</v>
      </c>
      <c r="I4362" s="1">
        <v>0.1</v>
      </c>
      <c r="J4362" s="1">
        <v>0.74823325592662648</v>
      </c>
      <c r="K4362" s="1" t="s">
        <v>181</v>
      </c>
    </row>
    <row r="4363" spans="1:11" x14ac:dyDescent="0.25">
      <c r="A4363" s="1" t="s">
        <v>13700</v>
      </c>
      <c r="B4363" s="1" t="s">
        <v>13701</v>
      </c>
      <c r="D4363" s="1" t="s">
        <v>13702</v>
      </c>
      <c r="E4363" s="1" t="s">
        <v>209</v>
      </c>
      <c r="F4363" s="1" t="s">
        <v>5017</v>
      </c>
      <c r="G4363" s="1" t="s">
        <v>5018</v>
      </c>
      <c r="H4363" s="1">
        <v>0.1</v>
      </c>
      <c r="I4363" s="1">
        <v>0.1</v>
      </c>
      <c r="J4363" s="1">
        <v>0.61115774432218151</v>
      </c>
      <c r="K4363" s="1" t="s">
        <v>181</v>
      </c>
    </row>
    <row r="4364" spans="1:11" x14ac:dyDescent="0.25">
      <c r="A4364" s="1" t="s">
        <v>13703</v>
      </c>
      <c r="B4364" s="1" t="s">
        <v>13704</v>
      </c>
      <c r="D4364" s="1" t="s">
        <v>13705</v>
      </c>
      <c r="E4364" s="1" t="s">
        <v>209</v>
      </c>
      <c r="F4364" s="1" t="s">
        <v>5017</v>
      </c>
      <c r="G4364" s="1" t="s">
        <v>5018</v>
      </c>
      <c r="H4364" s="1">
        <v>0.1</v>
      </c>
      <c r="I4364" s="1">
        <v>0.1</v>
      </c>
      <c r="J4364" s="1">
        <v>1.0149580183708149</v>
      </c>
      <c r="K4364" s="1" t="s">
        <v>181</v>
      </c>
    </row>
    <row r="4365" spans="1:11" x14ac:dyDescent="0.25">
      <c r="A4365" s="1" t="s">
        <v>13706</v>
      </c>
      <c r="B4365" s="1" t="s">
        <v>13707</v>
      </c>
      <c r="D4365" s="1" t="s">
        <v>13708</v>
      </c>
      <c r="E4365" s="1" t="s">
        <v>209</v>
      </c>
      <c r="F4365" s="1" t="s">
        <v>5017</v>
      </c>
      <c r="G4365" s="1" t="s">
        <v>5018</v>
      </c>
      <c r="H4365" s="1">
        <v>0.1</v>
      </c>
      <c r="I4365" s="1">
        <v>0.1</v>
      </c>
      <c r="J4365" s="1">
        <v>0.79871217961051277</v>
      </c>
      <c r="K4365" s="1" t="s">
        <v>181</v>
      </c>
    </row>
    <row r="4366" spans="1:11" x14ac:dyDescent="0.25">
      <c r="A4366" s="1" t="s">
        <v>13709</v>
      </c>
      <c r="B4366" s="1" t="s">
        <v>13710</v>
      </c>
      <c r="D4366" s="1" t="s">
        <v>13711</v>
      </c>
      <c r="E4366" s="1" t="s">
        <v>209</v>
      </c>
      <c r="F4366" s="1" t="s">
        <v>5017</v>
      </c>
      <c r="G4366" s="1" t="s">
        <v>5018</v>
      </c>
      <c r="H4366" s="1">
        <v>0.1</v>
      </c>
      <c r="I4366" s="1">
        <v>0.1</v>
      </c>
      <c r="J4366" s="1">
        <v>0.80546560174815962</v>
      </c>
      <c r="K4366" s="1" t="s">
        <v>181</v>
      </c>
    </row>
    <row r="4367" spans="1:11" x14ac:dyDescent="0.25">
      <c r="A4367" s="1" t="s">
        <v>13712</v>
      </c>
      <c r="B4367" s="1" t="s">
        <v>13713</v>
      </c>
      <c r="D4367" s="1" t="s">
        <v>13714</v>
      </c>
      <c r="E4367" s="1" t="s">
        <v>209</v>
      </c>
      <c r="F4367" s="1" t="s">
        <v>5017</v>
      </c>
      <c r="G4367" s="1" t="s">
        <v>5018</v>
      </c>
      <c r="H4367" s="1">
        <v>0.1</v>
      </c>
      <c r="I4367" s="1">
        <v>0.1</v>
      </c>
      <c r="J4367" s="1">
        <v>0.81081157737062959</v>
      </c>
      <c r="K4367" s="1" t="s">
        <v>181</v>
      </c>
    </row>
    <row r="4368" spans="1:11" x14ac:dyDescent="0.25">
      <c r="A4368" s="1" t="s">
        <v>13715</v>
      </c>
      <c r="B4368" s="1" t="s">
        <v>13716</v>
      </c>
      <c r="D4368" s="1" t="s">
        <v>13717</v>
      </c>
      <c r="E4368" s="1" t="s">
        <v>209</v>
      </c>
      <c r="F4368" s="1" t="s">
        <v>5017</v>
      </c>
      <c r="G4368" s="1" t="s">
        <v>5018</v>
      </c>
      <c r="H4368" s="1">
        <v>0.1</v>
      </c>
      <c r="I4368" s="1">
        <v>0.1</v>
      </c>
      <c r="J4368" s="1">
        <v>0.48398081788989072</v>
      </c>
      <c r="K4368" s="1" t="s">
        <v>181</v>
      </c>
    </row>
    <row r="4369" spans="1:11" x14ac:dyDescent="0.25">
      <c r="A4369" s="1" t="s">
        <v>13718</v>
      </c>
      <c r="B4369" s="1" t="s">
        <v>13719</v>
      </c>
      <c r="D4369" s="1" t="s">
        <v>13720</v>
      </c>
      <c r="E4369" s="1" t="s">
        <v>209</v>
      </c>
      <c r="F4369" s="1" t="s">
        <v>5017</v>
      </c>
      <c r="G4369" s="1" t="s">
        <v>5018</v>
      </c>
      <c r="H4369" s="1">
        <v>0.1</v>
      </c>
      <c r="I4369" s="1">
        <v>0.1</v>
      </c>
      <c r="J4369" s="1">
        <v>0.68590596675540094</v>
      </c>
      <c r="K4369" s="1" t="s">
        <v>181</v>
      </c>
    </row>
    <row r="4370" spans="1:11" x14ac:dyDescent="0.25">
      <c r="A4370" s="1" t="s">
        <v>13721</v>
      </c>
      <c r="B4370" s="1" t="s">
        <v>13722</v>
      </c>
      <c r="D4370" s="1" t="s">
        <v>13723</v>
      </c>
      <c r="E4370" s="1" t="s">
        <v>209</v>
      </c>
      <c r="F4370" s="1" t="s">
        <v>5017</v>
      </c>
      <c r="G4370" s="1" t="s">
        <v>5018</v>
      </c>
      <c r="H4370" s="1">
        <v>0.1</v>
      </c>
      <c r="I4370" s="1">
        <v>0.1</v>
      </c>
      <c r="J4370" s="1">
        <v>0.58163749821817767</v>
      </c>
      <c r="K4370" s="1" t="s">
        <v>181</v>
      </c>
    </row>
    <row r="4371" spans="1:11" x14ac:dyDescent="0.25">
      <c r="A4371" s="1" t="s">
        <v>13724</v>
      </c>
      <c r="B4371" s="1" t="s">
        <v>13725</v>
      </c>
      <c r="D4371" s="1" t="s">
        <v>13726</v>
      </c>
      <c r="E4371" s="1" t="s">
        <v>209</v>
      </c>
      <c r="F4371" s="1" t="s">
        <v>5017</v>
      </c>
      <c r="G4371" s="1" t="s">
        <v>5018</v>
      </c>
      <c r="H4371" s="1">
        <v>0.1</v>
      </c>
      <c r="I4371" s="1">
        <v>0.1</v>
      </c>
      <c r="J4371" s="1">
        <v>0.59153753493293793</v>
      </c>
      <c r="K4371" s="1" t="s">
        <v>181</v>
      </c>
    </row>
    <row r="4372" spans="1:11" x14ac:dyDescent="0.25">
      <c r="A4372" s="1" t="s">
        <v>13727</v>
      </c>
      <c r="B4372" s="1" t="s">
        <v>13728</v>
      </c>
      <c r="D4372" s="1" t="s">
        <v>13729</v>
      </c>
      <c r="E4372" s="1" t="s">
        <v>209</v>
      </c>
      <c r="F4372" s="1" t="s">
        <v>5017</v>
      </c>
      <c r="G4372" s="1" t="s">
        <v>5018</v>
      </c>
      <c r="H4372" s="1">
        <v>0.1</v>
      </c>
      <c r="I4372" s="1">
        <v>0.1</v>
      </c>
      <c r="J4372" s="1">
        <v>0.63295602960343678</v>
      </c>
      <c r="K4372" s="1" t="s">
        <v>181</v>
      </c>
    </row>
    <row r="4373" spans="1:11" x14ac:dyDescent="0.25">
      <c r="A4373" s="1" t="s">
        <v>13730</v>
      </c>
      <c r="B4373" s="1" t="s">
        <v>13731</v>
      </c>
      <c r="D4373" s="1" t="s">
        <v>13732</v>
      </c>
      <c r="E4373" s="1" t="s">
        <v>209</v>
      </c>
      <c r="F4373" s="1" t="s">
        <v>5017</v>
      </c>
      <c r="G4373" s="1" t="s">
        <v>5018</v>
      </c>
      <c r="H4373" s="1">
        <v>0.1</v>
      </c>
      <c r="I4373" s="1">
        <v>0.1</v>
      </c>
      <c r="J4373" s="1">
        <v>0.52899561524684469</v>
      </c>
      <c r="K4373" s="1" t="s">
        <v>181</v>
      </c>
    </row>
    <row r="4374" spans="1:11" x14ac:dyDescent="0.25">
      <c r="A4374" s="1" t="s">
        <v>13733</v>
      </c>
      <c r="B4374" s="1" t="s">
        <v>13734</v>
      </c>
      <c r="D4374" s="1" t="s">
        <v>13735</v>
      </c>
      <c r="E4374" s="1" t="s">
        <v>209</v>
      </c>
      <c r="F4374" s="1" t="s">
        <v>5017</v>
      </c>
      <c r="G4374" s="1" t="s">
        <v>5018</v>
      </c>
      <c r="H4374" s="1">
        <v>0.1</v>
      </c>
      <c r="I4374" s="1">
        <v>0.1</v>
      </c>
      <c r="J4374" s="1">
        <v>0.74134640790712025</v>
      </c>
      <c r="K4374" s="1" t="s">
        <v>181</v>
      </c>
    </row>
    <row r="4375" spans="1:11" x14ac:dyDescent="0.25">
      <c r="A4375" s="1" t="s">
        <v>13736</v>
      </c>
      <c r="B4375" s="1" t="s">
        <v>13737</v>
      </c>
      <c r="D4375" s="1" t="s">
        <v>13738</v>
      </c>
      <c r="E4375" s="1" t="s">
        <v>209</v>
      </c>
      <c r="F4375" s="1" t="s">
        <v>5017</v>
      </c>
      <c r="G4375" s="1" t="s">
        <v>5018</v>
      </c>
      <c r="H4375" s="1">
        <v>0.1</v>
      </c>
      <c r="I4375" s="1">
        <v>0.1</v>
      </c>
      <c r="J4375" s="1">
        <v>0.74771241083938278</v>
      </c>
      <c r="K4375" s="1" t="s">
        <v>181</v>
      </c>
    </row>
    <row r="4376" spans="1:11" x14ac:dyDescent="0.25">
      <c r="A4376" s="1" t="s">
        <v>13739</v>
      </c>
      <c r="B4376" s="1" t="s">
        <v>13740</v>
      </c>
      <c r="D4376" s="1" t="s">
        <v>13741</v>
      </c>
      <c r="E4376" s="1" t="s">
        <v>209</v>
      </c>
      <c r="F4376" s="1" t="s">
        <v>5017</v>
      </c>
      <c r="G4376" s="1" t="s">
        <v>5018</v>
      </c>
      <c r="H4376" s="1">
        <v>0.1</v>
      </c>
      <c r="I4376" s="1">
        <v>0.1</v>
      </c>
      <c r="J4376" s="1">
        <v>0.74489909749017136</v>
      </c>
      <c r="K4376" s="1" t="s">
        <v>181</v>
      </c>
    </row>
    <row r="4377" spans="1:11" x14ac:dyDescent="0.25">
      <c r="A4377" s="1" t="s">
        <v>13742</v>
      </c>
      <c r="B4377" s="1" t="s">
        <v>13743</v>
      </c>
      <c r="D4377" s="1" t="s">
        <v>13744</v>
      </c>
      <c r="E4377" s="1" t="s">
        <v>209</v>
      </c>
      <c r="F4377" s="1" t="s">
        <v>5017</v>
      </c>
      <c r="G4377" s="1" t="s">
        <v>5018</v>
      </c>
      <c r="H4377" s="1">
        <v>0.1</v>
      </c>
      <c r="I4377" s="1">
        <v>0.1</v>
      </c>
      <c r="J4377" s="1">
        <v>0.43354806566033827</v>
      </c>
      <c r="K4377" s="1" t="s">
        <v>181</v>
      </c>
    </row>
    <row r="4378" spans="1:11" x14ac:dyDescent="0.25">
      <c r="A4378" s="1" t="s">
        <v>13745</v>
      </c>
      <c r="B4378" s="1" t="s">
        <v>13746</v>
      </c>
      <c r="D4378" s="1" t="s">
        <v>13747</v>
      </c>
      <c r="E4378" s="1" t="s">
        <v>209</v>
      </c>
      <c r="F4378" s="1" t="s">
        <v>5017</v>
      </c>
      <c r="G4378" s="1" t="s">
        <v>5018</v>
      </c>
      <c r="H4378" s="1">
        <v>0.1</v>
      </c>
      <c r="I4378" s="1">
        <v>0.1</v>
      </c>
      <c r="J4378" s="1">
        <v>0.71810403260933575</v>
      </c>
      <c r="K4378" s="1" t="s">
        <v>181</v>
      </c>
    </row>
    <row r="4379" spans="1:11" x14ac:dyDescent="0.25">
      <c r="A4379" s="1" t="s">
        <v>13748</v>
      </c>
      <c r="B4379" s="1" t="s">
        <v>13749</v>
      </c>
      <c r="C4379" s="1" t="s">
        <v>13750</v>
      </c>
      <c r="D4379" s="1" t="s">
        <v>13751</v>
      </c>
      <c r="E4379" s="1" t="s">
        <v>209</v>
      </c>
      <c r="F4379" s="1" t="s">
        <v>5017</v>
      </c>
      <c r="G4379" s="1" t="s">
        <v>5018</v>
      </c>
      <c r="H4379" s="1">
        <v>0.1</v>
      </c>
      <c r="I4379" s="1">
        <v>0.1</v>
      </c>
      <c r="J4379" s="1">
        <v>0.8710364121900932</v>
      </c>
      <c r="K4379" s="1" t="s">
        <v>181</v>
      </c>
    </row>
    <row r="4380" spans="1:11" x14ac:dyDescent="0.25">
      <c r="A4380" s="1" t="s">
        <v>13752</v>
      </c>
      <c r="B4380" s="1" t="s">
        <v>13753</v>
      </c>
      <c r="C4380" s="1" t="s">
        <v>13754</v>
      </c>
      <c r="D4380" s="1" t="s">
        <v>13755</v>
      </c>
      <c r="E4380" s="1" t="s">
        <v>209</v>
      </c>
      <c r="F4380" s="1" t="s">
        <v>5017</v>
      </c>
      <c r="G4380" s="1" t="s">
        <v>5018</v>
      </c>
      <c r="H4380" s="1">
        <v>0.1</v>
      </c>
      <c r="I4380" s="1">
        <v>0.1</v>
      </c>
      <c r="J4380" s="1">
        <v>0.68273955270902453</v>
      </c>
      <c r="K4380" s="1" t="s">
        <v>181</v>
      </c>
    </row>
    <row r="4381" spans="1:11" x14ac:dyDescent="0.25">
      <c r="A4381" s="1" t="s">
        <v>13756</v>
      </c>
      <c r="B4381" s="1" t="s">
        <v>13757</v>
      </c>
      <c r="D4381" s="1" t="s">
        <v>13758</v>
      </c>
      <c r="E4381" s="1" t="s">
        <v>209</v>
      </c>
      <c r="F4381" s="1" t="s">
        <v>5017</v>
      </c>
      <c r="G4381" s="1" t="s">
        <v>5018</v>
      </c>
      <c r="H4381" s="1">
        <v>0.1</v>
      </c>
      <c r="I4381" s="1">
        <v>0.1</v>
      </c>
      <c r="J4381" s="1">
        <v>0.80959951773089467</v>
      </c>
      <c r="K4381" s="1" t="s">
        <v>181</v>
      </c>
    </row>
    <row r="4382" spans="1:11" x14ac:dyDescent="0.25">
      <c r="A4382" s="1" t="s">
        <v>13759</v>
      </c>
      <c r="B4382" s="1" t="s">
        <v>13760</v>
      </c>
      <c r="D4382" s="1" t="s">
        <v>13761</v>
      </c>
      <c r="E4382" s="1" t="s">
        <v>209</v>
      </c>
      <c r="F4382" s="1" t="s">
        <v>5017</v>
      </c>
      <c r="G4382" s="1" t="s">
        <v>5018</v>
      </c>
      <c r="H4382" s="1">
        <v>0.1</v>
      </c>
      <c r="I4382" s="1">
        <v>0.1</v>
      </c>
      <c r="J4382" s="1">
        <v>0.84592534195372948</v>
      </c>
      <c r="K4382" s="1" t="s">
        <v>181</v>
      </c>
    </row>
    <row r="4383" spans="1:11" x14ac:dyDescent="0.25">
      <c r="A4383" s="1" t="s">
        <v>13762</v>
      </c>
      <c r="B4383" s="1" t="s">
        <v>13763</v>
      </c>
      <c r="D4383" s="1" t="s">
        <v>13764</v>
      </c>
      <c r="E4383" s="1" t="s">
        <v>209</v>
      </c>
      <c r="F4383" s="1" t="s">
        <v>5017</v>
      </c>
      <c r="G4383" s="1" t="s">
        <v>5018</v>
      </c>
      <c r="H4383" s="1">
        <v>0.1</v>
      </c>
      <c r="I4383" s="1">
        <v>0.1</v>
      </c>
      <c r="J4383" s="1">
        <v>0.60230417167977535</v>
      </c>
      <c r="K4383" s="1" t="s">
        <v>181</v>
      </c>
    </row>
    <row r="4384" spans="1:11" x14ac:dyDescent="0.25">
      <c r="A4384" s="1" t="s">
        <v>13765</v>
      </c>
      <c r="B4384" s="1" t="s">
        <v>13766</v>
      </c>
      <c r="D4384" s="1" t="s">
        <v>13767</v>
      </c>
      <c r="E4384" s="1" t="s">
        <v>209</v>
      </c>
      <c r="F4384" s="1" t="s">
        <v>5017</v>
      </c>
      <c r="G4384" s="1" t="s">
        <v>5018</v>
      </c>
      <c r="H4384" s="1">
        <v>0.1</v>
      </c>
      <c r="I4384" s="1">
        <v>0.1</v>
      </c>
      <c r="J4384" s="1">
        <v>0.56533281358457999</v>
      </c>
      <c r="K4384" s="1" t="s">
        <v>181</v>
      </c>
    </row>
    <row r="4385" spans="1:11" x14ac:dyDescent="0.25">
      <c r="A4385" s="1" t="s">
        <v>13768</v>
      </c>
      <c r="B4385" s="1" t="s">
        <v>13769</v>
      </c>
      <c r="D4385" s="1" t="s">
        <v>13770</v>
      </c>
      <c r="E4385" s="1" t="s">
        <v>209</v>
      </c>
      <c r="F4385" s="1" t="s">
        <v>5017</v>
      </c>
      <c r="G4385" s="1" t="s">
        <v>5018</v>
      </c>
      <c r="H4385" s="1">
        <v>0.1</v>
      </c>
      <c r="I4385" s="1">
        <v>0.1</v>
      </c>
      <c r="J4385" s="1">
        <v>0.91397493972106469</v>
      </c>
      <c r="K4385" s="1" t="s">
        <v>181</v>
      </c>
    </row>
    <row r="4386" spans="1:11" x14ac:dyDescent="0.25">
      <c r="A4386" s="1" t="s">
        <v>13771</v>
      </c>
      <c r="B4386" s="1" t="s">
        <v>13772</v>
      </c>
      <c r="D4386" s="1" t="s">
        <v>13773</v>
      </c>
      <c r="E4386" s="1" t="s">
        <v>209</v>
      </c>
      <c r="F4386" s="1" t="s">
        <v>5017</v>
      </c>
      <c r="G4386" s="1" t="s">
        <v>5018</v>
      </c>
      <c r="H4386" s="1">
        <v>0.1</v>
      </c>
      <c r="I4386" s="1">
        <v>0.1</v>
      </c>
      <c r="J4386" s="1">
        <v>0.52305712079531919</v>
      </c>
      <c r="K4386" s="1" t="s">
        <v>181</v>
      </c>
    </row>
    <row r="4387" spans="1:11" x14ac:dyDescent="0.25">
      <c r="A4387" s="1" t="s">
        <v>13774</v>
      </c>
      <c r="B4387" s="1" t="s">
        <v>13775</v>
      </c>
      <c r="D4387" s="1" t="s">
        <v>13776</v>
      </c>
      <c r="E4387" s="1" t="s">
        <v>209</v>
      </c>
      <c r="F4387" s="1" t="s">
        <v>5017</v>
      </c>
      <c r="G4387" s="1" t="s">
        <v>5018</v>
      </c>
      <c r="H4387" s="1">
        <v>0.1</v>
      </c>
      <c r="I4387" s="1">
        <v>0.1</v>
      </c>
      <c r="J4387" s="1">
        <v>0.72632309104055759</v>
      </c>
      <c r="K4387" s="1" t="s">
        <v>181</v>
      </c>
    </row>
    <row r="4388" spans="1:11" x14ac:dyDescent="0.25">
      <c r="A4388" s="1" t="s">
        <v>13777</v>
      </c>
      <c r="B4388" s="1" t="s">
        <v>13778</v>
      </c>
      <c r="D4388" s="1" t="s">
        <v>13779</v>
      </c>
      <c r="E4388" s="1" t="s">
        <v>209</v>
      </c>
      <c r="F4388" s="1" t="s">
        <v>5017</v>
      </c>
      <c r="G4388" s="1" t="s">
        <v>5018</v>
      </c>
      <c r="H4388" s="1">
        <v>0.1</v>
      </c>
      <c r="I4388" s="1">
        <v>0.1</v>
      </c>
      <c r="J4388" s="1">
        <v>0.66984509014965254</v>
      </c>
      <c r="K4388" s="1" t="s">
        <v>181</v>
      </c>
    </row>
    <row r="4389" spans="1:11" x14ac:dyDescent="0.25">
      <c r="A4389" s="1" t="s">
        <v>13780</v>
      </c>
      <c r="B4389" s="1" t="s">
        <v>13781</v>
      </c>
      <c r="D4389" s="1" t="s">
        <v>13782</v>
      </c>
      <c r="E4389" s="1" t="s">
        <v>209</v>
      </c>
      <c r="F4389" s="1" t="s">
        <v>5017</v>
      </c>
      <c r="G4389" s="1" t="s">
        <v>5018</v>
      </c>
      <c r="H4389" s="1">
        <v>0.1</v>
      </c>
      <c r="I4389" s="1">
        <v>0.1</v>
      </c>
      <c r="J4389" s="1">
        <v>0.74749519405150133</v>
      </c>
      <c r="K4389" s="1" t="s">
        <v>181</v>
      </c>
    </row>
    <row r="4390" spans="1:11" x14ac:dyDescent="0.25">
      <c r="A4390" s="1" t="s">
        <v>66</v>
      </c>
      <c r="B4390" s="1" t="s">
        <v>13783</v>
      </c>
      <c r="D4390" s="1" t="s">
        <v>13784</v>
      </c>
      <c r="E4390" s="1" t="s">
        <v>209</v>
      </c>
      <c r="F4390" s="1" t="s">
        <v>5017</v>
      </c>
      <c r="G4390" s="1" t="s">
        <v>5018</v>
      </c>
      <c r="H4390" s="1">
        <v>0.1</v>
      </c>
      <c r="I4390" s="1">
        <v>0.1</v>
      </c>
      <c r="J4390" s="1">
        <v>0.63661044130040878</v>
      </c>
      <c r="K4390" s="1" t="s">
        <v>181</v>
      </c>
    </row>
    <row r="4391" spans="1:11" x14ac:dyDescent="0.25">
      <c r="A4391" s="1" t="s">
        <v>13785</v>
      </c>
      <c r="B4391" s="1" t="s">
        <v>13786</v>
      </c>
      <c r="D4391" s="1" t="s">
        <v>13787</v>
      </c>
      <c r="E4391" s="1" t="s">
        <v>209</v>
      </c>
      <c r="F4391" s="1" t="s">
        <v>5017</v>
      </c>
      <c r="G4391" s="1" t="s">
        <v>5018</v>
      </c>
      <c r="H4391" s="1">
        <v>0.1</v>
      </c>
      <c r="I4391" s="1">
        <v>0.1</v>
      </c>
      <c r="J4391" s="1">
        <v>0.68027276962876349</v>
      </c>
      <c r="K4391" s="1" t="s">
        <v>181</v>
      </c>
    </row>
    <row r="4392" spans="1:11" x14ac:dyDescent="0.25">
      <c r="A4392" s="1" t="s">
        <v>13788</v>
      </c>
      <c r="B4392" s="1" t="s">
        <v>13789</v>
      </c>
      <c r="D4392" s="1" t="s">
        <v>13790</v>
      </c>
      <c r="E4392" s="1" t="s">
        <v>209</v>
      </c>
      <c r="F4392" s="1" t="s">
        <v>5017</v>
      </c>
      <c r="G4392" s="1" t="s">
        <v>5018</v>
      </c>
      <c r="H4392" s="1">
        <v>0.1</v>
      </c>
      <c r="I4392" s="1">
        <v>0.1</v>
      </c>
      <c r="J4392" s="1">
        <v>0.66978756410067541</v>
      </c>
      <c r="K4392" s="1" t="s">
        <v>181</v>
      </c>
    </row>
    <row r="4393" spans="1:11" x14ac:dyDescent="0.25">
      <c r="A4393" s="1" t="s">
        <v>13791</v>
      </c>
      <c r="B4393" s="1" t="s">
        <v>13792</v>
      </c>
      <c r="D4393" s="1" t="s">
        <v>13793</v>
      </c>
      <c r="E4393" s="1" t="s">
        <v>209</v>
      </c>
      <c r="F4393" s="1" t="s">
        <v>5017</v>
      </c>
      <c r="G4393" s="1" t="s">
        <v>5018</v>
      </c>
      <c r="H4393" s="1">
        <v>0.1</v>
      </c>
      <c r="I4393" s="1">
        <v>0.1</v>
      </c>
      <c r="J4393" s="1">
        <v>0.66456092456078975</v>
      </c>
      <c r="K4393" s="1" t="s">
        <v>181</v>
      </c>
    </row>
    <row r="4394" spans="1:11" x14ac:dyDescent="0.25">
      <c r="A4394" s="1" t="s">
        <v>13794</v>
      </c>
      <c r="B4394" s="1" t="s">
        <v>13795</v>
      </c>
      <c r="D4394" s="1" t="s">
        <v>13796</v>
      </c>
      <c r="E4394" s="1" t="s">
        <v>209</v>
      </c>
      <c r="F4394" s="1" t="s">
        <v>5017</v>
      </c>
      <c r="G4394" s="1" t="s">
        <v>5018</v>
      </c>
      <c r="H4394" s="1">
        <v>0.1</v>
      </c>
      <c r="I4394" s="1">
        <v>0.1</v>
      </c>
      <c r="J4394" s="1">
        <v>0.47939303105160908</v>
      </c>
      <c r="K4394" s="1" t="s">
        <v>181</v>
      </c>
    </row>
    <row r="4395" spans="1:11" x14ac:dyDescent="0.25">
      <c r="A4395" s="1" t="s">
        <v>13797</v>
      </c>
      <c r="B4395" s="1" t="s">
        <v>13798</v>
      </c>
      <c r="D4395" s="1" t="s">
        <v>13799</v>
      </c>
      <c r="E4395" s="1" t="s">
        <v>209</v>
      </c>
      <c r="F4395" s="1" t="s">
        <v>5017</v>
      </c>
      <c r="G4395" s="1" t="s">
        <v>5018</v>
      </c>
      <c r="H4395" s="1">
        <v>0.1</v>
      </c>
      <c r="I4395" s="1">
        <v>0.1</v>
      </c>
      <c r="J4395" s="1">
        <v>0.67179448291528931</v>
      </c>
      <c r="K4395" s="1" t="s">
        <v>181</v>
      </c>
    </row>
    <row r="4396" spans="1:11" x14ac:dyDescent="0.25">
      <c r="A4396" s="1" t="s">
        <v>13800</v>
      </c>
      <c r="B4396" s="1" t="s">
        <v>13801</v>
      </c>
      <c r="D4396" s="1" t="s">
        <v>13802</v>
      </c>
      <c r="E4396" s="1" t="s">
        <v>209</v>
      </c>
      <c r="F4396" s="1" t="s">
        <v>5017</v>
      </c>
      <c r="G4396" s="1" t="s">
        <v>5018</v>
      </c>
      <c r="H4396" s="1">
        <v>0.1</v>
      </c>
      <c r="I4396" s="1">
        <v>0.1</v>
      </c>
      <c r="J4396" s="1">
        <v>0.91522494084706896</v>
      </c>
      <c r="K4396" s="1" t="s">
        <v>181</v>
      </c>
    </row>
    <row r="4397" spans="1:11" x14ac:dyDescent="0.25">
      <c r="A4397" s="1" t="s">
        <v>13803</v>
      </c>
      <c r="B4397" s="1" t="s">
        <v>13804</v>
      </c>
      <c r="D4397" s="1" t="s">
        <v>13805</v>
      </c>
      <c r="E4397" s="1" t="s">
        <v>209</v>
      </c>
      <c r="F4397" s="1" t="s">
        <v>5017</v>
      </c>
      <c r="G4397" s="1" t="s">
        <v>5018</v>
      </c>
      <c r="H4397" s="1">
        <v>0.1</v>
      </c>
      <c r="I4397" s="1">
        <v>0.1</v>
      </c>
      <c r="J4397" s="1">
        <v>0.8051318081707125</v>
      </c>
      <c r="K4397" s="1" t="s">
        <v>181</v>
      </c>
    </row>
    <row r="4398" spans="1:11" x14ac:dyDescent="0.25">
      <c r="A4398" s="1" t="s">
        <v>13806</v>
      </c>
      <c r="B4398" s="1" t="s">
        <v>13807</v>
      </c>
      <c r="D4398" s="1" t="s">
        <v>13808</v>
      </c>
      <c r="E4398" s="1" t="s">
        <v>209</v>
      </c>
      <c r="F4398" s="1" t="s">
        <v>5017</v>
      </c>
      <c r="G4398" s="1" t="s">
        <v>5018</v>
      </c>
      <c r="H4398" s="1">
        <v>0.1</v>
      </c>
      <c r="I4398" s="1">
        <v>0.1</v>
      </c>
      <c r="J4398" s="1">
        <v>0.81827145605152729</v>
      </c>
      <c r="K4398" s="1" t="s">
        <v>181</v>
      </c>
    </row>
    <row r="4399" spans="1:11" x14ac:dyDescent="0.25">
      <c r="A4399" s="1" t="s">
        <v>13809</v>
      </c>
      <c r="B4399" s="1" t="s">
        <v>13810</v>
      </c>
      <c r="D4399" s="1" t="s">
        <v>13811</v>
      </c>
      <c r="E4399" s="1" t="s">
        <v>209</v>
      </c>
      <c r="F4399" s="1" t="s">
        <v>5017</v>
      </c>
      <c r="G4399" s="1" t="s">
        <v>5018</v>
      </c>
      <c r="H4399" s="1">
        <v>0.1</v>
      </c>
      <c r="I4399" s="1">
        <v>0.1</v>
      </c>
      <c r="J4399" s="1">
        <v>0.737870906891815</v>
      </c>
      <c r="K4399" s="1" t="s">
        <v>181</v>
      </c>
    </row>
    <row r="4400" spans="1:11" x14ac:dyDescent="0.25">
      <c r="A4400" s="1" t="s">
        <v>13812</v>
      </c>
      <c r="B4400" s="1" t="s">
        <v>13813</v>
      </c>
      <c r="D4400" s="1" t="s">
        <v>13814</v>
      </c>
      <c r="E4400" s="1" t="s">
        <v>209</v>
      </c>
      <c r="F4400" s="1" t="s">
        <v>5017</v>
      </c>
      <c r="G4400" s="1" t="s">
        <v>5018</v>
      </c>
      <c r="H4400" s="1">
        <v>0.1</v>
      </c>
      <c r="I4400" s="1">
        <v>0.1</v>
      </c>
      <c r="J4400" s="1">
        <v>0.8136203820507274</v>
      </c>
      <c r="K4400" s="1" t="s">
        <v>181</v>
      </c>
    </row>
    <row r="4401" spans="1:11" x14ac:dyDescent="0.25">
      <c r="A4401" s="1" t="s">
        <v>13815</v>
      </c>
      <c r="B4401" s="1" t="s">
        <v>13816</v>
      </c>
      <c r="C4401" s="1" t="s">
        <v>2248</v>
      </c>
      <c r="D4401" s="1" t="s">
        <v>13817</v>
      </c>
      <c r="E4401" s="1" t="s">
        <v>209</v>
      </c>
      <c r="F4401" s="1" t="s">
        <v>5017</v>
      </c>
      <c r="G4401" s="1" t="s">
        <v>5018</v>
      </c>
      <c r="H4401" s="1">
        <v>0.1</v>
      </c>
      <c r="I4401" s="1">
        <v>0.1</v>
      </c>
      <c r="J4401" s="1">
        <v>0.91438537358409122</v>
      </c>
      <c r="K4401" s="1" t="s">
        <v>181</v>
      </c>
    </row>
    <row r="4402" spans="1:11" x14ac:dyDescent="0.25">
      <c r="A4402" s="1" t="s">
        <v>13818</v>
      </c>
      <c r="B4402" s="1" t="s">
        <v>13819</v>
      </c>
      <c r="D4402" s="1" t="s">
        <v>13820</v>
      </c>
      <c r="E4402" s="1" t="s">
        <v>209</v>
      </c>
      <c r="F4402" s="1" t="s">
        <v>5017</v>
      </c>
      <c r="G4402" s="1" t="s">
        <v>5018</v>
      </c>
      <c r="H4402" s="1">
        <v>0.1</v>
      </c>
      <c r="I4402" s="1">
        <v>0.1</v>
      </c>
      <c r="J4402" s="1">
        <v>0.88626431727759325</v>
      </c>
      <c r="K4402" s="1" t="s">
        <v>181</v>
      </c>
    </row>
    <row r="4403" spans="1:11" x14ac:dyDescent="0.25">
      <c r="A4403" s="1" t="s">
        <v>13821</v>
      </c>
      <c r="B4403" s="1" t="s">
        <v>13822</v>
      </c>
      <c r="D4403" s="1" t="s">
        <v>13823</v>
      </c>
      <c r="E4403" s="1" t="s">
        <v>209</v>
      </c>
      <c r="F4403" s="1" t="s">
        <v>5017</v>
      </c>
      <c r="G4403" s="1" t="s">
        <v>5018</v>
      </c>
      <c r="H4403" s="1">
        <v>0.1</v>
      </c>
      <c r="I4403" s="1">
        <v>0.1</v>
      </c>
      <c r="J4403" s="1">
        <v>0.87847320415096974</v>
      </c>
      <c r="K4403" s="1" t="s">
        <v>181</v>
      </c>
    </row>
    <row r="4404" spans="1:11" x14ac:dyDescent="0.25">
      <c r="A4404" s="1" t="s">
        <v>13824</v>
      </c>
      <c r="B4404" s="1" t="s">
        <v>13825</v>
      </c>
      <c r="D4404" s="1" t="s">
        <v>13826</v>
      </c>
      <c r="E4404" s="1" t="s">
        <v>209</v>
      </c>
      <c r="F4404" s="1" t="s">
        <v>5017</v>
      </c>
      <c r="G4404" s="1" t="s">
        <v>5018</v>
      </c>
      <c r="H4404" s="1">
        <v>0.1</v>
      </c>
      <c r="I4404" s="1">
        <v>0.1</v>
      </c>
      <c r="J4404" s="1">
        <v>0.83760391279875934</v>
      </c>
      <c r="K4404" s="1" t="s">
        <v>181</v>
      </c>
    </row>
    <row r="4405" spans="1:11" x14ac:dyDescent="0.25">
      <c r="A4405" s="1" t="s">
        <v>13827</v>
      </c>
      <c r="B4405" s="1" t="s">
        <v>13828</v>
      </c>
      <c r="D4405" s="1" t="s">
        <v>13829</v>
      </c>
      <c r="E4405" s="1" t="s">
        <v>209</v>
      </c>
      <c r="F4405" s="1" t="s">
        <v>5017</v>
      </c>
      <c r="G4405" s="1" t="s">
        <v>5018</v>
      </c>
      <c r="H4405" s="1">
        <v>0.1</v>
      </c>
      <c r="I4405" s="1">
        <v>0.1</v>
      </c>
      <c r="J4405" s="1">
        <v>0.76405984800327331</v>
      </c>
      <c r="K4405" s="1" t="s">
        <v>181</v>
      </c>
    </row>
    <row r="4406" spans="1:11" x14ac:dyDescent="0.25">
      <c r="A4406" s="1" t="s">
        <v>13830</v>
      </c>
      <c r="B4406" s="1" t="s">
        <v>13831</v>
      </c>
      <c r="D4406" s="1" t="s">
        <v>13832</v>
      </c>
      <c r="E4406" s="1" t="s">
        <v>209</v>
      </c>
      <c r="F4406" s="1" t="s">
        <v>5017</v>
      </c>
      <c r="G4406" s="1" t="s">
        <v>5018</v>
      </c>
      <c r="H4406" s="1">
        <v>0.1</v>
      </c>
      <c r="I4406" s="1">
        <v>0.1</v>
      </c>
      <c r="J4406" s="1">
        <v>0.72406130175418981</v>
      </c>
      <c r="K4406" s="1" t="s">
        <v>181</v>
      </c>
    </row>
    <row r="4407" spans="1:11" x14ac:dyDescent="0.25">
      <c r="A4407" s="1" t="s">
        <v>13833</v>
      </c>
      <c r="B4407" s="1" t="s">
        <v>13834</v>
      </c>
      <c r="D4407" s="1" t="s">
        <v>13835</v>
      </c>
      <c r="E4407" s="1" t="s">
        <v>209</v>
      </c>
      <c r="F4407" s="1" t="s">
        <v>5017</v>
      </c>
      <c r="G4407" s="1" t="s">
        <v>5018</v>
      </c>
      <c r="H4407" s="1">
        <v>0.1</v>
      </c>
      <c r="I4407" s="1">
        <v>0.1</v>
      </c>
      <c r="J4407" s="1">
        <v>0.89161732119673365</v>
      </c>
      <c r="K4407" s="1" t="s">
        <v>181</v>
      </c>
    </row>
    <row r="4408" spans="1:11" x14ac:dyDescent="0.25">
      <c r="A4408" s="1" t="s">
        <v>13836</v>
      </c>
      <c r="B4408" s="1" t="s">
        <v>13837</v>
      </c>
      <c r="D4408" s="1" t="s">
        <v>13838</v>
      </c>
      <c r="E4408" s="1" t="s">
        <v>209</v>
      </c>
      <c r="F4408" s="1" t="s">
        <v>5017</v>
      </c>
      <c r="G4408" s="1" t="s">
        <v>5018</v>
      </c>
      <c r="H4408" s="1">
        <v>0.1</v>
      </c>
      <c r="I4408" s="1">
        <v>0.1</v>
      </c>
      <c r="J4408" s="1">
        <v>0.72820088753231449</v>
      </c>
      <c r="K4408" s="1" t="s">
        <v>181</v>
      </c>
    </row>
    <row r="4409" spans="1:11" x14ac:dyDescent="0.25">
      <c r="A4409" s="1" t="s">
        <v>13839</v>
      </c>
      <c r="B4409" s="1" t="s">
        <v>13840</v>
      </c>
      <c r="D4409" s="1" t="s">
        <v>13841</v>
      </c>
      <c r="E4409" s="1" t="s">
        <v>209</v>
      </c>
      <c r="F4409" s="1" t="s">
        <v>5017</v>
      </c>
      <c r="G4409" s="1" t="s">
        <v>5018</v>
      </c>
      <c r="H4409" s="1">
        <v>0.1</v>
      </c>
      <c r="I4409" s="1">
        <v>0.1</v>
      </c>
      <c r="J4409" s="1">
        <v>0.72482646012689755</v>
      </c>
      <c r="K4409" s="1" t="s">
        <v>181</v>
      </c>
    </row>
    <row r="4410" spans="1:11" x14ac:dyDescent="0.25">
      <c r="A4410" s="1" t="s">
        <v>13842</v>
      </c>
      <c r="B4410" s="1" t="s">
        <v>13843</v>
      </c>
      <c r="D4410" s="1" t="s">
        <v>13844</v>
      </c>
      <c r="E4410" s="1" t="s">
        <v>209</v>
      </c>
      <c r="F4410" s="1" t="s">
        <v>5017</v>
      </c>
      <c r="G4410" s="1" t="s">
        <v>5018</v>
      </c>
      <c r="H4410" s="1">
        <v>0.1</v>
      </c>
      <c r="I4410" s="1">
        <v>0.1</v>
      </c>
      <c r="J4410" s="1">
        <v>0.75564577704692537</v>
      </c>
      <c r="K4410" s="1" t="s">
        <v>181</v>
      </c>
    </row>
    <row r="4411" spans="1:11" x14ac:dyDescent="0.25">
      <c r="A4411" s="1" t="s">
        <v>13845</v>
      </c>
      <c r="B4411" s="1" t="s">
        <v>13846</v>
      </c>
      <c r="D4411" s="1" t="s">
        <v>13847</v>
      </c>
      <c r="E4411" s="1" t="s">
        <v>209</v>
      </c>
      <c r="F4411" s="1" t="s">
        <v>5017</v>
      </c>
      <c r="G4411" s="1" t="s">
        <v>5018</v>
      </c>
      <c r="H4411" s="1">
        <v>0.1</v>
      </c>
      <c r="I4411" s="1">
        <v>0.1</v>
      </c>
      <c r="J4411" s="1">
        <v>0.68038489550623626</v>
      </c>
      <c r="K4411" s="1" t="s">
        <v>181</v>
      </c>
    </row>
    <row r="4412" spans="1:11" x14ac:dyDescent="0.25">
      <c r="A4412" s="1" t="s">
        <v>13848</v>
      </c>
      <c r="B4412" s="1" t="s">
        <v>13849</v>
      </c>
      <c r="D4412" s="1" t="s">
        <v>13850</v>
      </c>
      <c r="E4412" s="1" t="s">
        <v>209</v>
      </c>
      <c r="F4412" s="1" t="s">
        <v>5017</v>
      </c>
      <c r="G4412" s="1" t="s">
        <v>5018</v>
      </c>
      <c r="H4412" s="1">
        <v>0.1</v>
      </c>
      <c r="I4412" s="1">
        <v>0.1</v>
      </c>
      <c r="J4412" s="1">
        <v>0.72406552494561405</v>
      </c>
      <c r="K4412" s="1" t="s">
        <v>181</v>
      </c>
    </row>
    <row r="4413" spans="1:11" x14ac:dyDescent="0.25">
      <c r="A4413" s="1" t="s">
        <v>13851</v>
      </c>
      <c r="B4413" s="1" t="s">
        <v>13852</v>
      </c>
      <c r="D4413" s="1" t="s">
        <v>13853</v>
      </c>
      <c r="E4413" s="1" t="s">
        <v>209</v>
      </c>
      <c r="F4413" s="1" t="s">
        <v>5017</v>
      </c>
      <c r="G4413" s="1" t="s">
        <v>5018</v>
      </c>
      <c r="H4413" s="1">
        <v>0.1</v>
      </c>
      <c r="I4413" s="1">
        <v>0.1</v>
      </c>
      <c r="J4413" s="1">
        <v>0.45545125862238384</v>
      </c>
      <c r="K4413" s="1" t="s">
        <v>181</v>
      </c>
    </row>
    <row r="4414" spans="1:11" x14ac:dyDescent="0.25">
      <c r="A4414" s="1" t="s">
        <v>13854</v>
      </c>
      <c r="B4414" s="1" t="s">
        <v>13855</v>
      </c>
      <c r="D4414" s="1" t="s">
        <v>13856</v>
      </c>
      <c r="E4414" s="1" t="s">
        <v>209</v>
      </c>
      <c r="F4414" s="1" t="s">
        <v>5017</v>
      </c>
      <c r="G4414" s="1" t="s">
        <v>5018</v>
      </c>
      <c r="H4414" s="1">
        <v>0.1</v>
      </c>
      <c r="I4414" s="1">
        <v>0.1</v>
      </c>
      <c r="J4414" s="1">
        <v>0.55749934821974367</v>
      </c>
      <c r="K4414" s="1" t="s">
        <v>181</v>
      </c>
    </row>
    <row r="4415" spans="1:11" x14ac:dyDescent="0.25">
      <c r="A4415" s="1" t="s">
        <v>13857</v>
      </c>
      <c r="B4415" s="1" t="s">
        <v>13858</v>
      </c>
      <c r="D4415" s="1" t="s">
        <v>13859</v>
      </c>
      <c r="E4415" s="1" t="s">
        <v>209</v>
      </c>
      <c r="F4415" s="1" t="s">
        <v>5017</v>
      </c>
      <c r="G4415" s="1" t="s">
        <v>5018</v>
      </c>
      <c r="H4415" s="1">
        <v>0.1</v>
      </c>
      <c r="I4415" s="1">
        <v>0.1</v>
      </c>
      <c r="J4415" s="1">
        <v>0.8447902497956582</v>
      </c>
      <c r="K4415" s="1" t="s">
        <v>181</v>
      </c>
    </row>
    <row r="4416" spans="1:11" x14ac:dyDescent="0.25">
      <c r="A4416" s="1" t="s">
        <v>13860</v>
      </c>
      <c r="B4416" s="1" t="s">
        <v>13861</v>
      </c>
      <c r="D4416" s="1" t="s">
        <v>13862</v>
      </c>
      <c r="E4416" s="1" t="s">
        <v>209</v>
      </c>
      <c r="F4416" s="1" t="s">
        <v>5017</v>
      </c>
      <c r="G4416" s="1" t="s">
        <v>5018</v>
      </c>
      <c r="H4416" s="1">
        <v>0.1</v>
      </c>
      <c r="I4416" s="1">
        <v>0.1</v>
      </c>
      <c r="J4416" s="1">
        <v>0.6817878632326988</v>
      </c>
      <c r="K4416" s="1" t="s">
        <v>181</v>
      </c>
    </row>
    <row r="4417" spans="1:11" x14ac:dyDescent="0.25">
      <c r="A4417" s="1" t="s">
        <v>13863</v>
      </c>
      <c r="B4417" s="1" t="s">
        <v>13864</v>
      </c>
      <c r="D4417" s="1" t="s">
        <v>13865</v>
      </c>
      <c r="E4417" s="1" t="s">
        <v>209</v>
      </c>
      <c r="F4417" s="1" t="s">
        <v>5017</v>
      </c>
      <c r="G4417" s="1" t="s">
        <v>5018</v>
      </c>
      <c r="H4417" s="1">
        <v>0.1</v>
      </c>
      <c r="I4417" s="1">
        <v>0.1</v>
      </c>
      <c r="J4417" s="1">
        <v>0.70086685910053181</v>
      </c>
      <c r="K4417" s="1" t="s">
        <v>181</v>
      </c>
    </row>
    <row r="4418" spans="1:11" x14ac:dyDescent="0.25">
      <c r="A4418" s="1" t="s">
        <v>13866</v>
      </c>
      <c r="B4418" s="1" t="s">
        <v>13867</v>
      </c>
      <c r="D4418" s="1" t="s">
        <v>13868</v>
      </c>
      <c r="E4418" s="1" t="s">
        <v>209</v>
      </c>
      <c r="F4418" s="1" t="s">
        <v>5017</v>
      </c>
      <c r="G4418" s="1" t="s">
        <v>5018</v>
      </c>
      <c r="H4418" s="1">
        <v>0.1</v>
      </c>
      <c r="I4418" s="1">
        <v>0.1</v>
      </c>
      <c r="J4418" s="1">
        <v>0.72388562987673366</v>
      </c>
      <c r="K4418" s="1" t="s">
        <v>181</v>
      </c>
    </row>
    <row r="4419" spans="1:11" x14ac:dyDescent="0.25">
      <c r="A4419" s="1" t="s">
        <v>13869</v>
      </c>
      <c r="B4419" s="1" t="s">
        <v>13870</v>
      </c>
      <c r="D4419" s="1" t="s">
        <v>13871</v>
      </c>
      <c r="E4419" s="1" t="s">
        <v>209</v>
      </c>
      <c r="F4419" s="1" t="s">
        <v>5017</v>
      </c>
      <c r="G4419" s="1" t="s">
        <v>5018</v>
      </c>
      <c r="H4419" s="1">
        <v>0.1</v>
      </c>
      <c r="I4419" s="1">
        <v>0.1</v>
      </c>
      <c r="J4419" s="1">
        <v>0.75440547637027722</v>
      </c>
      <c r="K4419" s="1" t="s">
        <v>181</v>
      </c>
    </row>
    <row r="4420" spans="1:11" x14ac:dyDescent="0.25">
      <c r="A4420" s="1" t="s">
        <v>13872</v>
      </c>
      <c r="B4420" s="1" t="s">
        <v>13873</v>
      </c>
      <c r="D4420" s="1" t="s">
        <v>13874</v>
      </c>
      <c r="E4420" s="1" t="s">
        <v>209</v>
      </c>
      <c r="F4420" s="1" t="s">
        <v>5017</v>
      </c>
      <c r="G4420" s="1" t="s">
        <v>5018</v>
      </c>
      <c r="H4420" s="1">
        <v>0.1</v>
      </c>
      <c r="I4420" s="1">
        <v>0.1</v>
      </c>
      <c r="J4420" s="1">
        <v>0.6980248979782625</v>
      </c>
      <c r="K4420" s="1" t="s">
        <v>181</v>
      </c>
    </row>
    <row r="4421" spans="1:11" x14ac:dyDescent="0.25">
      <c r="A4421" s="1" t="s">
        <v>13875</v>
      </c>
      <c r="B4421" s="1" t="s">
        <v>13876</v>
      </c>
      <c r="D4421" s="1" t="s">
        <v>13877</v>
      </c>
      <c r="E4421" s="1" t="s">
        <v>209</v>
      </c>
      <c r="F4421" s="1" t="s">
        <v>5017</v>
      </c>
      <c r="G4421" s="1" t="s">
        <v>5018</v>
      </c>
      <c r="H4421" s="1">
        <v>0.1</v>
      </c>
      <c r="I4421" s="1">
        <v>0.1</v>
      </c>
      <c r="J4421" s="1">
        <v>0.71847742517771074</v>
      </c>
      <c r="K4421" s="1" t="s">
        <v>181</v>
      </c>
    </row>
    <row r="4422" spans="1:11" x14ac:dyDescent="0.25">
      <c r="A4422" s="1" t="s">
        <v>13878</v>
      </c>
      <c r="B4422" s="1" t="s">
        <v>13879</v>
      </c>
      <c r="D4422" s="1" t="s">
        <v>13880</v>
      </c>
      <c r="E4422" s="1" t="s">
        <v>209</v>
      </c>
      <c r="F4422" s="1" t="s">
        <v>5017</v>
      </c>
      <c r="G4422" s="1" t="s">
        <v>5018</v>
      </c>
      <c r="H4422" s="1">
        <v>0.1</v>
      </c>
      <c r="I4422" s="1">
        <v>0.1</v>
      </c>
      <c r="J4422" s="1">
        <v>0.77218791691482802</v>
      </c>
      <c r="K4422" s="1" t="s">
        <v>181</v>
      </c>
    </row>
    <row r="4423" spans="1:11" x14ac:dyDescent="0.25">
      <c r="A4423" s="1" t="s">
        <v>13881</v>
      </c>
      <c r="B4423" s="1" t="s">
        <v>13882</v>
      </c>
      <c r="D4423" s="1" t="s">
        <v>13883</v>
      </c>
      <c r="E4423" s="1" t="s">
        <v>209</v>
      </c>
      <c r="F4423" s="1" t="s">
        <v>5017</v>
      </c>
      <c r="G4423" s="1" t="s">
        <v>5018</v>
      </c>
      <c r="H4423" s="1">
        <v>0.1</v>
      </c>
      <c r="I4423" s="1">
        <v>0.1</v>
      </c>
      <c r="J4423" s="1">
        <v>0.74479735651528078</v>
      </c>
      <c r="K4423" s="1" t="s">
        <v>181</v>
      </c>
    </row>
    <row r="4424" spans="1:11" x14ac:dyDescent="0.25">
      <c r="A4424" s="1" t="s">
        <v>13884</v>
      </c>
      <c r="B4424" s="1" t="s">
        <v>13885</v>
      </c>
      <c r="D4424" s="1" t="s">
        <v>13886</v>
      </c>
      <c r="E4424" s="1" t="s">
        <v>209</v>
      </c>
      <c r="F4424" s="1" t="s">
        <v>5017</v>
      </c>
      <c r="G4424" s="1" t="s">
        <v>5018</v>
      </c>
      <c r="H4424" s="1">
        <v>0.1</v>
      </c>
      <c r="I4424" s="1">
        <v>0.1</v>
      </c>
      <c r="J4424" s="1">
        <v>0.47514923960557331</v>
      </c>
      <c r="K4424" s="1" t="s">
        <v>181</v>
      </c>
    </row>
    <row r="4425" spans="1:11" x14ac:dyDescent="0.25">
      <c r="A4425" s="1" t="s">
        <v>13887</v>
      </c>
      <c r="B4425" s="1" t="s">
        <v>13888</v>
      </c>
      <c r="D4425" s="1" t="s">
        <v>13889</v>
      </c>
      <c r="E4425" s="1" t="s">
        <v>209</v>
      </c>
      <c r="F4425" s="1" t="s">
        <v>5017</v>
      </c>
      <c r="G4425" s="1" t="s">
        <v>5018</v>
      </c>
      <c r="H4425" s="1">
        <v>0.1</v>
      </c>
      <c r="I4425" s="1">
        <v>0.1</v>
      </c>
      <c r="J4425" s="1">
        <v>1.0543201703995568</v>
      </c>
      <c r="K4425" s="1" t="s">
        <v>181</v>
      </c>
    </row>
    <row r="4426" spans="1:11" x14ac:dyDescent="0.25">
      <c r="A4426" s="1" t="s">
        <v>13890</v>
      </c>
      <c r="B4426" s="1" t="s">
        <v>13891</v>
      </c>
      <c r="D4426" s="1" t="s">
        <v>13892</v>
      </c>
      <c r="E4426" s="1" t="s">
        <v>209</v>
      </c>
      <c r="F4426" s="1" t="s">
        <v>5017</v>
      </c>
      <c r="G4426" s="1" t="s">
        <v>5018</v>
      </c>
      <c r="H4426" s="1">
        <v>0.1</v>
      </c>
      <c r="I4426" s="1">
        <v>0.1</v>
      </c>
      <c r="J4426" s="1">
        <v>0.5538562862143066</v>
      </c>
      <c r="K4426" s="1" t="s">
        <v>181</v>
      </c>
    </row>
    <row r="4427" spans="1:11" x14ac:dyDescent="0.25">
      <c r="A4427" s="1" t="s">
        <v>13893</v>
      </c>
      <c r="B4427" s="1" t="s">
        <v>13894</v>
      </c>
      <c r="D4427" s="1" t="s">
        <v>13895</v>
      </c>
      <c r="E4427" s="1" t="s">
        <v>209</v>
      </c>
      <c r="F4427" s="1" t="s">
        <v>5017</v>
      </c>
      <c r="G4427" s="1" t="s">
        <v>5018</v>
      </c>
      <c r="H4427" s="1">
        <v>0.1</v>
      </c>
      <c r="I4427" s="1">
        <v>0.1</v>
      </c>
      <c r="J4427" s="1">
        <v>0.4459090182358828</v>
      </c>
      <c r="K4427" s="1" t="s">
        <v>181</v>
      </c>
    </row>
    <row r="4428" spans="1:11" x14ac:dyDescent="0.25">
      <c r="A4428" s="1" t="s">
        <v>13896</v>
      </c>
      <c r="B4428" s="1" t="s">
        <v>13897</v>
      </c>
      <c r="D4428" s="1" t="s">
        <v>13898</v>
      </c>
      <c r="E4428" s="1" t="s">
        <v>209</v>
      </c>
      <c r="F4428" s="1" t="s">
        <v>5017</v>
      </c>
      <c r="G4428" s="1" t="s">
        <v>5018</v>
      </c>
      <c r="H4428" s="1">
        <v>0.1</v>
      </c>
      <c r="I4428" s="1">
        <v>0.1</v>
      </c>
      <c r="J4428" s="1">
        <v>0.79535482595471085</v>
      </c>
      <c r="K4428" s="1" t="s">
        <v>181</v>
      </c>
    </row>
    <row r="4429" spans="1:11" x14ac:dyDescent="0.25">
      <c r="A4429" s="1" t="s">
        <v>13899</v>
      </c>
      <c r="B4429" s="1" t="s">
        <v>13900</v>
      </c>
      <c r="D4429" s="1" t="s">
        <v>13901</v>
      </c>
      <c r="E4429" s="1" t="s">
        <v>209</v>
      </c>
      <c r="F4429" s="1" t="s">
        <v>5017</v>
      </c>
      <c r="G4429" s="1" t="s">
        <v>5018</v>
      </c>
      <c r="H4429" s="1">
        <v>0.1</v>
      </c>
      <c r="I4429" s="1">
        <v>0.1</v>
      </c>
      <c r="J4429" s="1">
        <v>0.62285276445392213</v>
      </c>
      <c r="K4429" s="1" t="s">
        <v>181</v>
      </c>
    </row>
    <row r="4430" spans="1:11" x14ac:dyDescent="0.25">
      <c r="A4430" s="1" t="s">
        <v>13902</v>
      </c>
      <c r="B4430" s="1" t="s">
        <v>13903</v>
      </c>
      <c r="D4430" s="1" t="s">
        <v>13904</v>
      </c>
      <c r="E4430" s="1" t="s">
        <v>209</v>
      </c>
      <c r="F4430" s="1" t="s">
        <v>5017</v>
      </c>
      <c r="G4430" s="1" t="s">
        <v>5018</v>
      </c>
      <c r="H4430" s="1">
        <v>0.1</v>
      </c>
      <c r="I4430" s="1">
        <v>0.1</v>
      </c>
      <c r="J4430" s="1">
        <v>0.53090383750505077</v>
      </c>
      <c r="K4430" s="1" t="s">
        <v>181</v>
      </c>
    </row>
    <row r="4431" spans="1:11" x14ac:dyDescent="0.25">
      <c r="A4431" s="1" t="s">
        <v>13905</v>
      </c>
      <c r="B4431" s="1" t="s">
        <v>13906</v>
      </c>
      <c r="D4431" s="1" t="s">
        <v>13907</v>
      </c>
      <c r="E4431" s="1" t="s">
        <v>209</v>
      </c>
      <c r="F4431" s="1" t="s">
        <v>5017</v>
      </c>
      <c r="G4431" s="1" t="s">
        <v>5018</v>
      </c>
      <c r="H4431" s="1">
        <v>0.1</v>
      </c>
      <c r="I4431" s="1">
        <v>0.1</v>
      </c>
      <c r="J4431" s="1">
        <v>0.79931341184923554</v>
      </c>
      <c r="K4431" s="1" t="s">
        <v>181</v>
      </c>
    </row>
    <row r="4432" spans="1:11" x14ac:dyDescent="0.25">
      <c r="A4432" s="1" t="s">
        <v>13908</v>
      </c>
      <c r="B4432" s="1" t="s">
        <v>13909</v>
      </c>
      <c r="D4432" s="1" t="s">
        <v>13910</v>
      </c>
      <c r="E4432" s="1" t="s">
        <v>209</v>
      </c>
      <c r="F4432" s="1" t="s">
        <v>5017</v>
      </c>
      <c r="G4432" s="1" t="s">
        <v>5018</v>
      </c>
      <c r="H4432" s="1">
        <v>0.1</v>
      </c>
      <c r="I4432" s="1">
        <v>0.1</v>
      </c>
      <c r="J4432" s="1">
        <v>0.70580963135821395</v>
      </c>
      <c r="K4432" s="1" t="s">
        <v>181</v>
      </c>
    </row>
    <row r="4433" spans="1:11" x14ac:dyDescent="0.25">
      <c r="A4433" s="1" t="s">
        <v>43</v>
      </c>
      <c r="B4433" s="1" t="s">
        <v>13911</v>
      </c>
      <c r="D4433" s="1" t="s">
        <v>13912</v>
      </c>
      <c r="E4433" s="1" t="s">
        <v>209</v>
      </c>
      <c r="F4433" s="1" t="s">
        <v>5017</v>
      </c>
      <c r="G4433" s="1" t="s">
        <v>5018</v>
      </c>
      <c r="H4433" s="1">
        <v>0.1</v>
      </c>
      <c r="I4433" s="1">
        <v>0.1</v>
      </c>
      <c r="J4433" s="1">
        <v>0.78117911868158152</v>
      </c>
      <c r="K4433" s="1" t="s">
        <v>181</v>
      </c>
    </row>
    <row r="4434" spans="1:11" x14ac:dyDescent="0.25">
      <c r="A4434" s="1" t="s">
        <v>13913</v>
      </c>
      <c r="B4434" s="1" t="s">
        <v>13914</v>
      </c>
      <c r="D4434" s="1" t="s">
        <v>13915</v>
      </c>
      <c r="E4434" s="1" t="s">
        <v>209</v>
      </c>
      <c r="F4434" s="1" t="s">
        <v>5017</v>
      </c>
      <c r="G4434" s="1" t="s">
        <v>5018</v>
      </c>
      <c r="H4434" s="1">
        <v>0.1</v>
      </c>
      <c r="I4434" s="1">
        <v>0.1</v>
      </c>
      <c r="J4434" s="1">
        <v>0.8147112449242041</v>
      </c>
      <c r="K4434" s="1" t="s">
        <v>181</v>
      </c>
    </row>
    <row r="4435" spans="1:11" x14ac:dyDescent="0.25">
      <c r="A4435" s="1" t="s">
        <v>13916</v>
      </c>
      <c r="B4435" s="1" t="s">
        <v>13917</v>
      </c>
      <c r="D4435" s="1" t="s">
        <v>13918</v>
      </c>
      <c r="E4435" s="1" t="s">
        <v>209</v>
      </c>
      <c r="F4435" s="1" t="s">
        <v>5017</v>
      </c>
      <c r="G4435" s="1" t="s">
        <v>5018</v>
      </c>
      <c r="H4435" s="1">
        <v>0.1</v>
      </c>
      <c r="I4435" s="1">
        <v>0.1</v>
      </c>
      <c r="J4435" s="1">
        <v>0.66148596129467208</v>
      </c>
      <c r="K4435" s="1" t="s">
        <v>181</v>
      </c>
    </row>
    <row r="4436" spans="1:11" x14ac:dyDescent="0.25">
      <c r="A4436" s="1" t="s">
        <v>13919</v>
      </c>
      <c r="B4436" s="1" t="s">
        <v>13920</v>
      </c>
      <c r="D4436" s="1" t="s">
        <v>13921</v>
      </c>
      <c r="E4436" s="1" t="s">
        <v>209</v>
      </c>
      <c r="F4436" s="1" t="s">
        <v>5017</v>
      </c>
      <c r="G4436" s="1" t="s">
        <v>5018</v>
      </c>
      <c r="H4436" s="1">
        <v>0.1</v>
      </c>
      <c r="I4436" s="1">
        <v>0.1</v>
      </c>
      <c r="J4436" s="1">
        <v>0.6001259630985204</v>
      </c>
      <c r="K4436" s="1" t="s">
        <v>181</v>
      </c>
    </row>
    <row r="4437" spans="1:11" x14ac:dyDescent="0.25">
      <c r="A4437" s="1" t="s">
        <v>13922</v>
      </c>
      <c r="B4437" s="1" t="s">
        <v>13923</v>
      </c>
      <c r="D4437" s="1" t="s">
        <v>13924</v>
      </c>
      <c r="E4437" s="1" t="s">
        <v>209</v>
      </c>
      <c r="F4437" s="1" t="s">
        <v>5017</v>
      </c>
      <c r="G4437" s="1" t="s">
        <v>5018</v>
      </c>
      <c r="H4437" s="1">
        <v>0.1</v>
      </c>
      <c r="I4437" s="1">
        <v>0.1</v>
      </c>
      <c r="J4437" s="1">
        <v>0.60014574671689713</v>
      </c>
      <c r="K4437" s="1" t="s">
        <v>181</v>
      </c>
    </row>
    <row r="4438" spans="1:11" x14ac:dyDescent="0.25">
      <c r="A4438" s="1" t="s">
        <v>13925</v>
      </c>
      <c r="B4438" s="1" t="s">
        <v>13926</v>
      </c>
      <c r="D4438" s="1" t="s">
        <v>13927</v>
      </c>
      <c r="E4438" s="1" t="s">
        <v>209</v>
      </c>
      <c r="F4438" s="1" t="s">
        <v>5017</v>
      </c>
      <c r="G4438" s="1" t="s">
        <v>5018</v>
      </c>
      <c r="H4438" s="1">
        <v>0.1</v>
      </c>
      <c r="I4438" s="1">
        <v>0.1</v>
      </c>
      <c r="J4438" s="1">
        <v>0.67860395919762595</v>
      </c>
      <c r="K4438" s="1" t="s">
        <v>181</v>
      </c>
    </row>
    <row r="4439" spans="1:11" x14ac:dyDescent="0.25">
      <c r="A4439" s="1" t="s">
        <v>13928</v>
      </c>
      <c r="B4439" s="1" t="s">
        <v>13929</v>
      </c>
      <c r="D4439" s="1" t="s">
        <v>13930</v>
      </c>
      <c r="E4439" s="1" t="s">
        <v>209</v>
      </c>
      <c r="F4439" s="1" t="s">
        <v>5017</v>
      </c>
      <c r="G4439" s="1" t="s">
        <v>5018</v>
      </c>
      <c r="H4439" s="1">
        <v>0.1</v>
      </c>
      <c r="I4439" s="1">
        <v>0.1</v>
      </c>
      <c r="J4439" s="1">
        <v>0.79612276841059681</v>
      </c>
      <c r="K4439" s="1" t="s">
        <v>181</v>
      </c>
    </row>
    <row r="4440" spans="1:11" x14ac:dyDescent="0.25">
      <c r="A4440" s="1" t="s">
        <v>13931</v>
      </c>
      <c r="B4440" s="1" t="s">
        <v>13932</v>
      </c>
      <c r="D4440" s="1" t="s">
        <v>13933</v>
      </c>
      <c r="E4440" s="1" t="s">
        <v>209</v>
      </c>
      <c r="F4440" s="1" t="s">
        <v>5017</v>
      </c>
      <c r="G4440" s="1" t="s">
        <v>5018</v>
      </c>
      <c r="H4440" s="1">
        <v>0.1</v>
      </c>
      <c r="I4440" s="1">
        <v>0.1</v>
      </c>
      <c r="J4440" s="1">
        <v>0.67473878127522746</v>
      </c>
      <c r="K4440" s="1" t="s">
        <v>181</v>
      </c>
    </row>
    <row r="4441" spans="1:11" x14ac:dyDescent="0.25">
      <c r="A4441" s="1" t="s">
        <v>13934</v>
      </c>
      <c r="B4441" s="1" t="s">
        <v>13935</v>
      </c>
      <c r="D4441" s="1" t="s">
        <v>13936</v>
      </c>
      <c r="E4441" s="1" t="s">
        <v>209</v>
      </c>
      <c r="F4441" s="1" t="s">
        <v>5017</v>
      </c>
      <c r="G4441" s="1" t="s">
        <v>5018</v>
      </c>
      <c r="H4441" s="1">
        <v>0.1</v>
      </c>
      <c r="I4441" s="1">
        <v>0.1</v>
      </c>
      <c r="J4441" s="1">
        <v>0.48584217347962139</v>
      </c>
      <c r="K4441" s="1" t="s">
        <v>181</v>
      </c>
    </row>
    <row r="4442" spans="1:11" x14ac:dyDescent="0.25">
      <c r="A4442" s="1" t="s">
        <v>13937</v>
      </c>
      <c r="B4442" s="1" t="s">
        <v>13938</v>
      </c>
      <c r="D4442" s="1" t="s">
        <v>13939</v>
      </c>
      <c r="E4442" s="1" t="s">
        <v>209</v>
      </c>
      <c r="F4442" s="1" t="s">
        <v>5017</v>
      </c>
      <c r="G4442" s="1" t="s">
        <v>5018</v>
      </c>
      <c r="H4442" s="1">
        <v>0.1</v>
      </c>
      <c r="I4442" s="1">
        <v>0.1</v>
      </c>
      <c r="J4442" s="1">
        <v>0.60753410947613951</v>
      </c>
      <c r="K4442" s="1" t="s">
        <v>181</v>
      </c>
    </row>
    <row r="4443" spans="1:11" x14ac:dyDescent="0.25">
      <c r="A4443" s="1" t="s">
        <v>13940</v>
      </c>
      <c r="B4443" s="1" t="s">
        <v>13941</v>
      </c>
      <c r="D4443" s="1" t="s">
        <v>13942</v>
      </c>
      <c r="E4443" s="1" t="s">
        <v>209</v>
      </c>
      <c r="F4443" s="1" t="s">
        <v>5017</v>
      </c>
      <c r="G4443" s="1" t="s">
        <v>5018</v>
      </c>
      <c r="H4443" s="1">
        <v>0.1</v>
      </c>
      <c r="I4443" s="1">
        <v>0.1</v>
      </c>
      <c r="J4443" s="1">
        <v>0.69956890977682362</v>
      </c>
      <c r="K4443" s="1" t="s">
        <v>181</v>
      </c>
    </row>
    <row r="4444" spans="1:11" x14ac:dyDescent="0.25">
      <c r="A4444" s="1" t="s">
        <v>13943</v>
      </c>
      <c r="B4444" s="1" t="s">
        <v>13944</v>
      </c>
      <c r="D4444" s="1" t="s">
        <v>13945</v>
      </c>
      <c r="E4444" s="1" t="s">
        <v>209</v>
      </c>
      <c r="F4444" s="1" t="s">
        <v>5017</v>
      </c>
      <c r="G4444" s="1" t="s">
        <v>5018</v>
      </c>
      <c r="H4444" s="1">
        <v>0.1</v>
      </c>
      <c r="I4444" s="1">
        <v>0.1</v>
      </c>
      <c r="J4444" s="1">
        <v>0.72132232840596899</v>
      </c>
      <c r="K4444" s="1" t="s">
        <v>181</v>
      </c>
    </row>
    <row r="4445" spans="1:11" x14ac:dyDescent="0.25">
      <c r="A4445" s="1" t="s">
        <v>13946</v>
      </c>
      <c r="B4445" s="1" t="s">
        <v>13947</v>
      </c>
      <c r="D4445" s="1" t="s">
        <v>13948</v>
      </c>
      <c r="E4445" s="1" t="s">
        <v>209</v>
      </c>
      <c r="F4445" s="1" t="s">
        <v>5017</v>
      </c>
      <c r="G4445" s="1" t="s">
        <v>5018</v>
      </c>
      <c r="H4445" s="1">
        <v>0.1</v>
      </c>
      <c r="I4445" s="1">
        <v>0.1</v>
      </c>
      <c r="J4445" s="1">
        <v>0.7698507237987009</v>
      </c>
      <c r="K4445" s="1" t="s">
        <v>181</v>
      </c>
    </row>
    <row r="4446" spans="1:11" x14ac:dyDescent="0.25">
      <c r="A4446" s="1" t="s">
        <v>13949</v>
      </c>
      <c r="B4446" s="1" t="s">
        <v>13950</v>
      </c>
      <c r="D4446" s="1" t="s">
        <v>13951</v>
      </c>
      <c r="E4446" s="1" t="s">
        <v>209</v>
      </c>
      <c r="F4446" s="1" t="s">
        <v>5017</v>
      </c>
      <c r="G4446" s="1" t="s">
        <v>5018</v>
      </c>
      <c r="H4446" s="1">
        <v>0.1</v>
      </c>
      <c r="I4446" s="1">
        <v>0.1</v>
      </c>
      <c r="J4446" s="1">
        <v>0.89529431122572922</v>
      </c>
      <c r="K4446" s="1" t="s">
        <v>181</v>
      </c>
    </row>
    <row r="4447" spans="1:11" x14ac:dyDescent="0.25">
      <c r="A4447" s="1" t="s">
        <v>13952</v>
      </c>
      <c r="B4447" s="1" t="s">
        <v>13953</v>
      </c>
      <c r="D4447" s="1" t="s">
        <v>13954</v>
      </c>
      <c r="E4447" s="1" t="s">
        <v>209</v>
      </c>
      <c r="F4447" s="1" t="s">
        <v>5017</v>
      </c>
      <c r="G4447" s="1" t="s">
        <v>5018</v>
      </c>
      <c r="H4447" s="1">
        <v>0.1</v>
      </c>
      <c r="I4447" s="1">
        <v>0.1</v>
      </c>
      <c r="J4447" s="1">
        <v>1.107595354445857</v>
      </c>
      <c r="K4447" s="1" t="s">
        <v>181</v>
      </c>
    </row>
    <row r="4448" spans="1:11" x14ac:dyDescent="0.25">
      <c r="A4448" s="1" t="s">
        <v>13955</v>
      </c>
      <c r="B4448" s="1" t="s">
        <v>13956</v>
      </c>
      <c r="D4448" s="1" t="s">
        <v>13957</v>
      </c>
      <c r="E4448" s="1" t="s">
        <v>209</v>
      </c>
      <c r="F4448" s="1" t="s">
        <v>5017</v>
      </c>
      <c r="G4448" s="1" t="s">
        <v>5018</v>
      </c>
      <c r="H4448" s="1">
        <v>0.1</v>
      </c>
      <c r="I4448" s="1">
        <v>0.1</v>
      </c>
      <c r="J4448" s="1">
        <v>0.87064561529230255</v>
      </c>
      <c r="K4448" s="1" t="s">
        <v>181</v>
      </c>
    </row>
    <row r="4449" spans="1:11" x14ac:dyDescent="0.25">
      <c r="A4449" s="1" t="s">
        <v>13958</v>
      </c>
      <c r="B4449" s="1" t="s">
        <v>13959</v>
      </c>
      <c r="D4449" s="1" t="s">
        <v>13960</v>
      </c>
      <c r="E4449" s="1" t="s">
        <v>209</v>
      </c>
      <c r="F4449" s="1" t="s">
        <v>5017</v>
      </c>
      <c r="G4449" s="1" t="s">
        <v>5018</v>
      </c>
      <c r="H4449" s="1">
        <v>0.1</v>
      </c>
      <c r="I4449" s="1">
        <v>0.1</v>
      </c>
      <c r="J4449" s="1">
        <v>0.58318632435568218</v>
      </c>
      <c r="K4449" s="1" t="s">
        <v>181</v>
      </c>
    </row>
    <row r="4450" spans="1:11" x14ac:dyDescent="0.25">
      <c r="A4450" s="1" t="s">
        <v>13961</v>
      </c>
      <c r="B4450" s="1" t="s">
        <v>13962</v>
      </c>
      <c r="D4450" s="1" t="s">
        <v>13963</v>
      </c>
      <c r="E4450" s="1" t="s">
        <v>209</v>
      </c>
      <c r="F4450" s="1" t="s">
        <v>5017</v>
      </c>
      <c r="G4450" s="1" t="s">
        <v>5018</v>
      </c>
      <c r="H4450" s="1">
        <v>0.1</v>
      </c>
      <c r="I4450" s="1">
        <v>0.1</v>
      </c>
      <c r="J4450" s="1">
        <v>0.83307133278183132</v>
      </c>
      <c r="K4450" s="1" t="s">
        <v>181</v>
      </c>
    </row>
    <row r="4451" spans="1:11" x14ac:dyDescent="0.25">
      <c r="A4451" s="1" t="s">
        <v>13964</v>
      </c>
      <c r="B4451" s="1" t="s">
        <v>13965</v>
      </c>
      <c r="D4451" s="1" t="s">
        <v>13966</v>
      </c>
      <c r="E4451" s="1" t="s">
        <v>209</v>
      </c>
      <c r="F4451" s="1" t="s">
        <v>5017</v>
      </c>
      <c r="G4451" s="1" t="s">
        <v>5018</v>
      </c>
      <c r="H4451" s="1">
        <v>0.1</v>
      </c>
      <c r="I4451" s="1">
        <v>0.1</v>
      </c>
      <c r="J4451" s="1">
        <v>0.48381271990001318</v>
      </c>
      <c r="K4451" s="1" t="s">
        <v>181</v>
      </c>
    </row>
    <row r="4452" spans="1:11" x14ac:dyDescent="0.25">
      <c r="A4452" s="1" t="s">
        <v>13967</v>
      </c>
      <c r="B4452" s="1" t="s">
        <v>13968</v>
      </c>
      <c r="D4452" s="1" t="s">
        <v>13969</v>
      </c>
      <c r="E4452" s="1" t="s">
        <v>209</v>
      </c>
      <c r="F4452" s="1" t="s">
        <v>5017</v>
      </c>
      <c r="G4452" s="1" t="s">
        <v>5018</v>
      </c>
      <c r="H4452" s="1">
        <v>0.1</v>
      </c>
      <c r="I4452" s="1">
        <v>0.1</v>
      </c>
      <c r="J4452" s="1">
        <v>0.81618952173190484</v>
      </c>
      <c r="K4452" s="1" t="s">
        <v>181</v>
      </c>
    </row>
    <row r="4453" spans="1:11" x14ac:dyDescent="0.25">
      <c r="A4453" s="1" t="s">
        <v>13970</v>
      </c>
      <c r="B4453" s="1" t="s">
        <v>13971</v>
      </c>
      <c r="D4453" s="1" t="s">
        <v>13972</v>
      </c>
      <c r="E4453" s="1" t="s">
        <v>209</v>
      </c>
      <c r="F4453" s="1" t="s">
        <v>5017</v>
      </c>
      <c r="G4453" s="1" t="s">
        <v>5018</v>
      </c>
      <c r="H4453" s="1">
        <v>0.1</v>
      </c>
      <c r="I4453" s="1">
        <v>0.1</v>
      </c>
      <c r="J4453" s="1">
        <v>0.6406585127928065</v>
      </c>
      <c r="K4453" s="1" t="s">
        <v>181</v>
      </c>
    </row>
    <row r="4454" spans="1:11" x14ac:dyDescent="0.25">
      <c r="A4454" s="1" t="s">
        <v>13973</v>
      </c>
      <c r="B4454" s="1" t="s">
        <v>13974</v>
      </c>
      <c r="D4454" s="1" t="s">
        <v>13975</v>
      </c>
      <c r="E4454" s="1" t="s">
        <v>209</v>
      </c>
      <c r="F4454" s="1" t="s">
        <v>5017</v>
      </c>
      <c r="G4454" s="1" t="s">
        <v>5018</v>
      </c>
      <c r="H4454" s="1">
        <v>0.1</v>
      </c>
      <c r="I4454" s="1">
        <v>0.1</v>
      </c>
      <c r="J4454" s="1">
        <v>0.84930994021312467</v>
      </c>
      <c r="K4454" s="1" t="s">
        <v>181</v>
      </c>
    </row>
    <row r="4455" spans="1:11" x14ac:dyDescent="0.25">
      <c r="A4455" s="1" t="s">
        <v>13976</v>
      </c>
      <c r="B4455" s="1" t="s">
        <v>13977</v>
      </c>
      <c r="D4455" s="1" t="s">
        <v>13978</v>
      </c>
      <c r="E4455" s="1" t="s">
        <v>209</v>
      </c>
      <c r="F4455" s="1" t="s">
        <v>5017</v>
      </c>
      <c r="G4455" s="1" t="s">
        <v>5018</v>
      </c>
      <c r="H4455" s="1">
        <v>0.1</v>
      </c>
      <c r="I4455" s="1">
        <v>0.1</v>
      </c>
      <c r="J4455" s="1">
        <v>0.65093675327263223</v>
      </c>
      <c r="K4455" s="1" t="s">
        <v>181</v>
      </c>
    </row>
    <row r="4456" spans="1:11" x14ac:dyDescent="0.25">
      <c r="A4456" s="1" t="s">
        <v>13979</v>
      </c>
      <c r="B4456" s="1" t="s">
        <v>13980</v>
      </c>
      <c r="D4456" s="1" t="s">
        <v>13981</v>
      </c>
      <c r="E4456" s="1" t="s">
        <v>209</v>
      </c>
      <c r="F4456" s="1" t="s">
        <v>5017</v>
      </c>
      <c r="G4456" s="1" t="s">
        <v>5018</v>
      </c>
      <c r="H4456" s="1">
        <v>0.1</v>
      </c>
      <c r="I4456" s="1">
        <v>0.1</v>
      </c>
      <c r="J4456" s="1">
        <v>0.39585464911652302</v>
      </c>
      <c r="K4456" s="1" t="s">
        <v>181</v>
      </c>
    </row>
    <row r="4457" spans="1:11" x14ac:dyDescent="0.25">
      <c r="A4457" s="1" t="s">
        <v>13982</v>
      </c>
      <c r="B4457" s="1" t="s">
        <v>13983</v>
      </c>
      <c r="D4457" s="1" t="s">
        <v>13984</v>
      </c>
      <c r="E4457" s="1" t="s">
        <v>209</v>
      </c>
      <c r="F4457" s="1" t="s">
        <v>5017</v>
      </c>
      <c r="G4457" s="1" t="s">
        <v>5018</v>
      </c>
      <c r="H4457" s="1">
        <v>0.1</v>
      </c>
      <c r="I4457" s="1">
        <v>0.1</v>
      </c>
      <c r="J4457" s="1">
        <v>0.6117435295246898</v>
      </c>
      <c r="K4457" s="1" t="s">
        <v>181</v>
      </c>
    </row>
    <row r="4458" spans="1:11" x14ac:dyDescent="0.25">
      <c r="A4458" s="1" t="s">
        <v>13985</v>
      </c>
      <c r="B4458" s="1" t="s">
        <v>13986</v>
      </c>
      <c r="D4458" s="1" t="s">
        <v>13987</v>
      </c>
      <c r="E4458" s="1" t="s">
        <v>209</v>
      </c>
      <c r="F4458" s="1" t="s">
        <v>5017</v>
      </c>
      <c r="G4458" s="1" t="s">
        <v>5018</v>
      </c>
      <c r="H4458" s="1">
        <v>0.1</v>
      </c>
      <c r="I4458" s="1">
        <v>0.1</v>
      </c>
      <c r="J4458" s="1">
        <v>0.67826555864271676</v>
      </c>
      <c r="K4458" s="1" t="s">
        <v>181</v>
      </c>
    </row>
    <row r="4459" spans="1:11" x14ac:dyDescent="0.25">
      <c r="A4459" s="1" t="s">
        <v>13988</v>
      </c>
      <c r="B4459" s="1" t="s">
        <v>13989</v>
      </c>
      <c r="D4459" s="1" t="s">
        <v>13990</v>
      </c>
      <c r="E4459" s="1" t="s">
        <v>209</v>
      </c>
      <c r="F4459" s="1" t="s">
        <v>5017</v>
      </c>
      <c r="G4459" s="1" t="s">
        <v>5018</v>
      </c>
      <c r="H4459" s="1">
        <v>0.1</v>
      </c>
      <c r="I4459" s="1">
        <v>0.1</v>
      </c>
      <c r="J4459" s="1">
        <v>0.47587906478148956</v>
      </c>
      <c r="K4459" s="1" t="s">
        <v>181</v>
      </c>
    </row>
    <row r="4460" spans="1:11" x14ac:dyDescent="0.25">
      <c r="A4460" s="1" t="s">
        <v>13991</v>
      </c>
      <c r="B4460" s="1" t="s">
        <v>13992</v>
      </c>
      <c r="D4460" s="1" t="s">
        <v>13993</v>
      </c>
      <c r="E4460" s="1" t="s">
        <v>209</v>
      </c>
      <c r="F4460" s="1" t="s">
        <v>5017</v>
      </c>
      <c r="G4460" s="1" t="s">
        <v>5018</v>
      </c>
      <c r="H4460" s="1">
        <v>0.1</v>
      </c>
      <c r="I4460" s="1">
        <v>0.1</v>
      </c>
      <c r="J4460" s="1">
        <v>0.6776573623830533</v>
      </c>
      <c r="K4460" s="1" t="s">
        <v>181</v>
      </c>
    </row>
    <row r="4461" spans="1:11" x14ac:dyDescent="0.25">
      <c r="A4461" s="1" t="s">
        <v>13994</v>
      </c>
      <c r="B4461" s="1" t="s">
        <v>13995</v>
      </c>
      <c r="D4461" s="1" t="s">
        <v>13996</v>
      </c>
      <c r="E4461" s="1" t="s">
        <v>209</v>
      </c>
      <c r="F4461" s="1" t="s">
        <v>5017</v>
      </c>
      <c r="G4461" s="1" t="s">
        <v>5018</v>
      </c>
      <c r="H4461" s="1">
        <v>0.1</v>
      </c>
      <c r="I4461" s="1">
        <v>0.1</v>
      </c>
      <c r="J4461" s="1">
        <v>0.6041157635667963</v>
      </c>
      <c r="K4461" s="1" t="s">
        <v>181</v>
      </c>
    </row>
    <row r="4462" spans="1:11" x14ac:dyDescent="0.25">
      <c r="A4462" s="1" t="s">
        <v>13997</v>
      </c>
      <c r="B4462" s="1" t="s">
        <v>13998</v>
      </c>
      <c r="D4462" s="1" t="s">
        <v>13999</v>
      </c>
      <c r="E4462" s="1" t="s">
        <v>209</v>
      </c>
      <c r="F4462" s="1" t="s">
        <v>5017</v>
      </c>
      <c r="G4462" s="1" t="s">
        <v>5018</v>
      </c>
      <c r="H4462" s="1">
        <v>0.1</v>
      </c>
      <c r="I4462" s="1">
        <v>0.1</v>
      </c>
      <c r="J4462" s="1">
        <v>0.62641733016242362</v>
      </c>
      <c r="K4462" s="1" t="s">
        <v>181</v>
      </c>
    </row>
    <row r="4463" spans="1:11" x14ac:dyDescent="0.25">
      <c r="A4463" s="1" t="s">
        <v>14000</v>
      </c>
      <c r="B4463" s="1" t="s">
        <v>14001</v>
      </c>
      <c r="D4463" s="1" t="s">
        <v>14002</v>
      </c>
      <c r="E4463" s="1" t="s">
        <v>209</v>
      </c>
      <c r="F4463" s="1" t="s">
        <v>5017</v>
      </c>
      <c r="G4463" s="1" t="s">
        <v>5018</v>
      </c>
      <c r="H4463" s="1">
        <v>0.1</v>
      </c>
      <c r="I4463" s="1">
        <v>0.1</v>
      </c>
      <c r="J4463" s="1">
        <v>0.85732881240533687</v>
      </c>
      <c r="K4463" s="1" t="s">
        <v>181</v>
      </c>
    </row>
    <row r="4464" spans="1:11" x14ac:dyDescent="0.25">
      <c r="A4464" s="1" t="s">
        <v>14003</v>
      </c>
      <c r="B4464" s="1" t="s">
        <v>14004</v>
      </c>
      <c r="D4464" s="1" t="s">
        <v>14005</v>
      </c>
      <c r="E4464" s="1" t="s">
        <v>209</v>
      </c>
      <c r="F4464" s="1" t="s">
        <v>5017</v>
      </c>
      <c r="G4464" s="1" t="s">
        <v>5018</v>
      </c>
      <c r="H4464" s="1">
        <v>0.1</v>
      </c>
      <c r="I4464" s="1">
        <v>0.1</v>
      </c>
      <c r="J4464" s="1">
        <v>0.76368277839163701</v>
      </c>
      <c r="K4464" s="1" t="s">
        <v>181</v>
      </c>
    </row>
    <row r="4465" spans="1:11" x14ac:dyDescent="0.25">
      <c r="A4465" s="1" t="s">
        <v>14006</v>
      </c>
      <c r="B4465" s="1" t="s">
        <v>14007</v>
      </c>
      <c r="D4465" s="1" t="s">
        <v>14008</v>
      </c>
      <c r="E4465" s="1" t="s">
        <v>209</v>
      </c>
      <c r="F4465" s="1" t="s">
        <v>5017</v>
      </c>
      <c r="G4465" s="1" t="s">
        <v>5018</v>
      </c>
      <c r="H4465" s="1">
        <v>0.1</v>
      </c>
      <c r="I4465" s="1">
        <v>0.1</v>
      </c>
      <c r="J4465" s="1">
        <v>0.63314488640431499</v>
      </c>
      <c r="K4465" s="1" t="s">
        <v>181</v>
      </c>
    </row>
    <row r="4466" spans="1:11" x14ac:dyDescent="0.25">
      <c r="A4466" s="1" t="s">
        <v>14009</v>
      </c>
      <c r="B4466" s="1" t="s">
        <v>14010</v>
      </c>
      <c r="D4466" s="1" t="s">
        <v>14011</v>
      </c>
      <c r="E4466" s="1" t="s">
        <v>209</v>
      </c>
      <c r="F4466" s="1" t="s">
        <v>5017</v>
      </c>
      <c r="G4466" s="1" t="s">
        <v>5018</v>
      </c>
      <c r="H4466" s="1">
        <v>0.1</v>
      </c>
      <c r="I4466" s="1">
        <v>0.1</v>
      </c>
      <c r="J4466" s="1">
        <v>0.81020246763677328</v>
      </c>
      <c r="K4466" s="1" t="s">
        <v>181</v>
      </c>
    </row>
    <row r="4467" spans="1:11" x14ac:dyDescent="0.25">
      <c r="A4467" s="1" t="s">
        <v>14012</v>
      </c>
      <c r="B4467" s="1" t="s">
        <v>14013</v>
      </c>
      <c r="D4467" s="1" t="s">
        <v>14014</v>
      </c>
      <c r="E4467" s="1" t="s">
        <v>209</v>
      </c>
      <c r="F4467" s="1" t="s">
        <v>5017</v>
      </c>
      <c r="G4467" s="1" t="s">
        <v>5018</v>
      </c>
      <c r="H4467" s="1">
        <v>0.1</v>
      </c>
      <c r="I4467" s="1">
        <v>0.1</v>
      </c>
      <c r="J4467" s="1">
        <v>0.84360116433617649</v>
      </c>
      <c r="K4467" s="1" t="s">
        <v>181</v>
      </c>
    </row>
    <row r="4468" spans="1:11" x14ac:dyDescent="0.25">
      <c r="A4468" s="1" t="s">
        <v>14015</v>
      </c>
      <c r="B4468" s="1" t="s">
        <v>14016</v>
      </c>
      <c r="D4468" s="1" t="s">
        <v>14017</v>
      </c>
      <c r="E4468" s="1" t="s">
        <v>209</v>
      </c>
      <c r="F4468" s="1" t="s">
        <v>5017</v>
      </c>
      <c r="G4468" s="1" t="s">
        <v>5018</v>
      </c>
      <c r="H4468" s="1">
        <v>0.1</v>
      </c>
      <c r="I4468" s="1">
        <v>0.1</v>
      </c>
      <c r="J4468" s="1">
        <v>0.83924881797476159</v>
      </c>
      <c r="K4468" s="1" t="s">
        <v>181</v>
      </c>
    </row>
    <row r="4469" spans="1:11" x14ac:dyDescent="0.25">
      <c r="A4469" s="1" t="s">
        <v>14018</v>
      </c>
      <c r="B4469" s="1" t="s">
        <v>14019</v>
      </c>
      <c r="D4469" s="1" t="s">
        <v>14020</v>
      </c>
      <c r="E4469" s="1" t="s">
        <v>209</v>
      </c>
      <c r="F4469" s="1" t="s">
        <v>5017</v>
      </c>
      <c r="G4469" s="1" t="s">
        <v>5018</v>
      </c>
      <c r="H4469" s="1">
        <v>0.1</v>
      </c>
      <c r="I4469" s="1">
        <v>0.1</v>
      </c>
      <c r="J4469" s="1">
        <v>0.53060994192400257</v>
      </c>
      <c r="K4469" s="1" t="s">
        <v>181</v>
      </c>
    </row>
    <row r="4470" spans="1:11" x14ac:dyDescent="0.25">
      <c r="A4470" s="1" t="s">
        <v>14021</v>
      </c>
      <c r="B4470" s="1" t="s">
        <v>14022</v>
      </c>
      <c r="D4470" s="1" t="s">
        <v>14023</v>
      </c>
      <c r="E4470" s="1" t="s">
        <v>209</v>
      </c>
      <c r="F4470" s="1" t="s">
        <v>5017</v>
      </c>
      <c r="G4470" s="1" t="s">
        <v>5018</v>
      </c>
      <c r="H4470" s="1">
        <v>0.1</v>
      </c>
      <c r="I4470" s="1">
        <v>0.1</v>
      </c>
      <c r="J4470" s="1">
        <v>0.94177416771010758</v>
      </c>
      <c r="K4470" s="1" t="s">
        <v>181</v>
      </c>
    </row>
    <row r="4471" spans="1:11" x14ac:dyDescent="0.25">
      <c r="A4471" s="1" t="s">
        <v>14024</v>
      </c>
      <c r="B4471" s="1" t="s">
        <v>14025</v>
      </c>
      <c r="D4471" s="1" t="s">
        <v>14026</v>
      </c>
      <c r="E4471" s="1" t="s">
        <v>209</v>
      </c>
      <c r="F4471" s="1" t="s">
        <v>5017</v>
      </c>
      <c r="G4471" s="1" t="s">
        <v>5018</v>
      </c>
      <c r="H4471" s="1">
        <v>0.1</v>
      </c>
      <c r="I4471" s="1">
        <v>0.1</v>
      </c>
      <c r="J4471" s="1">
        <v>0.7361112339084489</v>
      </c>
      <c r="K4471" s="1" t="s">
        <v>181</v>
      </c>
    </row>
    <row r="4472" spans="1:11" x14ac:dyDescent="0.25">
      <c r="A4472" s="1" t="s">
        <v>14027</v>
      </c>
      <c r="B4472" s="1" t="s">
        <v>14028</v>
      </c>
      <c r="D4472" s="1" t="s">
        <v>14029</v>
      </c>
      <c r="E4472" s="1" t="s">
        <v>209</v>
      </c>
      <c r="F4472" s="1" t="s">
        <v>5017</v>
      </c>
      <c r="G4472" s="1" t="s">
        <v>5018</v>
      </c>
      <c r="H4472" s="1">
        <v>0.1</v>
      </c>
      <c r="I4472" s="1">
        <v>0.1</v>
      </c>
      <c r="J4472" s="1">
        <v>1.0177259597361188</v>
      </c>
      <c r="K4472" s="1" t="s">
        <v>181</v>
      </c>
    </row>
    <row r="4473" spans="1:11" x14ac:dyDescent="0.25">
      <c r="A4473" s="1" t="s">
        <v>14030</v>
      </c>
      <c r="B4473" s="1" t="s">
        <v>14031</v>
      </c>
      <c r="D4473" s="1" t="s">
        <v>14032</v>
      </c>
      <c r="E4473" s="1" t="s">
        <v>209</v>
      </c>
      <c r="F4473" s="1" t="s">
        <v>5017</v>
      </c>
      <c r="G4473" s="1" t="s">
        <v>5018</v>
      </c>
      <c r="H4473" s="1">
        <v>0.1</v>
      </c>
      <c r="I4473" s="1">
        <v>0.1</v>
      </c>
      <c r="J4473" s="1">
        <v>0.63576745977347116</v>
      </c>
      <c r="K4473" s="1" t="s">
        <v>181</v>
      </c>
    </row>
    <row r="4474" spans="1:11" x14ac:dyDescent="0.25">
      <c r="A4474" s="1" t="s">
        <v>14033</v>
      </c>
      <c r="B4474" s="1" t="s">
        <v>14034</v>
      </c>
      <c r="D4474" s="1" t="s">
        <v>14035</v>
      </c>
      <c r="E4474" s="1" t="s">
        <v>209</v>
      </c>
      <c r="F4474" s="1" t="s">
        <v>5017</v>
      </c>
      <c r="G4474" s="1" t="s">
        <v>5018</v>
      </c>
      <c r="H4474" s="1">
        <v>0.1</v>
      </c>
      <c r="I4474" s="1">
        <v>0.1</v>
      </c>
      <c r="J4474" s="1">
        <v>0.69085944944462541</v>
      </c>
      <c r="K4474" s="1" t="s">
        <v>181</v>
      </c>
    </row>
    <row r="4475" spans="1:11" x14ac:dyDescent="0.25">
      <c r="A4475" s="1" t="s">
        <v>14036</v>
      </c>
      <c r="B4475" s="1" t="s">
        <v>14037</v>
      </c>
      <c r="D4475" s="1" t="s">
        <v>14038</v>
      </c>
      <c r="E4475" s="1" t="s">
        <v>209</v>
      </c>
      <c r="F4475" s="1" t="s">
        <v>5017</v>
      </c>
      <c r="G4475" s="1" t="s">
        <v>5018</v>
      </c>
      <c r="H4475" s="1">
        <v>0.1</v>
      </c>
      <c r="I4475" s="1">
        <v>0.1</v>
      </c>
      <c r="J4475" s="1">
        <v>0.53235133536403745</v>
      </c>
      <c r="K4475" s="1" t="s">
        <v>181</v>
      </c>
    </row>
    <row r="4476" spans="1:11" x14ac:dyDescent="0.25">
      <c r="A4476" s="1" t="s">
        <v>14039</v>
      </c>
      <c r="B4476" s="1" t="s">
        <v>14040</v>
      </c>
      <c r="D4476" s="1" t="s">
        <v>14041</v>
      </c>
      <c r="E4476" s="1" t="s">
        <v>209</v>
      </c>
      <c r="F4476" s="1" t="s">
        <v>5017</v>
      </c>
      <c r="G4476" s="1" t="s">
        <v>5018</v>
      </c>
      <c r="H4476" s="1">
        <v>0.1</v>
      </c>
      <c r="I4476" s="1">
        <v>0.1</v>
      </c>
      <c r="J4476" s="1">
        <v>0.61806221353656199</v>
      </c>
      <c r="K4476" s="1" t="s">
        <v>181</v>
      </c>
    </row>
    <row r="4477" spans="1:11" x14ac:dyDescent="0.25">
      <c r="A4477" s="1" t="s">
        <v>14042</v>
      </c>
      <c r="B4477" s="1" t="s">
        <v>14043</v>
      </c>
      <c r="D4477" s="1" t="s">
        <v>14044</v>
      </c>
      <c r="E4477" s="1" t="s">
        <v>209</v>
      </c>
      <c r="F4477" s="1" t="s">
        <v>5017</v>
      </c>
      <c r="G4477" s="1" t="s">
        <v>5018</v>
      </c>
      <c r="H4477" s="1">
        <v>0.1</v>
      </c>
      <c r="I4477" s="1">
        <v>0.1</v>
      </c>
      <c r="J4477" s="1">
        <v>0.86164611008539949</v>
      </c>
      <c r="K4477" s="1" t="s">
        <v>181</v>
      </c>
    </row>
    <row r="4478" spans="1:11" x14ac:dyDescent="0.25">
      <c r="A4478" s="1" t="s">
        <v>14045</v>
      </c>
      <c r="B4478" s="1" t="s">
        <v>14046</v>
      </c>
      <c r="D4478" s="1" t="s">
        <v>14047</v>
      </c>
      <c r="E4478" s="1" t="s">
        <v>209</v>
      </c>
      <c r="F4478" s="1" t="s">
        <v>5017</v>
      </c>
      <c r="G4478" s="1" t="s">
        <v>5018</v>
      </c>
      <c r="H4478" s="1">
        <v>0.1</v>
      </c>
      <c r="I4478" s="1">
        <v>0.1</v>
      </c>
      <c r="J4478" s="1">
        <v>0.76537637155412586</v>
      </c>
      <c r="K4478" s="1" t="s">
        <v>181</v>
      </c>
    </row>
    <row r="4479" spans="1:11" x14ac:dyDescent="0.25">
      <c r="A4479" s="1" t="s">
        <v>14048</v>
      </c>
      <c r="B4479" s="1" t="s">
        <v>14049</v>
      </c>
      <c r="D4479" s="1" t="s">
        <v>14050</v>
      </c>
      <c r="E4479" s="1" t="s">
        <v>209</v>
      </c>
      <c r="F4479" s="1" t="s">
        <v>5017</v>
      </c>
      <c r="G4479" s="1" t="s">
        <v>5018</v>
      </c>
      <c r="H4479" s="1">
        <v>0.1</v>
      </c>
      <c r="I4479" s="1">
        <v>0.1</v>
      </c>
      <c r="J4479" s="1">
        <v>0.78633779781732405</v>
      </c>
      <c r="K4479" s="1" t="s">
        <v>181</v>
      </c>
    </row>
    <row r="4480" spans="1:11" x14ac:dyDescent="0.25">
      <c r="A4480" s="1" t="s">
        <v>14051</v>
      </c>
      <c r="B4480" s="1" t="s">
        <v>14052</v>
      </c>
      <c r="D4480" s="1" t="s">
        <v>14053</v>
      </c>
      <c r="E4480" s="1" t="s">
        <v>209</v>
      </c>
      <c r="F4480" s="1" t="s">
        <v>5017</v>
      </c>
      <c r="G4480" s="1" t="s">
        <v>5018</v>
      </c>
      <c r="H4480" s="1">
        <v>0.1</v>
      </c>
      <c r="I4480" s="1">
        <v>0.1</v>
      </c>
      <c r="J4480" s="1">
        <v>0.58935660096573828</v>
      </c>
      <c r="K4480" s="1" t="s">
        <v>181</v>
      </c>
    </row>
    <row r="4481" spans="1:11" x14ac:dyDescent="0.25">
      <c r="A4481" s="1" t="s">
        <v>14054</v>
      </c>
      <c r="B4481" s="1" t="s">
        <v>14055</v>
      </c>
      <c r="D4481" s="1" t="s">
        <v>14056</v>
      </c>
      <c r="E4481" s="1" t="s">
        <v>209</v>
      </c>
      <c r="F4481" s="1" t="s">
        <v>5017</v>
      </c>
      <c r="G4481" s="1" t="s">
        <v>5018</v>
      </c>
      <c r="H4481" s="1">
        <v>0.1</v>
      </c>
      <c r="I4481" s="1">
        <v>0.1</v>
      </c>
      <c r="J4481" s="1">
        <v>0.76268386801615573</v>
      </c>
      <c r="K4481" s="1" t="s">
        <v>181</v>
      </c>
    </row>
    <row r="4482" spans="1:11" x14ac:dyDescent="0.25">
      <c r="A4482" s="1" t="s">
        <v>14057</v>
      </c>
      <c r="B4482" s="1" t="s">
        <v>14058</v>
      </c>
      <c r="D4482" s="1" t="s">
        <v>14059</v>
      </c>
      <c r="E4482" s="1" t="s">
        <v>209</v>
      </c>
      <c r="F4482" s="1" t="s">
        <v>5017</v>
      </c>
      <c r="G4482" s="1" t="s">
        <v>5018</v>
      </c>
      <c r="H4482" s="1">
        <v>0.1</v>
      </c>
      <c r="I4482" s="1">
        <v>0.1</v>
      </c>
      <c r="J4482" s="1">
        <v>0.61315908422051957</v>
      </c>
      <c r="K4482" s="1" t="s">
        <v>181</v>
      </c>
    </row>
    <row r="4483" spans="1:11" x14ac:dyDescent="0.25">
      <c r="A4483" s="1" t="s">
        <v>14060</v>
      </c>
      <c r="B4483" s="1" t="s">
        <v>14061</v>
      </c>
      <c r="D4483" s="1" t="s">
        <v>14062</v>
      </c>
      <c r="E4483" s="1" t="s">
        <v>209</v>
      </c>
      <c r="F4483" s="1" t="s">
        <v>5017</v>
      </c>
      <c r="G4483" s="1" t="s">
        <v>5018</v>
      </c>
      <c r="H4483" s="1">
        <v>0.1</v>
      </c>
      <c r="I4483" s="1">
        <v>0.1</v>
      </c>
      <c r="J4483" s="1">
        <v>0.78543150349309021</v>
      </c>
      <c r="K4483" s="1" t="s">
        <v>181</v>
      </c>
    </row>
    <row r="4484" spans="1:11" x14ac:dyDescent="0.25">
      <c r="A4484" s="1" t="s">
        <v>14063</v>
      </c>
      <c r="B4484" s="1" t="s">
        <v>14064</v>
      </c>
      <c r="D4484" s="1" t="s">
        <v>14065</v>
      </c>
      <c r="E4484" s="1" t="s">
        <v>209</v>
      </c>
      <c r="F4484" s="1" t="s">
        <v>5017</v>
      </c>
      <c r="G4484" s="1" t="s">
        <v>5018</v>
      </c>
      <c r="H4484" s="1">
        <v>0.1</v>
      </c>
      <c r="I4484" s="1">
        <v>0.1</v>
      </c>
      <c r="J4484" s="1">
        <v>0.73424367431068516</v>
      </c>
      <c r="K4484" s="1" t="s">
        <v>181</v>
      </c>
    </row>
    <row r="4485" spans="1:11" x14ac:dyDescent="0.25">
      <c r="A4485" s="1" t="s">
        <v>14066</v>
      </c>
      <c r="B4485" s="1" t="s">
        <v>14067</v>
      </c>
      <c r="D4485" s="1" t="s">
        <v>14068</v>
      </c>
      <c r="E4485" s="1" t="s">
        <v>209</v>
      </c>
      <c r="F4485" s="1" t="s">
        <v>5017</v>
      </c>
      <c r="G4485" s="1" t="s">
        <v>5018</v>
      </c>
      <c r="H4485" s="1">
        <v>0.1</v>
      </c>
      <c r="I4485" s="1">
        <v>0.1</v>
      </c>
      <c r="J4485" s="1">
        <v>0.56220123601813243</v>
      </c>
      <c r="K4485" s="1" t="s">
        <v>181</v>
      </c>
    </row>
    <row r="4486" spans="1:11" x14ac:dyDescent="0.25">
      <c r="A4486" s="1" t="s">
        <v>14069</v>
      </c>
      <c r="B4486" s="1" t="s">
        <v>14070</v>
      </c>
      <c r="D4486" s="1" t="s">
        <v>14071</v>
      </c>
      <c r="E4486" s="1" t="s">
        <v>209</v>
      </c>
      <c r="F4486" s="1" t="s">
        <v>5017</v>
      </c>
      <c r="G4486" s="1" t="s">
        <v>5018</v>
      </c>
      <c r="H4486" s="1">
        <v>0.1</v>
      </c>
      <c r="I4486" s="1">
        <v>0.1</v>
      </c>
      <c r="J4486" s="1">
        <v>0.77098441199755741</v>
      </c>
      <c r="K4486" s="1" t="s">
        <v>181</v>
      </c>
    </row>
    <row r="4487" spans="1:11" x14ac:dyDescent="0.25">
      <c r="A4487" s="1" t="s">
        <v>14072</v>
      </c>
      <c r="B4487" s="1" t="s">
        <v>14073</v>
      </c>
      <c r="D4487" s="1" t="s">
        <v>14074</v>
      </c>
      <c r="E4487" s="1" t="s">
        <v>209</v>
      </c>
      <c r="F4487" s="1" t="s">
        <v>5017</v>
      </c>
      <c r="G4487" s="1" t="s">
        <v>5018</v>
      </c>
      <c r="H4487" s="1">
        <v>0.1</v>
      </c>
      <c r="I4487" s="1">
        <v>0.1</v>
      </c>
      <c r="J4487" s="1">
        <v>0.56550654253655408</v>
      </c>
      <c r="K4487" s="1" t="s">
        <v>181</v>
      </c>
    </row>
    <row r="4488" spans="1:11" x14ac:dyDescent="0.25">
      <c r="A4488" s="1" t="s">
        <v>14075</v>
      </c>
      <c r="B4488" s="1" t="s">
        <v>14076</v>
      </c>
      <c r="D4488" s="1" t="s">
        <v>14077</v>
      </c>
      <c r="E4488" s="1" t="s">
        <v>209</v>
      </c>
      <c r="F4488" s="1" t="s">
        <v>5017</v>
      </c>
      <c r="G4488" s="1" t="s">
        <v>5018</v>
      </c>
      <c r="H4488" s="1">
        <v>0.1</v>
      </c>
      <c r="I4488" s="1">
        <v>0.1</v>
      </c>
      <c r="J4488" s="1">
        <v>0.53235186045164762</v>
      </c>
      <c r="K4488" s="1" t="s">
        <v>181</v>
      </c>
    </row>
    <row r="4489" spans="1:11" x14ac:dyDescent="0.25">
      <c r="A4489" s="1" t="s">
        <v>14078</v>
      </c>
      <c r="B4489" s="1" t="s">
        <v>14079</v>
      </c>
      <c r="D4489" s="1" t="s">
        <v>14080</v>
      </c>
      <c r="E4489" s="1" t="s">
        <v>209</v>
      </c>
      <c r="F4489" s="1" t="s">
        <v>5017</v>
      </c>
      <c r="G4489" s="1" t="s">
        <v>5018</v>
      </c>
      <c r="H4489" s="1">
        <v>0.1</v>
      </c>
      <c r="I4489" s="1">
        <v>0.1</v>
      </c>
      <c r="J4489" s="1">
        <v>0.68381767887523315</v>
      </c>
      <c r="K4489" s="1" t="s">
        <v>181</v>
      </c>
    </row>
    <row r="4490" spans="1:11" x14ac:dyDescent="0.25">
      <c r="A4490" s="1" t="s">
        <v>14081</v>
      </c>
      <c r="B4490" s="1" t="s">
        <v>14082</v>
      </c>
      <c r="D4490" s="1" t="s">
        <v>14083</v>
      </c>
      <c r="E4490" s="1" t="s">
        <v>209</v>
      </c>
      <c r="F4490" s="1" t="s">
        <v>5017</v>
      </c>
      <c r="G4490" s="1" t="s">
        <v>5018</v>
      </c>
      <c r="H4490" s="1">
        <v>0.1</v>
      </c>
      <c r="I4490" s="1">
        <v>0.1</v>
      </c>
      <c r="J4490" s="1">
        <v>0.83151372992482286</v>
      </c>
      <c r="K4490" s="1" t="s">
        <v>181</v>
      </c>
    </row>
    <row r="4491" spans="1:11" x14ac:dyDescent="0.25">
      <c r="A4491" s="1" t="s">
        <v>14084</v>
      </c>
      <c r="B4491" s="1" t="s">
        <v>14085</v>
      </c>
      <c r="D4491" s="1" t="s">
        <v>14086</v>
      </c>
      <c r="E4491" s="1" t="s">
        <v>209</v>
      </c>
      <c r="F4491" s="1" t="s">
        <v>5017</v>
      </c>
      <c r="G4491" s="1" t="s">
        <v>5018</v>
      </c>
      <c r="H4491" s="1">
        <v>0.1</v>
      </c>
      <c r="I4491" s="1">
        <v>0.1</v>
      </c>
      <c r="J4491" s="1">
        <v>0.78090555609961687</v>
      </c>
      <c r="K4491" s="1" t="s">
        <v>181</v>
      </c>
    </row>
    <row r="4492" spans="1:11" x14ac:dyDescent="0.25">
      <c r="A4492" s="1" t="s">
        <v>14087</v>
      </c>
      <c r="B4492" s="1" t="s">
        <v>14088</v>
      </c>
      <c r="C4492" s="1" t="s">
        <v>9005</v>
      </c>
      <c r="D4492" s="1" t="s">
        <v>14089</v>
      </c>
      <c r="E4492" s="1" t="s">
        <v>209</v>
      </c>
      <c r="F4492" s="1" t="s">
        <v>5017</v>
      </c>
      <c r="G4492" s="1" t="s">
        <v>5018</v>
      </c>
      <c r="H4492" s="1">
        <v>0.1</v>
      </c>
      <c r="I4492" s="1">
        <v>0.1</v>
      </c>
      <c r="J4492" s="1">
        <v>0.5572421172779638</v>
      </c>
      <c r="K4492" s="1" t="s">
        <v>181</v>
      </c>
    </row>
    <row r="4493" spans="1:11" x14ac:dyDescent="0.25">
      <c r="A4493" s="1" t="s">
        <v>14090</v>
      </c>
      <c r="B4493" s="1" t="s">
        <v>14091</v>
      </c>
      <c r="D4493" s="1" t="s">
        <v>14092</v>
      </c>
      <c r="E4493" s="1" t="s">
        <v>209</v>
      </c>
      <c r="F4493" s="1" t="s">
        <v>5017</v>
      </c>
      <c r="G4493" s="1" t="s">
        <v>5018</v>
      </c>
      <c r="H4493" s="1">
        <v>0.1</v>
      </c>
      <c r="I4493" s="1">
        <v>0.1</v>
      </c>
      <c r="J4493" s="1">
        <v>0.86077484253043723</v>
      </c>
      <c r="K4493" s="1" t="s">
        <v>181</v>
      </c>
    </row>
    <row r="4494" spans="1:11" x14ac:dyDescent="0.25">
      <c r="A4494" s="1" t="s">
        <v>14093</v>
      </c>
      <c r="B4494" s="1" t="s">
        <v>14094</v>
      </c>
      <c r="C4494" s="1" t="s">
        <v>7138</v>
      </c>
      <c r="D4494" s="1" t="s">
        <v>14095</v>
      </c>
      <c r="E4494" s="1" t="s">
        <v>209</v>
      </c>
      <c r="F4494" s="1" t="s">
        <v>5017</v>
      </c>
      <c r="G4494" s="1" t="s">
        <v>5018</v>
      </c>
      <c r="H4494" s="1">
        <v>0.1</v>
      </c>
      <c r="I4494" s="1">
        <v>0.1</v>
      </c>
      <c r="J4494" s="1">
        <v>0.66874057250840802</v>
      </c>
      <c r="K4494" s="1" t="s">
        <v>181</v>
      </c>
    </row>
    <row r="4495" spans="1:11" x14ac:dyDescent="0.25">
      <c r="A4495" s="1" t="s">
        <v>14096</v>
      </c>
      <c r="B4495" s="1" t="s">
        <v>14097</v>
      </c>
      <c r="D4495" s="1" t="s">
        <v>14098</v>
      </c>
      <c r="E4495" s="1" t="s">
        <v>209</v>
      </c>
      <c r="F4495" s="1" t="s">
        <v>5017</v>
      </c>
      <c r="G4495" s="1" t="s">
        <v>5018</v>
      </c>
      <c r="H4495" s="1">
        <v>0.1</v>
      </c>
      <c r="I4495" s="1">
        <v>0.1</v>
      </c>
      <c r="J4495" s="1">
        <v>1.0597755029113012</v>
      </c>
      <c r="K4495" s="1" t="s">
        <v>181</v>
      </c>
    </row>
    <row r="4496" spans="1:11" x14ac:dyDescent="0.25">
      <c r="A4496" s="1" t="s">
        <v>14099</v>
      </c>
      <c r="B4496" s="1" t="s">
        <v>14100</v>
      </c>
      <c r="D4496" s="1" t="s">
        <v>14101</v>
      </c>
      <c r="E4496" s="1" t="s">
        <v>209</v>
      </c>
      <c r="F4496" s="1" t="s">
        <v>5017</v>
      </c>
      <c r="G4496" s="1" t="s">
        <v>5018</v>
      </c>
      <c r="H4496" s="1">
        <v>0.1</v>
      </c>
      <c r="I4496" s="1">
        <v>0.1</v>
      </c>
      <c r="J4496" s="1">
        <v>0.65347190949527045</v>
      </c>
      <c r="K4496" s="1" t="s">
        <v>181</v>
      </c>
    </row>
    <row r="4497" spans="1:11" x14ac:dyDescent="0.25">
      <c r="A4497" s="1" t="s">
        <v>14102</v>
      </c>
      <c r="B4497" s="1" t="s">
        <v>14103</v>
      </c>
      <c r="D4497" s="1" t="s">
        <v>14104</v>
      </c>
      <c r="E4497" s="1" t="s">
        <v>209</v>
      </c>
      <c r="F4497" s="1" t="s">
        <v>5017</v>
      </c>
      <c r="G4497" s="1" t="s">
        <v>5018</v>
      </c>
      <c r="H4497" s="1">
        <v>0.1</v>
      </c>
      <c r="I4497" s="1">
        <v>0.1</v>
      </c>
      <c r="J4497" s="1">
        <v>0.73176888098236259</v>
      </c>
      <c r="K4497" s="1" t="s">
        <v>181</v>
      </c>
    </row>
    <row r="4498" spans="1:11" x14ac:dyDescent="0.25">
      <c r="A4498" s="1" t="s">
        <v>14105</v>
      </c>
      <c r="B4498" s="1" t="s">
        <v>14106</v>
      </c>
      <c r="D4498" s="1" t="s">
        <v>14107</v>
      </c>
      <c r="E4498" s="1" t="s">
        <v>209</v>
      </c>
      <c r="F4498" s="1" t="s">
        <v>5017</v>
      </c>
      <c r="G4498" s="1" t="s">
        <v>5018</v>
      </c>
      <c r="H4498" s="1">
        <v>0.1</v>
      </c>
      <c r="I4498" s="1">
        <v>0.1</v>
      </c>
      <c r="J4498" s="1">
        <v>0.77362810274483973</v>
      </c>
      <c r="K4498" s="1" t="s">
        <v>181</v>
      </c>
    </row>
    <row r="4499" spans="1:11" x14ac:dyDescent="0.25">
      <c r="A4499" s="1" t="s">
        <v>14108</v>
      </c>
      <c r="B4499" s="1" t="s">
        <v>14109</v>
      </c>
      <c r="D4499" s="1" t="s">
        <v>14110</v>
      </c>
      <c r="E4499" s="1" t="s">
        <v>209</v>
      </c>
      <c r="F4499" s="1" t="s">
        <v>5017</v>
      </c>
      <c r="G4499" s="1" t="s">
        <v>5018</v>
      </c>
      <c r="H4499" s="1">
        <v>0.1</v>
      </c>
      <c r="I4499" s="1">
        <v>0.1</v>
      </c>
      <c r="J4499" s="1">
        <v>0.69114650511264297</v>
      </c>
      <c r="K4499" s="1" t="s">
        <v>181</v>
      </c>
    </row>
    <row r="4500" spans="1:11" x14ac:dyDescent="0.25">
      <c r="A4500" s="1" t="s">
        <v>14111</v>
      </c>
      <c r="B4500" s="1" t="s">
        <v>14112</v>
      </c>
      <c r="D4500" s="1" t="s">
        <v>14113</v>
      </c>
      <c r="E4500" s="1" t="s">
        <v>209</v>
      </c>
      <c r="F4500" s="1" t="s">
        <v>5017</v>
      </c>
      <c r="G4500" s="1" t="s">
        <v>5018</v>
      </c>
      <c r="H4500" s="1">
        <v>0.1</v>
      </c>
      <c r="I4500" s="1">
        <v>0.1</v>
      </c>
      <c r="J4500" s="1">
        <v>0.88189408034111239</v>
      </c>
      <c r="K4500" s="1" t="s">
        <v>181</v>
      </c>
    </row>
    <row r="4501" spans="1:11" x14ac:dyDescent="0.25">
      <c r="A4501" s="1" t="s">
        <v>14114</v>
      </c>
      <c r="B4501" s="1" t="s">
        <v>14115</v>
      </c>
      <c r="D4501" s="1" t="s">
        <v>14116</v>
      </c>
      <c r="E4501" s="1" t="s">
        <v>209</v>
      </c>
      <c r="F4501" s="1" t="s">
        <v>5017</v>
      </c>
      <c r="G4501" s="1" t="s">
        <v>5018</v>
      </c>
      <c r="H4501" s="1">
        <v>0.1</v>
      </c>
      <c r="I4501" s="1">
        <v>0.1</v>
      </c>
      <c r="J4501" s="1">
        <v>0.47599773899122566</v>
      </c>
      <c r="K4501" s="1" t="s">
        <v>181</v>
      </c>
    </row>
    <row r="4502" spans="1:11" x14ac:dyDescent="0.25">
      <c r="A4502" s="1" t="s">
        <v>14117</v>
      </c>
      <c r="B4502" s="1" t="s">
        <v>14118</v>
      </c>
      <c r="D4502" s="1" t="s">
        <v>14119</v>
      </c>
      <c r="E4502" s="1" t="s">
        <v>209</v>
      </c>
      <c r="F4502" s="1" t="s">
        <v>5017</v>
      </c>
      <c r="G4502" s="1" t="s">
        <v>5018</v>
      </c>
      <c r="H4502" s="1">
        <v>0.1</v>
      </c>
      <c r="I4502" s="1">
        <v>0.1</v>
      </c>
      <c r="J4502" s="1">
        <v>0.84176378829576592</v>
      </c>
      <c r="K4502" s="1" t="s">
        <v>181</v>
      </c>
    </row>
    <row r="4503" spans="1:11" x14ac:dyDescent="0.25">
      <c r="A4503" s="1" t="s">
        <v>14120</v>
      </c>
      <c r="B4503" s="1" t="s">
        <v>14121</v>
      </c>
      <c r="D4503" s="1" t="s">
        <v>14122</v>
      </c>
      <c r="E4503" s="1" t="s">
        <v>209</v>
      </c>
      <c r="F4503" s="1" t="s">
        <v>5017</v>
      </c>
      <c r="G4503" s="1" t="s">
        <v>5018</v>
      </c>
      <c r="H4503" s="1">
        <v>0.1</v>
      </c>
      <c r="I4503" s="1">
        <v>0.1</v>
      </c>
      <c r="J4503" s="1">
        <v>0.56336157571794132</v>
      </c>
      <c r="K4503" s="1" t="s">
        <v>181</v>
      </c>
    </row>
    <row r="4504" spans="1:11" x14ac:dyDescent="0.25">
      <c r="A4504" s="1" t="s">
        <v>144</v>
      </c>
      <c r="B4504" s="1" t="s">
        <v>14123</v>
      </c>
      <c r="D4504" s="1" t="s">
        <v>14124</v>
      </c>
      <c r="E4504" s="1" t="s">
        <v>209</v>
      </c>
      <c r="F4504" s="1" t="s">
        <v>5017</v>
      </c>
      <c r="G4504" s="1" t="s">
        <v>5018</v>
      </c>
      <c r="H4504" s="1">
        <v>0.1</v>
      </c>
      <c r="I4504" s="1">
        <v>0.1</v>
      </c>
      <c r="J4504" s="1">
        <v>0.61855427768351334</v>
      </c>
      <c r="K4504" s="1" t="s">
        <v>181</v>
      </c>
    </row>
    <row r="4505" spans="1:11" x14ac:dyDescent="0.25">
      <c r="A4505" s="1" t="s">
        <v>14125</v>
      </c>
      <c r="B4505" s="1" t="s">
        <v>14126</v>
      </c>
      <c r="D4505" s="1" t="s">
        <v>14127</v>
      </c>
      <c r="E4505" s="1" t="s">
        <v>209</v>
      </c>
      <c r="F4505" s="1" t="s">
        <v>5017</v>
      </c>
      <c r="G4505" s="1" t="s">
        <v>5018</v>
      </c>
      <c r="H4505" s="1">
        <v>0.1</v>
      </c>
      <c r="I4505" s="1">
        <v>0.1</v>
      </c>
      <c r="J4505" s="1">
        <v>0.65285809384162696</v>
      </c>
      <c r="K4505" s="1" t="s">
        <v>181</v>
      </c>
    </row>
    <row r="4506" spans="1:11" x14ac:dyDescent="0.25">
      <c r="A4506" s="1" t="s">
        <v>14128</v>
      </c>
      <c r="B4506" s="1" t="s">
        <v>14129</v>
      </c>
      <c r="D4506" s="1" t="s">
        <v>14130</v>
      </c>
      <c r="E4506" s="1" t="s">
        <v>209</v>
      </c>
      <c r="F4506" s="1" t="s">
        <v>5017</v>
      </c>
      <c r="G4506" s="1" t="s">
        <v>5018</v>
      </c>
      <c r="H4506" s="1">
        <v>0.1</v>
      </c>
      <c r="I4506" s="1">
        <v>0.1</v>
      </c>
      <c r="J4506" s="1">
        <v>0.82832810570612847</v>
      </c>
      <c r="K4506" s="1" t="s">
        <v>181</v>
      </c>
    </row>
    <row r="4507" spans="1:11" x14ac:dyDescent="0.25">
      <c r="A4507" s="1" t="s">
        <v>14131</v>
      </c>
      <c r="B4507" s="1" t="s">
        <v>14132</v>
      </c>
      <c r="D4507" s="1" t="s">
        <v>14133</v>
      </c>
      <c r="E4507" s="1" t="s">
        <v>209</v>
      </c>
      <c r="F4507" s="1" t="s">
        <v>5017</v>
      </c>
      <c r="G4507" s="1" t="s">
        <v>5018</v>
      </c>
      <c r="H4507" s="1">
        <v>0.1</v>
      </c>
      <c r="I4507" s="1">
        <v>0.1</v>
      </c>
      <c r="J4507" s="1">
        <v>0.53272831657293018</v>
      </c>
      <c r="K4507" s="1" t="s">
        <v>181</v>
      </c>
    </row>
    <row r="4508" spans="1:11" x14ac:dyDescent="0.25">
      <c r="A4508" s="1" t="s">
        <v>14134</v>
      </c>
      <c r="B4508" s="1" t="s">
        <v>14135</v>
      </c>
      <c r="D4508" s="1" t="s">
        <v>14136</v>
      </c>
      <c r="E4508" s="1" t="s">
        <v>209</v>
      </c>
      <c r="F4508" s="1" t="s">
        <v>5017</v>
      </c>
      <c r="G4508" s="1" t="s">
        <v>5018</v>
      </c>
      <c r="H4508" s="1">
        <v>0.1</v>
      </c>
      <c r="I4508" s="1">
        <v>0.1</v>
      </c>
      <c r="J4508" s="1">
        <v>0.79717237086638493</v>
      </c>
      <c r="K4508" s="1" t="s">
        <v>181</v>
      </c>
    </row>
    <row r="4509" spans="1:11" x14ac:dyDescent="0.25">
      <c r="A4509" s="1" t="s">
        <v>14137</v>
      </c>
      <c r="B4509" s="1" t="s">
        <v>14138</v>
      </c>
      <c r="D4509" s="1" t="s">
        <v>14139</v>
      </c>
      <c r="E4509" s="1" t="s">
        <v>209</v>
      </c>
      <c r="F4509" s="1" t="s">
        <v>5017</v>
      </c>
      <c r="G4509" s="1" t="s">
        <v>5018</v>
      </c>
      <c r="H4509" s="1">
        <v>0.1</v>
      </c>
      <c r="I4509" s="1">
        <v>0.1</v>
      </c>
      <c r="J4509" s="1">
        <v>0.451642886889979</v>
      </c>
      <c r="K4509" s="1" t="s">
        <v>181</v>
      </c>
    </row>
    <row r="4510" spans="1:11" x14ac:dyDescent="0.25">
      <c r="A4510" s="1" t="s">
        <v>14140</v>
      </c>
      <c r="B4510" s="1" t="s">
        <v>14141</v>
      </c>
      <c r="D4510" s="1" t="s">
        <v>14142</v>
      </c>
      <c r="E4510" s="1" t="s">
        <v>209</v>
      </c>
      <c r="F4510" s="1" t="s">
        <v>5017</v>
      </c>
      <c r="G4510" s="1" t="s">
        <v>5018</v>
      </c>
      <c r="H4510" s="1">
        <v>0.1</v>
      </c>
      <c r="I4510" s="1">
        <v>0.1</v>
      </c>
      <c r="J4510" s="1">
        <v>0.53905090085851304</v>
      </c>
      <c r="K4510" s="1" t="s">
        <v>181</v>
      </c>
    </row>
    <row r="4511" spans="1:11" x14ac:dyDescent="0.25">
      <c r="A4511" s="1" t="s">
        <v>14143</v>
      </c>
      <c r="B4511" s="1" t="s">
        <v>14144</v>
      </c>
      <c r="D4511" s="1" t="s">
        <v>14145</v>
      </c>
      <c r="E4511" s="1" t="s">
        <v>209</v>
      </c>
      <c r="F4511" s="1" t="s">
        <v>5017</v>
      </c>
      <c r="G4511" s="1" t="s">
        <v>5018</v>
      </c>
      <c r="H4511" s="1">
        <v>0.1</v>
      </c>
      <c r="I4511" s="1">
        <v>0.1</v>
      </c>
      <c r="J4511" s="1">
        <v>0.75005550163856449</v>
      </c>
      <c r="K4511" s="1" t="s">
        <v>181</v>
      </c>
    </row>
    <row r="4512" spans="1:11" x14ac:dyDescent="0.25">
      <c r="A4512" s="1" t="s">
        <v>14146</v>
      </c>
      <c r="B4512" s="1" t="s">
        <v>14147</v>
      </c>
      <c r="D4512" s="1" t="s">
        <v>14148</v>
      </c>
      <c r="E4512" s="1" t="s">
        <v>209</v>
      </c>
      <c r="F4512" s="1" t="s">
        <v>5017</v>
      </c>
      <c r="G4512" s="1" t="s">
        <v>5018</v>
      </c>
      <c r="H4512" s="1">
        <v>0.1</v>
      </c>
      <c r="I4512" s="1">
        <v>0.1</v>
      </c>
      <c r="J4512" s="1">
        <v>0.6897476412945257</v>
      </c>
      <c r="K4512" s="1" t="s">
        <v>181</v>
      </c>
    </row>
    <row r="4513" spans="1:11" x14ac:dyDescent="0.25">
      <c r="A4513" s="1" t="s">
        <v>14149</v>
      </c>
      <c r="B4513" s="1" t="s">
        <v>14150</v>
      </c>
      <c r="D4513" s="1" t="s">
        <v>14151</v>
      </c>
      <c r="E4513" s="1" t="s">
        <v>209</v>
      </c>
      <c r="F4513" s="1" t="s">
        <v>5017</v>
      </c>
      <c r="G4513" s="1" t="s">
        <v>5018</v>
      </c>
      <c r="H4513" s="1">
        <v>0.1</v>
      </c>
      <c r="I4513" s="1">
        <v>0.1</v>
      </c>
      <c r="J4513" s="1">
        <v>0.54662063421592411</v>
      </c>
      <c r="K4513" s="1" t="s">
        <v>181</v>
      </c>
    </row>
    <row r="4514" spans="1:11" x14ac:dyDescent="0.25">
      <c r="A4514" s="1" t="s">
        <v>14152</v>
      </c>
      <c r="B4514" s="1" t="s">
        <v>14153</v>
      </c>
      <c r="D4514" s="1" t="s">
        <v>14154</v>
      </c>
      <c r="E4514" s="1" t="s">
        <v>209</v>
      </c>
      <c r="F4514" s="1" t="s">
        <v>5017</v>
      </c>
      <c r="G4514" s="1" t="s">
        <v>5018</v>
      </c>
      <c r="H4514" s="1">
        <v>0.1</v>
      </c>
      <c r="I4514" s="1">
        <v>0.1</v>
      </c>
      <c r="J4514" s="1">
        <v>0.8917816054822385</v>
      </c>
      <c r="K4514" s="1" t="s">
        <v>181</v>
      </c>
    </row>
    <row r="4515" spans="1:11" x14ac:dyDescent="0.25">
      <c r="A4515" s="1" t="s">
        <v>14155</v>
      </c>
      <c r="B4515" s="1" t="s">
        <v>14156</v>
      </c>
      <c r="D4515" s="1" t="s">
        <v>14157</v>
      </c>
      <c r="E4515" s="1" t="s">
        <v>209</v>
      </c>
      <c r="F4515" s="1" t="s">
        <v>5017</v>
      </c>
      <c r="G4515" s="1" t="s">
        <v>5018</v>
      </c>
      <c r="H4515" s="1">
        <v>0.1</v>
      </c>
      <c r="I4515" s="1">
        <v>0.1</v>
      </c>
      <c r="J4515" s="1">
        <v>0.71720408469453989</v>
      </c>
      <c r="K4515" s="1" t="s">
        <v>181</v>
      </c>
    </row>
    <row r="4516" spans="1:11" x14ac:dyDescent="0.25">
      <c r="A4516" s="1" t="s">
        <v>14158</v>
      </c>
      <c r="B4516" s="1" t="s">
        <v>14159</v>
      </c>
      <c r="D4516" s="1" t="s">
        <v>14160</v>
      </c>
      <c r="E4516" s="1" t="s">
        <v>209</v>
      </c>
      <c r="F4516" s="1" t="s">
        <v>5017</v>
      </c>
      <c r="G4516" s="1" t="s">
        <v>5018</v>
      </c>
      <c r="H4516" s="1">
        <v>0.1</v>
      </c>
      <c r="I4516" s="1">
        <v>0.1</v>
      </c>
      <c r="J4516" s="1">
        <v>0.78600308443797584</v>
      </c>
      <c r="K4516" s="1" t="s">
        <v>181</v>
      </c>
    </row>
    <row r="4517" spans="1:11" x14ac:dyDescent="0.25">
      <c r="A4517" s="1" t="s">
        <v>14161</v>
      </c>
      <c r="B4517" s="1" t="s">
        <v>14162</v>
      </c>
      <c r="D4517" s="1" t="s">
        <v>14163</v>
      </c>
      <c r="E4517" s="1" t="s">
        <v>209</v>
      </c>
      <c r="F4517" s="1" t="s">
        <v>5017</v>
      </c>
      <c r="G4517" s="1" t="s">
        <v>5018</v>
      </c>
      <c r="H4517" s="1">
        <v>0.1</v>
      </c>
      <c r="I4517" s="1">
        <v>0.1</v>
      </c>
      <c r="J4517" s="1">
        <v>0.67121042425743727</v>
      </c>
      <c r="K4517" s="1" t="s">
        <v>181</v>
      </c>
    </row>
    <row r="4518" spans="1:11" x14ac:dyDescent="0.25">
      <c r="A4518" s="1" t="s">
        <v>14164</v>
      </c>
      <c r="B4518" s="1" t="s">
        <v>14165</v>
      </c>
      <c r="D4518" s="1" t="s">
        <v>14166</v>
      </c>
      <c r="E4518" s="1" t="s">
        <v>209</v>
      </c>
      <c r="F4518" s="1" t="s">
        <v>5017</v>
      </c>
      <c r="G4518" s="1" t="s">
        <v>5018</v>
      </c>
      <c r="H4518" s="1">
        <v>0.1</v>
      </c>
      <c r="I4518" s="1">
        <v>0.1</v>
      </c>
      <c r="J4518" s="1">
        <v>0.74803513671039035</v>
      </c>
      <c r="K4518" s="1" t="s">
        <v>181</v>
      </c>
    </row>
    <row r="4519" spans="1:11" x14ac:dyDescent="0.25">
      <c r="A4519" s="1" t="s">
        <v>14167</v>
      </c>
      <c r="B4519" s="1" t="s">
        <v>14168</v>
      </c>
      <c r="D4519" s="1" t="s">
        <v>14169</v>
      </c>
      <c r="E4519" s="1" t="s">
        <v>209</v>
      </c>
      <c r="F4519" s="1" t="s">
        <v>5017</v>
      </c>
      <c r="G4519" s="1" t="s">
        <v>5018</v>
      </c>
      <c r="H4519" s="1">
        <v>0.1</v>
      </c>
      <c r="I4519" s="1">
        <v>0.1</v>
      </c>
      <c r="J4519" s="1">
        <v>0.81002168842040601</v>
      </c>
      <c r="K4519" s="1" t="s">
        <v>181</v>
      </c>
    </row>
    <row r="4520" spans="1:11" x14ac:dyDescent="0.25">
      <c r="A4520" s="1" t="s">
        <v>14170</v>
      </c>
      <c r="B4520" s="1" t="s">
        <v>14171</v>
      </c>
      <c r="D4520" s="1" t="s">
        <v>14172</v>
      </c>
      <c r="E4520" s="1" t="s">
        <v>209</v>
      </c>
      <c r="F4520" s="1" t="s">
        <v>5017</v>
      </c>
      <c r="G4520" s="1" t="s">
        <v>5018</v>
      </c>
      <c r="H4520" s="1">
        <v>0.1</v>
      </c>
      <c r="I4520" s="1">
        <v>0.1</v>
      </c>
      <c r="J4520" s="1">
        <v>0.57857661652697878</v>
      </c>
      <c r="K4520" s="1" t="s">
        <v>181</v>
      </c>
    </row>
    <row r="4521" spans="1:11" x14ac:dyDescent="0.25">
      <c r="A4521" s="1" t="s">
        <v>14173</v>
      </c>
      <c r="B4521" s="1" t="s">
        <v>14174</v>
      </c>
      <c r="D4521" s="1" t="s">
        <v>14175</v>
      </c>
      <c r="E4521" s="1" t="s">
        <v>209</v>
      </c>
      <c r="F4521" s="1" t="s">
        <v>5017</v>
      </c>
      <c r="G4521" s="1" t="s">
        <v>5018</v>
      </c>
      <c r="H4521" s="1">
        <v>0.1</v>
      </c>
      <c r="I4521" s="1">
        <v>0.1</v>
      </c>
      <c r="J4521" s="1">
        <v>0.58647049466628709</v>
      </c>
      <c r="K4521" s="1" t="s">
        <v>181</v>
      </c>
    </row>
    <row r="4522" spans="1:11" x14ac:dyDescent="0.25">
      <c r="A4522" s="1" t="s">
        <v>14176</v>
      </c>
      <c r="B4522" s="1" t="s">
        <v>14177</v>
      </c>
      <c r="D4522" s="1" t="s">
        <v>14178</v>
      </c>
      <c r="E4522" s="1" t="s">
        <v>209</v>
      </c>
      <c r="F4522" s="1" t="s">
        <v>5017</v>
      </c>
      <c r="G4522" s="1" t="s">
        <v>5018</v>
      </c>
      <c r="H4522" s="1">
        <v>0.1</v>
      </c>
      <c r="I4522" s="1">
        <v>0.1</v>
      </c>
      <c r="J4522" s="1">
        <v>0.61087362166025871</v>
      </c>
      <c r="K4522" s="1" t="s">
        <v>181</v>
      </c>
    </row>
    <row r="4523" spans="1:11" x14ac:dyDescent="0.25">
      <c r="A4523" s="1" t="s">
        <v>14179</v>
      </c>
      <c r="B4523" s="1" t="s">
        <v>14180</v>
      </c>
      <c r="D4523" s="1" t="s">
        <v>14181</v>
      </c>
      <c r="E4523" s="1" t="s">
        <v>209</v>
      </c>
      <c r="F4523" s="1" t="s">
        <v>5017</v>
      </c>
      <c r="G4523" s="1" t="s">
        <v>5018</v>
      </c>
      <c r="H4523" s="1">
        <v>0.1</v>
      </c>
      <c r="I4523" s="1">
        <v>0.1</v>
      </c>
      <c r="J4523" s="1">
        <v>0.59808851397378349</v>
      </c>
      <c r="K4523" s="1" t="s">
        <v>181</v>
      </c>
    </row>
    <row r="4524" spans="1:11" x14ac:dyDescent="0.25">
      <c r="A4524" s="1" t="s">
        <v>14182</v>
      </c>
      <c r="B4524" s="1" t="s">
        <v>14183</v>
      </c>
      <c r="D4524" s="1" t="s">
        <v>14184</v>
      </c>
      <c r="E4524" s="1" t="s">
        <v>209</v>
      </c>
      <c r="F4524" s="1" t="s">
        <v>5017</v>
      </c>
      <c r="G4524" s="1" t="s">
        <v>5018</v>
      </c>
      <c r="H4524" s="1">
        <v>0.1</v>
      </c>
      <c r="I4524" s="1">
        <v>0.1</v>
      </c>
      <c r="J4524" s="1">
        <v>0.90665825525087462</v>
      </c>
      <c r="K4524" s="1" t="s">
        <v>181</v>
      </c>
    </row>
    <row r="4525" spans="1:11" x14ac:dyDescent="0.25">
      <c r="A4525" s="1" t="s">
        <v>14185</v>
      </c>
      <c r="B4525" s="1" t="s">
        <v>14186</v>
      </c>
      <c r="D4525" s="1" t="s">
        <v>14187</v>
      </c>
      <c r="E4525" s="1" t="s">
        <v>209</v>
      </c>
      <c r="F4525" s="1" t="s">
        <v>5017</v>
      </c>
      <c r="G4525" s="1" t="s">
        <v>5018</v>
      </c>
      <c r="H4525" s="1">
        <v>0.1</v>
      </c>
      <c r="I4525" s="1">
        <v>0.1</v>
      </c>
      <c r="J4525" s="1">
        <v>0.8375007870699368</v>
      </c>
      <c r="K4525" s="1" t="s">
        <v>181</v>
      </c>
    </row>
    <row r="4526" spans="1:11" x14ac:dyDescent="0.25">
      <c r="A4526" s="1" t="s">
        <v>14188</v>
      </c>
      <c r="B4526" s="1" t="s">
        <v>14189</v>
      </c>
      <c r="D4526" s="1" t="s">
        <v>14190</v>
      </c>
      <c r="E4526" s="1" t="s">
        <v>209</v>
      </c>
      <c r="F4526" s="1" t="s">
        <v>5017</v>
      </c>
      <c r="G4526" s="1" t="s">
        <v>5018</v>
      </c>
      <c r="H4526" s="1">
        <v>0.1</v>
      </c>
      <c r="I4526" s="1">
        <v>0.1</v>
      </c>
      <c r="J4526" s="1">
        <v>0.80094494333388988</v>
      </c>
      <c r="K4526" s="1" t="s">
        <v>181</v>
      </c>
    </row>
    <row r="4527" spans="1:11" x14ac:dyDescent="0.25">
      <c r="A4527" s="1" t="s">
        <v>14191</v>
      </c>
      <c r="B4527" s="1" t="s">
        <v>14192</v>
      </c>
      <c r="D4527" s="1" t="s">
        <v>14193</v>
      </c>
      <c r="E4527" s="1" t="s">
        <v>209</v>
      </c>
      <c r="F4527" s="1" t="s">
        <v>5017</v>
      </c>
      <c r="G4527" s="1" t="s">
        <v>5018</v>
      </c>
      <c r="H4527" s="1">
        <v>0.1</v>
      </c>
      <c r="I4527" s="1">
        <v>0.1</v>
      </c>
      <c r="J4527" s="1">
        <v>0.86463559853496696</v>
      </c>
      <c r="K4527" s="1" t="s">
        <v>181</v>
      </c>
    </row>
    <row r="4528" spans="1:11" x14ac:dyDescent="0.25">
      <c r="A4528" s="1" t="s">
        <v>14194</v>
      </c>
      <c r="B4528" s="1" t="s">
        <v>14195</v>
      </c>
      <c r="D4528" s="1" t="s">
        <v>14196</v>
      </c>
      <c r="E4528" s="1" t="s">
        <v>209</v>
      </c>
      <c r="F4528" s="1" t="s">
        <v>5017</v>
      </c>
      <c r="G4528" s="1" t="s">
        <v>5018</v>
      </c>
      <c r="H4528" s="1">
        <v>0.1</v>
      </c>
      <c r="I4528" s="1">
        <v>0.1</v>
      </c>
      <c r="J4528" s="1">
        <v>0.66670283534576369</v>
      </c>
      <c r="K4528" s="1" t="s">
        <v>181</v>
      </c>
    </row>
    <row r="4529" spans="1:11" x14ac:dyDescent="0.25">
      <c r="A4529" s="1" t="s">
        <v>14197</v>
      </c>
      <c r="B4529" s="1" t="s">
        <v>14198</v>
      </c>
      <c r="D4529" s="1" t="s">
        <v>14199</v>
      </c>
      <c r="E4529" s="1" t="s">
        <v>209</v>
      </c>
      <c r="F4529" s="1" t="s">
        <v>5017</v>
      </c>
      <c r="G4529" s="1" t="s">
        <v>5018</v>
      </c>
      <c r="H4529" s="1">
        <v>0.1</v>
      </c>
      <c r="I4529" s="1">
        <v>0.1</v>
      </c>
      <c r="J4529" s="1">
        <v>0.75019110883010953</v>
      </c>
      <c r="K4529" s="1" t="s">
        <v>181</v>
      </c>
    </row>
    <row r="4530" spans="1:11" x14ac:dyDescent="0.25">
      <c r="A4530" s="1" t="s">
        <v>14200</v>
      </c>
      <c r="B4530" s="1" t="s">
        <v>14201</v>
      </c>
      <c r="D4530" s="1" t="s">
        <v>14202</v>
      </c>
      <c r="E4530" s="1" t="s">
        <v>209</v>
      </c>
      <c r="F4530" s="1" t="s">
        <v>5017</v>
      </c>
      <c r="G4530" s="1" t="s">
        <v>5018</v>
      </c>
      <c r="H4530" s="1">
        <v>0.1</v>
      </c>
      <c r="I4530" s="1">
        <v>0.1</v>
      </c>
      <c r="J4530" s="1">
        <v>0.76846766714555714</v>
      </c>
      <c r="K4530" s="1" t="s">
        <v>181</v>
      </c>
    </row>
    <row r="4531" spans="1:11" x14ac:dyDescent="0.25">
      <c r="A4531" s="1" t="s">
        <v>14203</v>
      </c>
      <c r="B4531" s="1" t="s">
        <v>14204</v>
      </c>
      <c r="D4531" s="1" t="s">
        <v>14205</v>
      </c>
      <c r="E4531" s="1" t="s">
        <v>209</v>
      </c>
      <c r="F4531" s="1" t="s">
        <v>5017</v>
      </c>
      <c r="G4531" s="1" t="s">
        <v>5018</v>
      </c>
      <c r="H4531" s="1">
        <v>0.1</v>
      </c>
      <c r="I4531" s="1">
        <v>0.1</v>
      </c>
      <c r="J4531" s="1">
        <v>0.68314025132698897</v>
      </c>
      <c r="K4531" s="1" t="s">
        <v>181</v>
      </c>
    </row>
    <row r="4532" spans="1:11" x14ac:dyDescent="0.25">
      <c r="A4532" s="1" t="s">
        <v>14206</v>
      </c>
      <c r="B4532" s="1" t="s">
        <v>14207</v>
      </c>
      <c r="D4532" s="1" t="s">
        <v>14208</v>
      </c>
      <c r="E4532" s="1" t="s">
        <v>209</v>
      </c>
      <c r="F4532" s="1" t="s">
        <v>5017</v>
      </c>
      <c r="G4532" s="1" t="s">
        <v>5018</v>
      </c>
      <c r="H4532" s="1">
        <v>0.1</v>
      </c>
      <c r="I4532" s="1">
        <v>0.1</v>
      </c>
      <c r="J4532" s="1">
        <v>0.52314233968459156</v>
      </c>
      <c r="K4532" s="1" t="s">
        <v>181</v>
      </c>
    </row>
    <row r="4533" spans="1:11" x14ac:dyDescent="0.25">
      <c r="A4533" s="1" t="s">
        <v>14209</v>
      </c>
      <c r="B4533" s="1" t="s">
        <v>14210</v>
      </c>
      <c r="D4533" s="1" t="s">
        <v>14211</v>
      </c>
      <c r="E4533" s="1" t="s">
        <v>209</v>
      </c>
      <c r="F4533" s="1" t="s">
        <v>5017</v>
      </c>
      <c r="G4533" s="1" t="s">
        <v>5018</v>
      </c>
      <c r="H4533" s="1">
        <v>0.1</v>
      </c>
      <c r="I4533" s="1">
        <v>0.1</v>
      </c>
      <c r="J4533" s="1">
        <v>0.71657456840631184</v>
      </c>
      <c r="K4533" s="1" t="s">
        <v>181</v>
      </c>
    </row>
    <row r="4534" spans="1:11" x14ac:dyDescent="0.25">
      <c r="A4534" s="1" t="s">
        <v>14212</v>
      </c>
      <c r="B4534" s="1" t="s">
        <v>14213</v>
      </c>
      <c r="D4534" s="1" t="s">
        <v>14214</v>
      </c>
      <c r="E4534" s="1" t="s">
        <v>209</v>
      </c>
      <c r="F4534" s="1" t="s">
        <v>5017</v>
      </c>
      <c r="G4534" s="1" t="s">
        <v>5018</v>
      </c>
      <c r="H4534" s="1">
        <v>0.1</v>
      </c>
      <c r="I4534" s="1">
        <v>0.1</v>
      </c>
      <c r="J4534" s="1">
        <v>0.66818032710383835</v>
      </c>
      <c r="K4534" s="1" t="s">
        <v>181</v>
      </c>
    </row>
    <row r="4535" spans="1:11" x14ac:dyDescent="0.25">
      <c r="A4535" s="1" t="s">
        <v>14215</v>
      </c>
      <c r="B4535" s="1" t="s">
        <v>14216</v>
      </c>
      <c r="D4535" s="1" t="s">
        <v>14217</v>
      </c>
      <c r="E4535" s="1" t="s">
        <v>209</v>
      </c>
      <c r="F4535" s="1" t="s">
        <v>5017</v>
      </c>
      <c r="G4535" s="1" t="s">
        <v>5018</v>
      </c>
      <c r="H4535" s="1">
        <v>0.1</v>
      </c>
      <c r="I4535" s="1">
        <v>0.1</v>
      </c>
      <c r="J4535" s="1">
        <v>0.79820404507352083</v>
      </c>
      <c r="K4535" s="1" t="s">
        <v>181</v>
      </c>
    </row>
    <row r="4536" spans="1:11" x14ac:dyDescent="0.25">
      <c r="A4536" s="1" t="s">
        <v>14218</v>
      </c>
      <c r="B4536" s="1" t="s">
        <v>14219</v>
      </c>
      <c r="D4536" s="1" t="s">
        <v>14220</v>
      </c>
      <c r="E4536" s="1" t="s">
        <v>209</v>
      </c>
      <c r="F4536" s="1" t="s">
        <v>5017</v>
      </c>
      <c r="G4536" s="1" t="s">
        <v>5018</v>
      </c>
      <c r="H4536" s="1">
        <v>0.1</v>
      </c>
      <c r="I4536" s="1">
        <v>0.1</v>
      </c>
      <c r="J4536" s="1">
        <v>0.64663212405132897</v>
      </c>
      <c r="K4536" s="1" t="s">
        <v>181</v>
      </c>
    </row>
    <row r="4537" spans="1:11" x14ac:dyDescent="0.25">
      <c r="A4537" s="1" t="s">
        <v>14221</v>
      </c>
      <c r="B4537" s="1" t="s">
        <v>14222</v>
      </c>
      <c r="D4537" s="1" t="s">
        <v>14223</v>
      </c>
      <c r="E4537" s="1" t="s">
        <v>209</v>
      </c>
      <c r="F4537" s="1" t="s">
        <v>5017</v>
      </c>
      <c r="G4537" s="1" t="s">
        <v>5018</v>
      </c>
      <c r="H4537" s="1">
        <v>0.1</v>
      </c>
      <c r="I4537" s="1">
        <v>0.1</v>
      </c>
      <c r="J4537" s="1">
        <v>0.63672065496153019</v>
      </c>
      <c r="K4537" s="1" t="s">
        <v>181</v>
      </c>
    </row>
    <row r="4538" spans="1:11" x14ac:dyDescent="0.25">
      <c r="A4538" s="1" t="s">
        <v>14224</v>
      </c>
      <c r="B4538" s="1" t="s">
        <v>14225</v>
      </c>
      <c r="D4538" s="1" t="s">
        <v>14226</v>
      </c>
      <c r="E4538" s="1" t="s">
        <v>209</v>
      </c>
      <c r="F4538" s="1" t="s">
        <v>5017</v>
      </c>
      <c r="G4538" s="1" t="s">
        <v>5018</v>
      </c>
      <c r="H4538" s="1">
        <v>0.1</v>
      </c>
      <c r="I4538" s="1">
        <v>0.1</v>
      </c>
      <c r="J4538" s="1">
        <v>0.70227263273345242</v>
      </c>
      <c r="K4538" s="1" t="s">
        <v>181</v>
      </c>
    </row>
    <row r="4539" spans="1:11" x14ac:dyDescent="0.25">
      <c r="A4539" s="1" t="s">
        <v>14227</v>
      </c>
      <c r="B4539" s="1" t="s">
        <v>14228</v>
      </c>
      <c r="D4539" s="1" t="s">
        <v>14229</v>
      </c>
      <c r="E4539" s="1" t="s">
        <v>209</v>
      </c>
      <c r="F4539" s="1" t="s">
        <v>5017</v>
      </c>
      <c r="G4539" s="1" t="s">
        <v>5018</v>
      </c>
      <c r="H4539" s="1">
        <v>0.1</v>
      </c>
      <c r="I4539" s="1">
        <v>0.1</v>
      </c>
      <c r="J4539" s="1">
        <v>0.56657720453740956</v>
      </c>
      <c r="K4539" s="1" t="s">
        <v>181</v>
      </c>
    </row>
    <row r="4540" spans="1:11" x14ac:dyDescent="0.25">
      <c r="A4540" s="1" t="s">
        <v>14230</v>
      </c>
      <c r="B4540" s="1" t="s">
        <v>14231</v>
      </c>
      <c r="D4540" s="1" t="s">
        <v>14232</v>
      </c>
      <c r="E4540" s="1" t="s">
        <v>209</v>
      </c>
      <c r="F4540" s="1" t="s">
        <v>5017</v>
      </c>
      <c r="G4540" s="1" t="s">
        <v>5018</v>
      </c>
      <c r="H4540" s="1">
        <v>0.1</v>
      </c>
      <c r="I4540" s="1">
        <v>0.1</v>
      </c>
      <c r="J4540" s="1">
        <v>0.51747198626440016</v>
      </c>
      <c r="K4540" s="1" t="s">
        <v>181</v>
      </c>
    </row>
    <row r="4541" spans="1:11" x14ac:dyDescent="0.25">
      <c r="A4541" s="1" t="s">
        <v>14233</v>
      </c>
      <c r="B4541" s="1" t="s">
        <v>14234</v>
      </c>
      <c r="D4541" s="1" t="s">
        <v>14235</v>
      </c>
      <c r="E4541" s="1" t="s">
        <v>209</v>
      </c>
      <c r="F4541" s="1" t="s">
        <v>5017</v>
      </c>
      <c r="G4541" s="1" t="s">
        <v>5018</v>
      </c>
      <c r="H4541" s="1">
        <v>0.1</v>
      </c>
      <c r="I4541" s="1">
        <v>0.1</v>
      </c>
      <c r="J4541" s="1">
        <v>0.5480598279693536</v>
      </c>
      <c r="K4541" s="1" t="s">
        <v>181</v>
      </c>
    </row>
    <row r="4542" spans="1:11" x14ac:dyDescent="0.25">
      <c r="A4542" s="1" t="s">
        <v>14236</v>
      </c>
      <c r="B4542" s="1" t="s">
        <v>14237</v>
      </c>
      <c r="D4542" s="1" t="s">
        <v>14238</v>
      </c>
      <c r="E4542" s="1" t="s">
        <v>209</v>
      </c>
      <c r="F4542" s="1" t="s">
        <v>5017</v>
      </c>
      <c r="G4542" s="1" t="s">
        <v>5018</v>
      </c>
      <c r="H4542" s="1">
        <v>0.1</v>
      </c>
      <c r="I4542" s="1">
        <v>0.1</v>
      </c>
      <c r="J4542" s="1">
        <v>0.92767017418510722</v>
      </c>
      <c r="K4542" s="1" t="s">
        <v>181</v>
      </c>
    </row>
    <row r="4543" spans="1:11" x14ac:dyDescent="0.25">
      <c r="A4543" s="1" t="s">
        <v>14239</v>
      </c>
      <c r="B4543" s="1" t="s">
        <v>14240</v>
      </c>
      <c r="D4543" s="1" t="s">
        <v>14241</v>
      </c>
      <c r="E4543" s="1" t="s">
        <v>209</v>
      </c>
      <c r="F4543" s="1" t="s">
        <v>5017</v>
      </c>
      <c r="G4543" s="1" t="s">
        <v>5018</v>
      </c>
      <c r="H4543" s="1">
        <v>0.1</v>
      </c>
      <c r="I4543" s="1">
        <v>0.1</v>
      </c>
      <c r="J4543" s="1">
        <v>0.42336314932947622</v>
      </c>
      <c r="K4543" s="1" t="s">
        <v>181</v>
      </c>
    </row>
    <row r="4544" spans="1:11" x14ac:dyDescent="0.25">
      <c r="A4544" s="1" t="s">
        <v>14242</v>
      </c>
      <c r="B4544" s="1" t="s">
        <v>14243</v>
      </c>
      <c r="D4544" s="1" t="s">
        <v>14244</v>
      </c>
      <c r="E4544" s="1" t="s">
        <v>209</v>
      </c>
      <c r="F4544" s="1" t="s">
        <v>5017</v>
      </c>
      <c r="G4544" s="1" t="s">
        <v>5018</v>
      </c>
      <c r="H4544" s="1">
        <v>0.1</v>
      </c>
      <c r="I4544" s="1">
        <v>0.1</v>
      </c>
      <c r="J4544" s="1">
        <v>0.56088432915727415</v>
      </c>
      <c r="K4544" s="1" t="s">
        <v>181</v>
      </c>
    </row>
    <row r="4545" spans="1:11" x14ac:dyDescent="0.25">
      <c r="A4545" s="1" t="s">
        <v>14245</v>
      </c>
      <c r="B4545" s="1" t="s">
        <v>14246</v>
      </c>
      <c r="D4545" s="1" t="s">
        <v>14247</v>
      </c>
      <c r="E4545" s="1" t="s">
        <v>209</v>
      </c>
      <c r="F4545" s="1" t="s">
        <v>5017</v>
      </c>
      <c r="G4545" s="1" t="s">
        <v>5018</v>
      </c>
      <c r="H4545" s="1">
        <v>0.1</v>
      </c>
      <c r="I4545" s="1">
        <v>0.1</v>
      </c>
      <c r="J4545" s="1">
        <v>0.70560037301480194</v>
      </c>
      <c r="K4545" s="1" t="s">
        <v>181</v>
      </c>
    </row>
    <row r="4546" spans="1:11" x14ac:dyDescent="0.25">
      <c r="A4546" s="1" t="s">
        <v>14248</v>
      </c>
      <c r="B4546" s="1" t="s">
        <v>14249</v>
      </c>
      <c r="D4546" s="1" t="s">
        <v>14250</v>
      </c>
      <c r="E4546" s="1" t="s">
        <v>209</v>
      </c>
      <c r="F4546" s="1" t="s">
        <v>5017</v>
      </c>
      <c r="G4546" s="1" t="s">
        <v>5018</v>
      </c>
      <c r="H4546" s="1">
        <v>0.1</v>
      </c>
      <c r="I4546" s="1">
        <v>0.1</v>
      </c>
      <c r="J4546" s="1">
        <v>0.6133919706860137</v>
      </c>
      <c r="K4546" s="1" t="s">
        <v>181</v>
      </c>
    </row>
    <row r="4547" spans="1:11" x14ac:dyDescent="0.25">
      <c r="A4547" s="1" t="s">
        <v>14251</v>
      </c>
      <c r="B4547" s="1" t="s">
        <v>14252</v>
      </c>
      <c r="D4547" s="1" t="s">
        <v>14253</v>
      </c>
      <c r="E4547" s="1" t="s">
        <v>209</v>
      </c>
      <c r="F4547" s="1" t="s">
        <v>5017</v>
      </c>
      <c r="G4547" s="1" t="s">
        <v>5018</v>
      </c>
      <c r="H4547" s="1">
        <v>0.1</v>
      </c>
      <c r="I4547" s="1">
        <v>0.1</v>
      </c>
      <c r="J4547" s="1">
        <v>0.48898083392251468</v>
      </c>
      <c r="K4547" s="1" t="s">
        <v>181</v>
      </c>
    </row>
    <row r="4548" spans="1:11" x14ac:dyDescent="0.25">
      <c r="A4548" s="1" t="s">
        <v>14254</v>
      </c>
      <c r="B4548" s="1" t="s">
        <v>14255</v>
      </c>
      <c r="D4548" s="1" t="s">
        <v>14256</v>
      </c>
      <c r="E4548" s="1" t="s">
        <v>209</v>
      </c>
      <c r="F4548" s="1" t="s">
        <v>5017</v>
      </c>
      <c r="G4548" s="1" t="s">
        <v>5018</v>
      </c>
      <c r="H4548" s="1">
        <v>0.1</v>
      </c>
      <c r="I4548" s="1">
        <v>0.1</v>
      </c>
      <c r="J4548" s="1">
        <v>0.49059346873163329</v>
      </c>
      <c r="K4548" s="1" t="s">
        <v>181</v>
      </c>
    </row>
    <row r="4549" spans="1:11" x14ac:dyDescent="0.25">
      <c r="A4549" s="1" t="s">
        <v>14257</v>
      </c>
      <c r="B4549" s="1" t="s">
        <v>14258</v>
      </c>
      <c r="D4549" s="1" t="s">
        <v>14259</v>
      </c>
      <c r="E4549" s="1" t="s">
        <v>209</v>
      </c>
      <c r="F4549" s="1" t="s">
        <v>5017</v>
      </c>
      <c r="G4549" s="1" t="s">
        <v>5018</v>
      </c>
      <c r="H4549" s="1">
        <v>0.1</v>
      </c>
      <c r="I4549" s="1">
        <v>0.1</v>
      </c>
      <c r="J4549" s="1">
        <v>0.69949517544233841</v>
      </c>
      <c r="K4549" s="1" t="s">
        <v>181</v>
      </c>
    </row>
    <row r="4550" spans="1:11" x14ac:dyDescent="0.25">
      <c r="A4550" s="1" t="s">
        <v>14260</v>
      </c>
      <c r="B4550" s="1" t="s">
        <v>14261</v>
      </c>
      <c r="D4550" s="1" t="s">
        <v>14262</v>
      </c>
      <c r="E4550" s="1" t="s">
        <v>209</v>
      </c>
      <c r="F4550" s="1" t="s">
        <v>5017</v>
      </c>
      <c r="G4550" s="1" t="s">
        <v>5018</v>
      </c>
      <c r="H4550" s="1">
        <v>0.1</v>
      </c>
      <c r="I4550" s="1">
        <v>0.1</v>
      </c>
      <c r="J4550" s="1">
        <v>0.59501995735557989</v>
      </c>
      <c r="K4550" s="1" t="s">
        <v>181</v>
      </c>
    </row>
    <row r="4551" spans="1:11" x14ac:dyDescent="0.25">
      <c r="A4551" s="1" t="s">
        <v>14263</v>
      </c>
      <c r="B4551" s="1" t="s">
        <v>14264</v>
      </c>
      <c r="D4551" s="1" t="s">
        <v>14265</v>
      </c>
      <c r="E4551" s="1" t="s">
        <v>209</v>
      </c>
      <c r="F4551" s="1" t="s">
        <v>5017</v>
      </c>
      <c r="G4551" s="1" t="s">
        <v>5018</v>
      </c>
      <c r="H4551" s="1">
        <v>0.1</v>
      </c>
      <c r="I4551" s="1">
        <v>0.1</v>
      </c>
      <c r="J4551" s="1">
        <v>0.47086025040341972</v>
      </c>
      <c r="K4551" s="1" t="s">
        <v>181</v>
      </c>
    </row>
    <row r="4552" spans="1:11" x14ac:dyDescent="0.25">
      <c r="A4552" s="1" t="s">
        <v>14266</v>
      </c>
      <c r="B4552" s="1" t="s">
        <v>14267</v>
      </c>
      <c r="D4552" s="1" t="s">
        <v>14268</v>
      </c>
      <c r="E4552" s="1" t="s">
        <v>209</v>
      </c>
      <c r="F4552" s="1" t="s">
        <v>5017</v>
      </c>
      <c r="G4552" s="1" t="s">
        <v>5018</v>
      </c>
      <c r="H4552" s="1">
        <v>0.1</v>
      </c>
      <c r="I4552" s="1">
        <v>0.1</v>
      </c>
      <c r="J4552" s="1">
        <v>0.47524990412310297</v>
      </c>
      <c r="K4552" s="1" t="s">
        <v>181</v>
      </c>
    </row>
    <row r="4553" spans="1:11" x14ac:dyDescent="0.25">
      <c r="A4553" s="1" t="s">
        <v>14269</v>
      </c>
      <c r="B4553" s="1" t="s">
        <v>14270</v>
      </c>
      <c r="D4553" s="1" t="s">
        <v>14271</v>
      </c>
      <c r="E4553" s="1" t="s">
        <v>209</v>
      </c>
      <c r="F4553" s="1" t="s">
        <v>5017</v>
      </c>
      <c r="G4553" s="1" t="s">
        <v>5018</v>
      </c>
      <c r="H4553" s="1">
        <v>0.1</v>
      </c>
      <c r="I4553" s="1">
        <v>0.1</v>
      </c>
      <c r="J4553" s="1">
        <v>0.37296460717790814</v>
      </c>
      <c r="K4553" s="1" t="s">
        <v>181</v>
      </c>
    </row>
    <row r="4554" spans="1:11" x14ac:dyDescent="0.25">
      <c r="A4554" s="1" t="s">
        <v>14272</v>
      </c>
      <c r="B4554" s="1" t="s">
        <v>14273</v>
      </c>
      <c r="D4554" s="1" t="s">
        <v>14274</v>
      </c>
      <c r="E4554" s="1" t="s">
        <v>209</v>
      </c>
      <c r="F4554" s="1" t="s">
        <v>5017</v>
      </c>
      <c r="G4554" s="1" t="s">
        <v>5018</v>
      </c>
      <c r="H4554" s="1">
        <v>0.1</v>
      </c>
      <c r="I4554" s="1">
        <v>0.1</v>
      </c>
      <c r="J4554" s="1">
        <v>0.60409963718868842</v>
      </c>
      <c r="K4554" s="1" t="s">
        <v>181</v>
      </c>
    </row>
    <row r="4555" spans="1:11" x14ac:dyDescent="0.25">
      <c r="A4555" s="1" t="s">
        <v>14275</v>
      </c>
      <c r="B4555" s="1" t="s">
        <v>14276</v>
      </c>
      <c r="D4555" s="1" t="s">
        <v>14277</v>
      </c>
      <c r="E4555" s="1" t="s">
        <v>209</v>
      </c>
      <c r="F4555" s="1" t="s">
        <v>5017</v>
      </c>
      <c r="G4555" s="1" t="s">
        <v>5018</v>
      </c>
      <c r="H4555" s="1">
        <v>0.1</v>
      </c>
      <c r="I4555" s="1">
        <v>0.1</v>
      </c>
      <c r="J4555" s="1">
        <v>0.63223361751831142</v>
      </c>
      <c r="K4555" s="1" t="s">
        <v>181</v>
      </c>
    </row>
    <row r="4556" spans="1:11" x14ac:dyDescent="0.25">
      <c r="A4556" s="1" t="s">
        <v>14278</v>
      </c>
      <c r="B4556" s="1" t="s">
        <v>14279</v>
      </c>
      <c r="D4556" s="1" t="s">
        <v>14280</v>
      </c>
      <c r="E4556" s="1" t="s">
        <v>209</v>
      </c>
      <c r="F4556" s="1" t="s">
        <v>5017</v>
      </c>
      <c r="G4556" s="1" t="s">
        <v>5018</v>
      </c>
      <c r="H4556" s="1">
        <v>0.1</v>
      </c>
      <c r="I4556" s="1">
        <v>0.1</v>
      </c>
      <c r="J4556" s="1">
        <v>0.78650285403177367</v>
      </c>
      <c r="K4556" s="1" t="s">
        <v>181</v>
      </c>
    </row>
    <row r="4557" spans="1:11" x14ac:dyDescent="0.25">
      <c r="A4557" s="1" t="s">
        <v>14281</v>
      </c>
      <c r="B4557" s="1" t="s">
        <v>14282</v>
      </c>
      <c r="D4557" s="1" t="s">
        <v>14283</v>
      </c>
      <c r="E4557" s="1" t="s">
        <v>209</v>
      </c>
      <c r="F4557" s="1" t="s">
        <v>5017</v>
      </c>
      <c r="G4557" s="1" t="s">
        <v>5018</v>
      </c>
      <c r="H4557" s="1">
        <v>0.1</v>
      </c>
      <c r="I4557" s="1">
        <v>0.1</v>
      </c>
      <c r="J4557" s="1">
        <v>0.8049080285279917</v>
      </c>
      <c r="K4557" s="1" t="s">
        <v>181</v>
      </c>
    </row>
    <row r="4558" spans="1:11" x14ac:dyDescent="0.25">
      <c r="A4558" s="1" t="s">
        <v>14284</v>
      </c>
      <c r="B4558" s="1" t="s">
        <v>14285</v>
      </c>
      <c r="D4558" s="1" t="s">
        <v>14286</v>
      </c>
      <c r="E4558" s="1" t="s">
        <v>209</v>
      </c>
      <c r="F4558" s="1" t="s">
        <v>5017</v>
      </c>
      <c r="G4558" s="1" t="s">
        <v>5018</v>
      </c>
      <c r="H4558" s="1">
        <v>0.1</v>
      </c>
      <c r="I4558" s="1">
        <v>0.1</v>
      </c>
      <c r="J4558" s="1">
        <v>0.78861149006541009</v>
      </c>
      <c r="K4558" s="1" t="s">
        <v>181</v>
      </c>
    </row>
    <row r="4559" spans="1:11" x14ac:dyDescent="0.25">
      <c r="A4559" s="1" t="s">
        <v>14287</v>
      </c>
      <c r="B4559" s="1" t="s">
        <v>14288</v>
      </c>
      <c r="D4559" s="1" t="s">
        <v>14289</v>
      </c>
      <c r="E4559" s="1" t="s">
        <v>209</v>
      </c>
      <c r="F4559" s="1" t="s">
        <v>5017</v>
      </c>
      <c r="G4559" s="1" t="s">
        <v>5018</v>
      </c>
      <c r="H4559" s="1">
        <v>0.1</v>
      </c>
      <c r="I4559" s="1">
        <v>0.1</v>
      </c>
      <c r="J4559" s="1">
        <v>0.81802702352781032</v>
      </c>
      <c r="K4559" s="1" t="s">
        <v>181</v>
      </c>
    </row>
    <row r="4560" spans="1:11" x14ac:dyDescent="0.25">
      <c r="A4560" s="1" t="s">
        <v>14290</v>
      </c>
      <c r="B4560" s="1" t="s">
        <v>14291</v>
      </c>
      <c r="D4560" s="1" t="s">
        <v>14292</v>
      </c>
      <c r="E4560" s="1" t="s">
        <v>209</v>
      </c>
      <c r="F4560" s="1" t="s">
        <v>5017</v>
      </c>
      <c r="G4560" s="1" t="s">
        <v>5018</v>
      </c>
      <c r="H4560" s="1">
        <v>0.1</v>
      </c>
      <c r="I4560" s="1">
        <v>0.1</v>
      </c>
      <c r="J4560" s="1">
        <v>0.66964577607829279</v>
      </c>
      <c r="K4560" s="1" t="s">
        <v>181</v>
      </c>
    </row>
    <row r="4561" spans="1:11" x14ac:dyDescent="0.25">
      <c r="A4561" s="1" t="s">
        <v>14293</v>
      </c>
      <c r="B4561" s="1" t="s">
        <v>14294</v>
      </c>
      <c r="D4561" s="1" t="s">
        <v>14295</v>
      </c>
      <c r="E4561" s="1" t="s">
        <v>209</v>
      </c>
      <c r="F4561" s="1" t="s">
        <v>5017</v>
      </c>
      <c r="G4561" s="1" t="s">
        <v>5018</v>
      </c>
      <c r="H4561" s="1">
        <v>0.1</v>
      </c>
      <c r="I4561" s="1">
        <v>0.1</v>
      </c>
      <c r="J4561" s="1">
        <v>0.47289322336592621</v>
      </c>
      <c r="K4561" s="1" t="s">
        <v>181</v>
      </c>
    </row>
    <row r="4562" spans="1:11" x14ac:dyDescent="0.25">
      <c r="A4562" s="1" t="s">
        <v>14296</v>
      </c>
      <c r="B4562" s="1" t="s">
        <v>14297</v>
      </c>
      <c r="D4562" s="1" t="s">
        <v>14298</v>
      </c>
      <c r="E4562" s="1" t="s">
        <v>209</v>
      </c>
      <c r="F4562" s="1" t="s">
        <v>5017</v>
      </c>
      <c r="G4562" s="1" t="s">
        <v>5018</v>
      </c>
      <c r="H4562" s="1">
        <v>0.1</v>
      </c>
      <c r="I4562" s="1">
        <v>0.1</v>
      </c>
      <c r="J4562" s="1">
        <v>0.58530174023810855</v>
      </c>
      <c r="K4562" s="1" t="s">
        <v>181</v>
      </c>
    </row>
    <row r="4563" spans="1:11" x14ac:dyDescent="0.25">
      <c r="A4563" s="1" t="s">
        <v>14299</v>
      </c>
      <c r="B4563" s="1" t="s">
        <v>14300</v>
      </c>
      <c r="D4563" s="1" t="s">
        <v>14301</v>
      </c>
      <c r="E4563" s="1" t="s">
        <v>209</v>
      </c>
      <c r="F4563" s="1" t="s">
        <v>5017</v>
      </c>
      <c r="G4563" s="1" t="s">
        <v>5018</v>
      </c>
      <c r="H4563" s="1">
        <v>0.1</v>
      </c>
      <c r="I4563" s="1">
        <v>0.1</v>
      </c>
      <c r="J4563" s="1">
        <v>0.56237973960226662</v>
      </c>
      <c r="K4563" s="1" t="s">
        <v>181</v>
      </c>
    </row>
    <row r="4564" spans="1:11" x14ac:dyDescent="0.25">
      <c r="A4564" s="1" t="s">
        <v>14302</v>
      </c>
      <c r="B4564" s="1" t="s">
        <v>14303</v>
      </c>
      <c r="D4564" s="1" t="s">
        <v>14304</v>
      </c>
      <c r="E4564" s="1" t="s">
        <v>209</v>
      </c>
      <c r="F4564" s="1" t="s">
        <v>5017</v>
      </c>
      <c r="G4564" s="1" t="s">
        <v>5018</v>
      </c>
      <c r="H4564" s="1">
        <v>0.1</v>
      </c>
      <c r="I4564" s="1">
        <v>0.1</v>
      </c>
      <c r="J4564" s="1">
        <v>0.75995007901553635</v>
      </c>
      <c r="K4564" s="1" t="s">
        <v>181</v>
      </c>
    </row>
    <row r="4565" spans="1:11" x14ac:dyDescent="0.25">
      <c r="A4565" s="1" t="s">
        <v>153</v>
      </c>
      <c r="B4565" s="1" t="s">
        <v>14305</v>
      </c>
      <c r="D4565" s="1" t="s">
        <v>14306</v>
      </c>
      <c r="E4565" s="1" t="s">
        <v>209</v>
      </c>
      <c r="F4565" s="1" t="s">
        <v>5017</v>
      </c>
      <c r="G4565" s="1" t="s">
        <v>5018</v>
      </c>
      <c r="H4565" s="1">
        <v>0.1</v>
      </c>
      <c r="I4565" s="1">
        <v>0.1</v>
      </c>
      <c r="J4565" s="1">
        <v>0.63389458200794491</v>
      </c>
      <c r="K4565" s="1" t="s">
        <v>181</v>
      </c>
    </row>
    <row r="4566" spans="1:11" x14ac:dyDescent="0.25">
      <c r="A4566" s="1" t="s">
        <v>14307</v>
      </c>
      <c r="B4566" s="1" t="s">
        <v>14308</v>
      </c>
      <c r="D4566" s="1" t="s">
        <v>14309</v>
      </c>
      <c r="E4566" s="1" t="s">
        <v>209</v>
      </c>
      <c r="F4566" s="1" t="s">
        <v>5017</v>
      </c>
      <c r="G4566" s="1" t="s">
        <v>5018</v>
      </c>
      <c r="H4566" s="1">
        <v>0.1</v>
      </c>
      <c r="I4566" s="1">
        <v>0.1</v>
      </c>
      <c r="J4566" s="1">
        <v>0.84741968502233722</v>
      </c>
      <c r="K4566" s="1" t="s">
        <v>181</v>
      </c>
    </row>
    <row r="4567" spans="1:11" x14ac:dyDescent="0.25">
      <c r="A4567" s="1" t="s">
        <v>14310</v>
      </c>
      <c r="B4567" s="1" t="s">
        <v>14311</v>
      </c>
      <c r="D4567" s="1" t="s">
        <v>14312</v>
      </c>
      <c r="E4567" s="1" t="s">
        <v>209</v>
      </c>
      <c r="F4567" s="1" t="s">
        <v>5017</v>
      </c>
      <c r="G4567" s="1" t="s">
        <v>5018</v>
      </c>
      <c r="H4567" s="1">
        <v>0.1</v>
      </c>
      <c r="I4567" s="1">
        <v>0.1</v>
      </c>
      <c r="J4567" s="1">
        <v>0.71704414137793548</v>
      </c>
      <c r="K4567" s="1" t="s">
        <v>181</v>
      </c>
    </row>
    <row r="4568" spans="1:11" x14ac:dyDescent="0.25">
      <c r="A4568" s="1" t="s">
        <v>14313</v>
      </c>
      <c r="B4568" s="1" t="s">
        <v>14314</v>
      </c>
      <c r="D4568" s="1" t="s">
        <v>14315</v>
      </c>
      <c r="E4568" s="1" t="s">
        <v>209</v>
      </c>
      <c r="F4568" s="1" t="s">
        <v>5017</v>
      </c>
      <c r="G4568" s="1" t="s">
        <v>5018</v>
      </c>
      <c r="H4568" s="1">
        <v>0.1</v>
      </c>
      <c r="I4568" s="1">
        <v>0.1</v>
      </c>
      <c r="J4568" s="1">
        <v>0.60587354363683554</v>
      </c>
      <c r="K4568" s="1" t="s">
        <v>181</v>
      </c>
    </row>
    <row r="4569" spans="1:11" x14ac:dyDescent="0.25">
      <c r="A4569" s="1" t="s">
        <v>14316</v>
      </c>
      <c r="B4569" s="1" t="s">
        <v>14317</v>
      </c>
      <c r="D4569" s="1" t="s">
        <v>14318</v>
      </c>
      <c r="E4569" s="1" t="s">
        <v>209</v>
      </c>
      <c r="F4569" s="1" t="s">
        <v>5017</v>
      </c>
      <c r="G4569" s="1" t="s">
        <v>5018</v>
      </c>
      <c r="H4569" s="1">
        <v>0.1</v>
      </c>
      <c r="I4569" s="1">
        <v>0.1</v>
      </c>
      <c r="J4569" s="1">
        <v>0.46573010817034133</v>
      </c>
      <c r="K4569" s="1" t="s">
        <v>181</v>
      </c>
    </row>
    <row r="4570" spans="1:11" x14ac:dyDescent="0.25">
      <c r="A4570" s="1" t="s">
        <v>14319</v>
      </c>
      <c r="B4570" s="1" t="s">
        <v>14320</v>
      </c>
      <c r="D4570" s="1" t="s">
        <v>14321</v>
      </c>
      <c r="E4570" s="1" t="s">
        <v>209</v>
      </c>
      <c r="F4570" s="1" t="s">
        <v>5017</v>
      </c>
      <c r="G4570" s="1" t="s">
        <v>5018</v>
      </c>
      <c r="H4570" s="1">
        <v>0.1</v>
      </c>
      <c r="I4570" s="1">
        <v>0.1</v>
      </c>
      <c r="J4570" s="1">
        <v>0.50180205444154602</v>
      </c>
      <c r="K4570" s="1" t="s">
        <v>181</v>
      </c>
    </row>
    <row r="4571" spans="1:11" x14ac:dyDescent="0.25">
      <c r="A4571" s="1" t="s">
        <v>14322</v>
      </c>
      <c r="B4571" s="1" t="s">
        <v>14323</v>
      </c>
      <c r="D4571" s="1" t="s">
        <v>14324</v>
      </c>
      <c r="E4571" s="1" t="s">
        <v>209</v>
      </c>
      <c r="F4571" s="1" t="s">
        <v>5017</v>
      </c>
      <c r="G4571" s="1" t="s">
        <v>5018</v>
      </c>
      <c r="H4571" s="1">
        <v>0.1</v>
      </c>
      <c r="I4571" s="1">
        <v>0.1</v>
      </c>
      <c r="J4571" s="1">
        <v>0.58808447548020615</v>
      </c>
      <c r="K4571" s="1" t="s">
        <v>181</v>
      </c>
    </row>
    <row r="4572" spans="1:11" x14ac:dyDescent="0.25">
      <c r="A4572" s="1" t="s">
        <v>14325</v>
      </c>
      <c r="B4572" s="1" t="s">
        <v>14326</v>
      </c>
      <c r="D4572" s="1" t="s">
        <v>14327</v>
      </c>
      <c r="E4572" s="1" t="s">
        <v>209</v>
      </c>
      <c r="F4572" s="1" t="s">
        <v>5017</v>
      </c>
      <c r="G4572" s="1" t="s">
        <v>5018</v>
      </c>
      <c r="H4572" s="1">
        <v>0.1</v>
      </c>
      <c r="I4572" s="1">
        <v>0.1</v>
      </c>
      <c r="J4572" s="1">
        <v>0.52725606548244042</v>
      </c>
      <c r="K4572" s="1" t="s">
        <v>181</v>
      </c>
    </row>
    <row r="4573" spans="1:11" x14ac:dyDescent="0.25">
      <c r="A4573" s="1" t="s">
        <v>14328</v>
      </c>
      <c r="B4573" s="1" t="s">
        <v>14329</v>
      </c>
      <c r="D4573" s="1" t="s">
        <v>14330</v>
      </c>
      <c r="E4573" s="1" t="s">
        <v>209</v>
      </c>
      <c r="F4573" s="1" t="s">
        <v>5017</v>
      </c>
      <c r="G4573" s="1" t="s">
        <v>5018</v>
      </c>
      <c r="H4573" s="1">
        <v>0.1</v>
      </c>
      <c r="I4573" s="1">
        <v>0.1</v>
      </c>
      <c r="J4573" s="1">
        <v>0.79395830081978536</v>
      </c>
      <c r="K4573" s="1" t="s">
        <v>181</v>
      </c>
    </row>
    <row r="4574" spans="1:11" x14ac:dyDescent="0.25">
      <c r="A4574" s="1" t="s">
        <v>14331</v>
      </c>
      <c r="B4574" s="1" t="s">
        <v>14332</v>
      </c>
      <c r="D4574" s="1" t="s">
        <v>14333</v>
      </c>
      <c r="E4574" s="1" t="s">
        <v>209</v>
      </c>
      <c r="F4574" s="1" t="s">
        <v>5017</v>
      </c>
      <c r="G4574" s="1" t="s">
        <v>5018</v>
      </c>
      <c r="H4574" s="1">
        <v>0.1</v>
      </c>
      <c r="I4574" s="1">
        <v>0.1</v>
      </c>
      <c r="J4574" s="1">
        <v>0.74773829099184319</v>
      </c>
      <c r="K4574" s="1" t="s">
        <v>181</v>
      </c>
    </row>
    <row r="4575" spans="1:11" x14ac:dyDescent="0.25">
      <c r="A4575" s="1" t="s">
        <v>14334</v>
      </c>
      <c r="B4575" s="1" t="s">
        <v>14335</v>
      </c>
      <c r="D4575" s="1" t="s">
        <v>14336</v>
      </c>
      <c r="E4575" s="1" t="s">
        <v>209</v>
      </c>
      <c r="F4575" s="1" t="s">
        <v>5017</v>
      </c>
      <c r="G4575" s="1" t="s">
        <v>5018</v>
      </c>
      <c r="H4575" s="1">
        <v>0.1</v>
      </c>
      <c r="I4575" s="1">
        <v>0.1</v>
      </c>
      <c r="J4575" s="1">
        <v>0.61386042510207328</v>
      </c>
      <c r="K4575" s="1" t="s">
        <v>181</v>
      </c>
    </row>
    <row r="4576" spans="1:11" x14ac:dyDescent="0.25">
      <c r="A4576" s="1" t="s">
        <v>14337</v>
      </c>
      <c r="B4576" s="1" t="s">
        <v>14338</v>
      </c>
      <c r="D4576" s="1" t="s">
        <v>14339</v>
      </c>
      <c r="E4576" s="1" t="s">
        <v>209</v>
      </c>
      <c r="F4576" s="1" t="s">
        <v>5017</v>
      </c>
      <c r="G4576" s="1" t="s">
        <v>5018</v>
      </c>
      <c r="H4576" s="1">
        <v>0.1</v>
      </c>
      <c r="I4576" s="1">
        <v>0.1</v>
      </c>
      <c r="J4576" s="1">
        <v>0.60656267486002313</v>
      </c>
      <c r="K4576" s="1" t="s">
        <v>181</v>
      </c>
    </row>
    <row r="4577" spans="1:11" x14ac:dyDescent="0.25">
      <c r="A4577" s="1" t="s">
        <v>14340</v>
      </c>
      <c r="B4577" s="1" t="s">
        <v>14341</v>
      </c>
      <c r="D4577" s="1" t="s">
        <v>14342</v>
      </c>
      <c r="E4577" s="1" t="s">
        <v>209</v>
      </c>
      <c r="F4577" s="1" t="s">
        <v>5017</v>
      </c>
      <c r="G4577" s="1" t="s">
        <v>5018</v>
      </c>
      <c r="H4577" s="1">
        <v>0.1</v>
      </c>
      <c r="I4577" s="1">
        <v>0.1</v>
      </c>
      <c r="J4577" s="1">
        <v>0.5966840879664137</v>
      </c>
      <c r="K4577" s="1" t="s">
        <v>181</v>
      </c>
    </row>
    <row r="4578" spans="1:11" x14ac:dyDescent="0.25">
      <c r="A4578" s="1" t="s">
        <v>14343</v>
      </c>
      <c r="B4578" s="1" t="s">
        <v>14344</v>
      </c>
      <c r="D4578" s="1" t="s">
        <v>14345</v>
      </c>
      <c r="E4578" s="1" t="s">
        <v>209</v>
      </c>
      <c r="F4578" s="1" t="s">
        <v>5017</v>
      </c>
      <c r="G4578" s="1" t="s">
        <v>5018</v>
      </c>
      <c r="H4578" s="1">
        <v>0.1</v>
      </c>
      <c r="I4578" s="1">
        <v>0.1</v>
      </c>
      <c r="J4578" s="1">
        <v>0.658467910847092</v>
      </c>
      <c r="K4578" s="1" t="s">
        <v>181</v>
      </c>
    </row>
    <row r="4579" spans="1:11" x14ac:dyDescent="0.25">
      <c r="A4579" s="1" t="s">
        <v>14346</v>
      </c>
      <c r="B4579" s="1" t="s">
        <v>14347</v>
      </c>
      <c r="D4579" s="1" t="s">
        <v>14348</v>
      </c>
      <c r="E4579" s="1" t="s">
        <v>209</v>
      </c>
      <c r="F4579" s="1" t="s">
        <v>5017</v>
      </c>
      <c r="G4579" s="1" t="s">
        <v>5018</v>
      </c>
      <c r="H4579" s="1">
        <v>0.1</v>
      </c>
      <c r="I4579" s="1">
        <v>0.1</v>
      </c>
      <c r="J4579" s="1">
        <v>0.46349187907490869</v>
      </c>
      <c r="K4579" s="1" t="s">
        <v>181</v>
      </c>
    </row>
    <row r="4580" spans="1:11" x14ac:dyDescent="0.25">
      <c r="A4580" s="1" t="s">
        <v>14349</v>
      </c>
      <c r="B4580" s="1" t="s">
        <v>14350</v>
      </c>
      <c r="D4580" s="1" t="s">
        <v>14351</v>
      </c>
      <c r="E4580" s="1" t="s">
        <v>209</v>
      </c>
      <c r="F4580" s="1" t="s">
        <v>5017</v>
      </c>
      <c r="G4580" s="1" t="s">
        <v>5018</v>
      </c>
      <c r="H4580" s="1">
        <v>0.1</v>
      </c>
      <c r="I4580" s="1">
        <v>0.1</v>
      </c>
      <c r="J4580" s="1">
        <v>0.69093908234098744</v>
      </c>
      <c r="K4580" s="1" t="s">
        <v>181</v>
      </c>
    </row>
    <row r="4581" spans="1:11" x14ac:dyDescent="0.25">
      <c r="A4581" s="1" t="s">
        <v>38</v>
      </c>
      <c r="B4581" s="1" t="s">
        <v>14352</v>
      </c>
      <c r="D4581" s="1" t="s">
        <v>14353</v>
      </c>
      <c r="E4581" s="1" t="s">
        <v>209</v>
      </c>
      <c r="F4581" s="1" t="s">
        <v>5017</v>
      </c>
      <c r="G4581" s="1" t="s">
        <v>5018</v>
      </c>
      <c r="H4581" s="1">
        <v>0.1</v>
      </c>
      <c r="I4581" s="1">
        <v>0.1</v>
      </c>
      <c r="J4581" s="1">
        <v>0.70814587418032182</v>
      </c>
      <c r="K4581" s="1" t="s">
        <v>181</v>
      </c>
    </row>
    <row r="4582" spans="1:11" x14ac:dyDescent="0.25">
      <c r="A4582" s="1" t="s">
        <v>39</v>
      </c>
      <c r="B4582" s="1" t="s">
        <v>14354</v>
      </c>
      <c r="D4582" s="1" t="s">
        <v>14355</v>
      </c>
      <c r="E4582" s="1" t="s">
        <v>209</v>
      </c>
      <c r="F4582" s="1" t="s">
        <v>5017</v>
      </c>
      <c r="G4582" s="1" t="s">
        <v>5018</v>
      </c>
      <c r="H4582" s="1">
        <v>0.1</v>
      </c>
      <c r="I4582" s="1">
        <v>0.1</v>
      </c>
      <c r="J4582" s="1">
        <v>0.70477392063035937</v>
      </c>
      <c r="K4582" s="1" t="s">
        <v>181</v>
      </c>
    </row>
    <row r="4583" spans="1:11" x14ac:dyDescent="0.25">
      <c r="A4583" s="1" t="s">
        <v>14356</v>
      </c>
      <c r="B4583" s="1" t="s">
        <v>14357</v>
      </c>
      <c r="D4583" s="1" t="s">
        <v>14358</v>
      </c>
      <c r="E4583" s="1" t="s">
        <v>209</v>
      </c>
      <c r="F4583" s="1" t="s">
        <v>5017</v>
      </c>
      <c r="G4583" s="1" t="s">
        <v>5018</v>
      </c>
      <c r="H4583" s="1">
        <v>0.1</v>
      </c>
      <c r="I4583" s="1">
        <v>0.1</v>
      </c>
      <c r="J4583" s="1">
        <v>0.72318693395261802</v>
      </c>
      <c r="K4583" s="1" t="s">
        <v>181</v>
      </c>
    </row>
    <row r="4584" spans="1:11" x14ac:dyDescent="0.25">
      <c r="A4584" s="1" t="s">
        <v>14359</v>
      </c>
      <c r="B4584" s="1" t="s">
        <v>14360</v>
      </c>
      <c r="D4584" s="1" t="s">
        <v>14361</v>
      </c>
      <c r="E4584" s="1" t="s">
        <v>209</v>
      </c>
      <c r="F4584" s="1" t="s">
        <v>5017</v>
      </c>
      <c r="G4584" s="1" t="s">
        <v>5018</v>
      </c>
      <c r="H4584" s="1">
        <v>0.1</v>
      </c>
      <c r="I4584" s="1">
        <v>0.1</v>
      </c>
      <c r="J4584" s="1">
        <v>0.66449711494507768</v>
      </c>
      <c r="K4584" s="1" t="s">
        <v>181</v>
      </c>
    </row>
    <row r="4585" spans="1:11" x14ac:dyDescent="0.25">
      <c r="A4585" s="1" t="s">
        <v>14362</v>
      </c>
      <c r="B4585" s="1" t="s">
        <v>14363</v>
      </c>
      <c r="D4585" s="1" t="s">
        <v>14364</v>
      </c>
      <c r="E4585" s="1" t="s">
        <v>209</v>
      </c>
      <c r="F4585" s="1" t="s">
        <v>5017</v>
      </c>
      <c r="G4585" s="1" t="s">
        <v>5018</v>
      </c>
      <c r="H4585" s="1">
        <v>0.1</v>
      </c>
      <c r="I4585" s="1">
        <v>0.1</v>
      </c>
      <c r="J4585" s="1">
        <v>0.7999763927545458</v>
      </c>
      <c r="K4585" s="1" t="s">
        <v>181</v>
      </c>
    </row>
    <row r="4586" spans="1:11" x14ac:dyDescent="0.25">
      <c r="A4586" s="1" t="s">
        <v>14365</v>
      </c>
      <c r="B4586" s="1" t="s">
        <v>14366</v>
      </c>
      <c r="D4586" s="1" t="s">
        <v>14367</v>
      </c>
      <c r="E4586" s="1" t="s">
        <v>209</v>
      </c>
      <c r="F4586" s="1" t="s">
        <v>5017</v>
      </c>
      <c r="G4586" s="1" t="s">
        <v>5018</v>
      </c>
      <c r="H4586" s="1">
        <v>0.1</v>
      </c>
      <c r="I4586" s="1">
        <v>0.1</v>
      </c>
      <c r="J4586" s="1">
        <v>0.85329904081029861</v>
      </c>
      <c r="K4586" s="1" t="s">
        <v>181</v>
      </c>
    </row>
    <row r="4587" spans="1:11" x14ac:dyDescent="0.25">
      <c r="A4587" s="1" t="s">
        <v>14368</v>
      </c>
      <c r="B4587" s="1" t="s">
        <v>14369</v>
      </c>
      <c r="D4587" s="1" t="s">
        <v>14370</v>
      </c>
      <c r="E4587" s="1" t="s">
        <v>209</v>
      </c>
      <c r="F4587" s="1" t="s">
        <v>5017</v>
      </c>
      <c r="G4587" s="1" t="s">
        <v>5018</v>
      </c>
      <c r="H4587" s="1">
        <v>0.1</v>
      </c>
      <c r="I4587" s="1">
        <v>0.1</v>
      </c>
      <c r="J4587" s="1">
        <v>0.42465939886533033</v>
      </c>
      <c r="K4587" s="1" t="s">
        <v>181</v>
      </c>
    </row>
    <row r="4588" spans="1:11" x14ac:dyDescent="0.25">
      <c r="A4588" s="1" t="s">
        <v>14371</v>
      </c>
      <c r="B4588" s="1" t="s">
        <v>14372</v>
      </c>
      <c r="D4588" s="1" t="s">
        <v>14373</v>
      </c>
      <c r="E4588" s="1" t="s">
        <v>209</v>
      </c>
      <c r="F4588" s="1" t="s">
        <v>5017</v>
      </c>
      <c r="G4588" s="1" t="s">
        <v>5018</v>
      </c>
      <c r="H4588" s="1">
        <v>0.1</v>
      </c>
      <c r="I4588" s="1">
        <v>0.1</v>
      </c>
      <c r="J4588" s="1">
        <v>0.49558319255221928</v>
      </c>
      <c r="K4588" s="1" t="s">
        <v>181</v>
      </c>
    </row>
    <row r="4589" spans="1:11" x14ac:dyDescent="0.25">
      <c r="A4589" s="1" t="s">
        <v>14374</v>
      </c>
      <c r="B4589" s="1" t="s">
        <v>14375</v>
      </c>
      <c r="D4589" s="1" t="s">
        <v>14376</v>
      </c>
      <c r="E4589" s="1" t="s">
        <v>209</v>
      </c>
      <c r="F4589" s="1" t="s">
        <v>5017</v>
      </c>
      <c r="G4589" s="1" t="s">
        <v>5018</v>
      </c>
      <c r="H4589" s="1">
        <v>0.1</v>
      </c>
      <c r="I4589" s="1">
        <v>0.1</v>
      </c>
      <c r="J4589" s="1">
        <v>0.65524858792174545</v>
      </c>
      <c r="K4589" s="1" t="s">
        <v>181</v>
      </c>
    </row>
    <row r="4590" spans="1:11" x14ac:dyDescent="0.25">
      <c r="A4590" s="1" t="s">
        <v>14377</v>
      </c>
      <c r="B4590" s="1" t="s">
        <v>14378</v>
      </c>
      <c r="D4590" s="1" t="s">
        <v>14379</v>
      </c>
      <c r="E4590" s="1" t="s">
        <v>209</v>
      </c>
      <c r="F4590" s="1" t="s">
        <v>5017</v>
      </c>
      <c r="G4590" s="1" t="s">
        <v>5018</v>
      </c>
      <c r="H4590" s="1">
        <v>0.1</v>
      </c>
      <c r="I4590" s="1">
        <v>0.1</v>
      </c>
      <c r="J4590" s="1">
        <v>0.60334052631479607</v>
      </c>
      <c r="K4590" s="1" t="s">
        <v>181</v>
      </c>
    </row>
    <row r="4591" spans="1:11" x14ac:dyDescent="0.25">
      <c r="A4591" s="1" t="s">
        <v>14380</v>
      </c>
      <c r="B4591" s="1" t="s">
        <v>14381</v>
      </c>
      <c r="D4591" s="1" t="s">
        <v>14382</v>
      </c>
      <c r="E4591" s="1" t="s">
        <v>209</v>
      </c>
      <c r="F4591" s="1" t="s">
        <v>5017</v>
      </c>
      <c r="G4591" s="1" t="s">
        <v>5018</v>
      </c>
      <c r="H4591" s="1">
        <v>0.1</v>
      </c>
      <c r="I4591" s="1">
        <v>0.1</v>
      </c>
      <c r="J4591" s="1">
        <v>0.84455658256964417</v>
      </c>
      <c r="K4591" s="1" t="s">
        <v>181</v>
      </c>
    </row>
    <row r="4592" spans="1:11" x14ac:dyDescent="0.25">
      <c r="A4592" s="1" t="s">
        <v>14383</v>
      </c>
      <c r="B4592" s="1" t="s">
        <v>14384</v>
      </c>
      <c r="D4592" s="1" t="s">
        <v>14385</v>
      </c>
      <c r="E4592" s="1" t="s">
        <v>209</v>
      </c>
      <c r="F4592" s="1" t="s">
        <v>5017</v>
      </c>
      <c r="G4592" s="1" t="s">
        <v>5018</v>
      </c>
      <c r="H4592" s="1">
        <v>0.1</v>
      </c>
      <c r="I4592" s="1">
        <v>0.1</v>
      </c>
      <c r="J4592" s="1">
        <v>0.83322049386091546</v>
      </c>
      <c r="K4592" s="1" t="s">
        <v>181</v>
      </c>
    </row>
    <row r="4593" spans="1:11" x14ac:dyDescent="0.25">
      <c r="A4593" s="1" t="s">
        <v>14386</v>
      </c>
      <c r="B4593" s="1" t="s">
        <v>14387</v>
      </c>
      <c r="D4593" s="1" t="s">
        <v>14388</v>
      </c>
      <c r="E4593" s="1" t="s">
        <v>209</v>
      </c>
      <c r="F4593" s="1" t="s">
        <v>5017</v>
      </c>
      <c r="G4593" s="1" t="s">
        <v>5018</v>
      </c>
      <c r="H4593" s="1">
        <v>0.1</v>
      </c>
      <c r="I4593" s="1">
        <v>0.1</v>
      </c>
      <c r="J4593" s="1">
        <v>0.50871052085719504</v>
      </c>
      <c r="K4593" s="1" t="s">
        <v>181</v>
      </c>
    </row>
    <row r="4594" spans="1:11" x14ac:dyDescent="0.25">
      <c r="A4594" s="1" t="s">
        <v>14389</v>
      </c>
      <c r="B4594" s="1" t="s">
        <v>14390</v>
      </c>
      <c r="D4594" s="1" t="s">
        <v>14391</v>
      </c>
      <c r="E4594" s="1" t="s">
        <v>209</v>
      </c>
      <c r="F4594" s="1" t="s">
        <v>5017</v>
      </c>
      <c r="G4594" s="1" t="s">
        <v>5018</v>
      </c>
      <c r="H4594" s="1">
        <v>0.1</v>
      </c>
      <c r="I4594" s="1">
        <v>0.1</v>
      </c>
      <c r="J4594" s="1">
        <v>0.62929573068027489</v>
      </c>
      <c r="K4594" s="1" t="s">
        <v>181</v>
      </c>
    </row>
    <row r="4595" spans="1:11" x14ac:dyDescent="0.25">
      <c r="A4595" s="1" t="s">
        <v>14392</v>
      </c>
      <c r="B4595" s="1" t="s">
        <v>14393</v>
      </c>
      <c r="D4595" s="1" t="s">
        <v>14394</v>
      </c>
      <c r="E4595" s="1" t="s">
        <v>209</v>
      </c>
      <c r="F4595" s="1" t="s">
        <v>5017</v>
      </c>
      <c r="G4595" s="1" t="s">
        <v>5018</v>
      </c>
      <c r="H4595" s="1">
        <v>0.1</v>
      </c>
      <c r="I4595" s="1">
        <v>0.1</v>
      </c>
      <c r="J4595" s="1">
        <v>0.63671290788249635</v>
      </c>
      <c r="K4595" s="1" t="s">
        <v>181</v>
      </c>
    </row>
    <row r="4596" spans="1:11" x14ac:dyDescent="0.25">
      <c r="A4596" s="1" t="s">
        <v>14395</v>
      </c>
      <c r="B4596" s="1" t="s">
        <v>14396</v>
      </c>
      <c r="D4596" s="1" t="s">
        <v>14397</v>
      </c>
      <c r="E4596" s="1" t="s">
        <v>209</v>
      </c>
      <c r="F4596" s="1" t="s">
        <v>5017</v>
      </c>
      <c r="G4596" s="1" t="s">
        <v>5018</v>
      </c>
      <c r="H4596" s="1">
        <v>0.1</v>
      </c>
      <c r="I4596" s="1">
        <v>0.1</v>
      </c>
      <c r="J4596" s="1">
        <v>0.60596118676434441</v>
      </c>
      <c r="K4596" s="1" t="s">
        <v>181</v>
      </c>
    </row>
    <row r="4597" spans="1:11" x14ac:dyDescent="0.25">
      <c r="A4597" s="1" t="s">
        <v>14398</v>
      </c>
      <c r="B4597" s="1" t="s">
        <v>14399</v>
      </c>
      <c r="D4597" s="1" t="s">
        <v>14400</v>
      </c>
      <c r="E4597" s="1" t="s">
        <v>209</v>
      </c>
      <c r="F4597" s="1" t="s">
        <v>5017</v>
      </c>
      <c r="G4597" s="1" t="s">
        <v>5018</v>
      </c>
      <c r="H4597" s="1">
        <v>0.1</v>
      </c>
      <c r="I4597" s="1">
        <v>0.1</v>
      </c>
      <c r="J4597" s="1">
        <v>0.39856409254403308</v>
      </c>
      <c r="K4597" s="1" t="s">
        <v>181</v>
      </c>
    </row>
    <row r="4598" spans="1:11" x14ac:dyDescent="0.25">
      <c r="A4598" s="1" t="s">
        <v>14401</v>
      </c>
      <c r="B4598" s="1" t="s">
        <v>14402</v>
      </c>
      <c r="D4598" s="1" t="s">
        <v>14403</v>
      </c>
      <c r="E4598" s="1" t="s">
        <v>209</v>
      </c>
      <c r="F4598" s="1" t="s">
        <v>5017</v>
      </c>
      <c r="G4598" s="1" t="s">
        <v>5018</v>
      </c>
      <c r="H4598" s="1">
        <v>0.1</v>
      </c>
      <c r="I4598" s="1">
        <v>0.1</v>
      </c>
      <c r="J4598" s="1">
        <v>0.77492391534454919</v>
      </c>
      <c r="K4598" s="1" t="s">
        <v>181</v>
      </c>
    </row>
    <row r="4599" spans="1:11" x14ac:dyDescent="0.25">
      <c r="A4599" s="1" t="s">
        <v>14404</v>
      </c>
      <c r="B4599" s="1" t="s">
        <v>14405</v>
      </c>
      <c r="D4599" s="1" t="s">
        <v>14406</v>
      </c>
      <c r="E4599" s="1" t="s">
        <v>209</v>
      </c>
      <c r="F4599" s="1" t="s">
        <v>5017</v>
      </c>
      <c r="G4599" s="1" t="s">
        <v>5018</v>
      </c>
      <c r="H4599" s="1">
        <v>0.1</v>
      </c>
      <c r="I4599" s="1">
        <v>0.1</v>
      </c>
      <c r="J4599" s="1">
        <v>0.6544790254949101</v>
      </c>
      <c r="K4599" s="1" t="s">
        <v>181</v>
      </c>
    </row>
    <row r="4600" spans="1:11" x14ac:dyDescent="0.25">
      <c r="A4600" s="1" t="s">
        <v>14407</v>
      </c>
      <c r="B4600" s="1" t="s">
        <v>14408</v>
      </c>
      <c r="D4600" s="1" t="s">
        <v>14409</v>
      </c>
      <c r="E4600" s="1" t="s">
        <v>209</v>
      </c>
      <c r="F4600" s="1" t="s">
        <v>5017</v>
      </c>
      <c r="G4600" s="1" t="s">
        <v>5018</v>
      </c>
      <c r="H4600" s="1">
        <v>0.1</v>
      </c>
      <c r="I4600" s="1">
        <v>0.1</v>
      </c>
      <c r="J4600" s="1">
        <v>0.75615584214784526</v>
      </c>
      <c r="K4600" s="1" t="s">
        <v>181</v>
      </c>
    </row>
    <row r="4601" spans="1:11" x14ac:dyDescent="0.25">
      <c r="A4601" s="1" t="s">
        <v>14410</v>
      </c>
      <c r="B4601" s="1" t="s">
        <v>14411</v>
      </c>
      <c r="D4601" s="1" t="s">
        <v>14412</v>
      </c>
      <c r="E4601" s="1" t="s">
        <v>209</v>
      </c>
      <c r="F4601" s="1" t="s">
        <v>5017</v>
      </c>
      <c r="G4601" s="1" t="s">
        <v>5018</v>
      </c>
      <c r="H4601" s="1">
        <v>0.1</v>
      </c>
      <c r="I4601" s="1">
        <v>0.1</v>
      </c>
      <c r="J4601" s="1">
        <v>0.57842526331593003</v>
      </c>
      <c r="K4601" s="1" t="s">
        <v>181</v>
      </c>
    </row>
    <row r="4602" spans="1:11" x14ac:dyDescent="0.25">
      <c r="A4602" s="1" t="s">
        <v>14413</v>
      </c>
      <c r="B4602" s="1" t="s">
        <v>14414</v>
      </c>
      <c r="D4602" s="1" t="s">
        <v>14415</v>
      </c>
      <c r="E4602" s="1" t="s">
        <v>209</v>
      </c>
      <c r="F4602" s="1" t="s">
        <v>5017</v>
      </c>
      <c r="G4602" s="1" t="s">
        <v>5018</v>
      </c>
      <c r="H4602" s="1">
        <v>0.1</v>
      </c>
      <c r="I4602" s="1">
        <v>0.1</v>
      </c>
      <c r="J4602" s="1">
        <v>0.62328139987716324</v>
      </c>
      <c r="K4602" s="1" t="s">
        <v>181</v>
      </c>
    </row>
    <row r="4603" spans="1:11" x14ac:dyDescent="0.25">
      <c r="A4603" s="1" t="s">
        <v>14416</v>
      </c>
      <c r="B4603" s="1" t="s">
        <v>14417</v>
      </c>
      <c r="D4603" s="1" t="s">
        <v>14418</v>
      </c>
      <c r="E4603" s="1" t="s">
        <v>209</v>
      </c>
      <c r="F4603" s="1" t="s">
        <v>5017</v>
      </c>
      <c r="G4603" s="1" t="s">
        <v>5018</v>
      </c>
      <c r="H4603" s="1">
        <v>0.1</v>
      </c>
      <c r="I4603" s="1">
        <v>0.1</v>
      </c>
      <c r="J4603" s="1">
        <v>0.7678046130521109</v>
      </c>
      <c r="K4603" s="1" t="s">
        <v>181</v>
      </c>
    </row>
    <row r="4604" spans="1:11" x14ac:dyDescent="0.25">
      <c r="A4604" s="1" t="s">
        <v>14419</v>
      </c>
      <c r="B4604" s="1" t="s">
        <v>14420</v>
      </c>
      <c r="D4604" s="1" t="s">
        <v>14421</v>
      </c>
      <c r="E4604" s="1" t="s">
        <v>209</v>
      </c>
      <c r="F4604" s="1" t="s">
        <v>5017</v>
      </c>
      <c r="G4604" s="1" t="s">
        <v>5018</v>
      </c>
      <c r="H4604" s="1">
        <v>0.1</v>
      </c>
      <c r="I4604" s="1">
        <v>0.1</v>
      </c>
      <c r="J4604" s="1">
        <v>0.93685044065586598</v>
      </c>
      <c r="K4604" s="1" t="s">
        <v>181</v>
      </c>
    </row>
    <row r="4605" spans="1:11" x14ac:dyDescent="0.25">
      <c r="A4605" s="1" t="s">
        <v>14422</v>
      </c>
      <c r="B4605" s="1" t="s">
        <v>14423</v>
      </c>
      <c r="D4605" s="1" t="s">
        <v>14424</v>
      </c>
      <c r="E4605" s="1" t="s">
        <v>209</v>
      </c>
      <c r="F4605" s="1" t="s">
        <v>5017</v>
      </c>
      <c r="G4605" s="1" t="s">
        <v>5018</v>
      </c>
      <c r="H4605" s="1">
        <v>0.1</v>
      </c>
      <c r="I4605" s="1">
        <v>0.1</v>
      </c>
      <c r="J4605" s="1">
        <v>0.59289766013448408</v>
      </c>
      <c r="K4605" s="1" t="s">
        <v>181</v>
      </c>
    </row>
    <row r="4606" spans="1:11" x14ac:dyDescent="0.25">
      <c r="A4606" s="1" t="s">
        <v>14425</v>
      </c>
      <c r="B4606" s="1" t="s">
        <v>14426</v>
      </c>
      <c r="D4606" s="1" t="s">
        <v>14427</v>
      </c>
      <c r="E4606" s="1" t="s">
        <v>209</v>
      </c>
      <c r="F4606" s="1" t="s">
        <v>5017</v>
      </c>
      <c r="G4606" s="1" t="s">
        <v>5018</v>
      </c>
      <c r="H4606" s="1">
        <v>0.1</v>
      </c>
      <c r="I4606" s="1">
        <v>0.1</v>
      </c>
      <c r="J4606" s="1">
        <v>0.77323266651301215</v>
      </c>
      <c r="K4606" s="1" t="s">
        <v>181</v>
      </c>
    </row>
    <row r="4607" spans="1:11" x14ac:dyDescent="0.25">
      <c r="A4607" s="1" t="s">
        <v>14428</v>
      </c>
      <c r="B4607" s="1" t="s">
        <v>14429</v>
      </c>
      <c r="D4607" s="1" t="s">
        <v>14430</v>
      </c>
      <c r="E4607" s="1" t="s">
        <v>209</v>
      </c>
      <c r="F4607" s="1" t="s">
        <v>5017</v>
      </c>
      <c r="G4607" s="1" t="s">
        <v>5018</v>
      </c>
      <c r="H4607" s="1">
        <v>0.1</v>
      </c>
      <c r="I4607" s="1">
        <v>0.1</v>
      </c>
      <c r="J4607" s="1">
        <v>0.51378340977254855</v>
      </c>
      <c r="K4607" s="1" t="s">
        <v>181</v>
      </c>
    </row>
    <row r="4608" spans="1:11" x14ac:dyDescent="0.25">
      <c r="A4608" s="1" t="s">
        <v>14431</v>
      </c>
      <c r="B4608" s="1" t="s">
        <v>14432</v>
      </c>
      <c r="D4608" s="1" t="s">
        <v>14433</v>
      </c>
      <c r="E4608" s="1" t="s">
        <v>209</v>
      </c>
      <c r="F4608" s="1" t="s">
        <v>5017</v>
      </c>
      <c r="G4608" s="1" t="s">
        <v>5018</v>
      </c>
      <c r="H4608" s="1">
        <v>0.1</v>
      </c>
      <c r="I4608" s="1">
        <v>0.1</v>
      </c>
      <c r="J4608" s="1">
        <v>0.63891592984865242</v>
      </c>
      <c r="K4608" s="1" t="s">
        <v>181</v>
      </c>
    </row>
    <row r="4609" spans="1:11" x14ac:dyDescent="0.25">
      <c r="A4609" s="1" t="s">
        <v>14434</v>
      </c>
      <c r="B4609" s="1" t="s">
        <v>14435</v>
      </c>
      <c r="D4609" s="1" t="s">
        <v>14436</v>
      </c>
      <c r="E4609" s="1" t="s">
        <v>209</v>
      </c>
      <c r="F4609" s="1" t="s">
        <v>5017</v>
      </c>
      <c r="G4609" s="1" t="s">
        <v>5018</v>
      </c>
      <c r="H4609" s="1">
        <v>0.1</v>
      </c>
      <c r="I4609" s="1">
        <v>0.1</v>
      </c>
      <c r="J4609" s="1">
        <v>0.73241030919192962</v>
      </c>
      <c r="K4609" s="1" t="s">
        <v>181</v>
      </c>
    </row>
    <row r="4610" spans="1:11" x14ac:dyDescent="0.25">
      <c r="A4610" s="1" t="s">
        <v>14437</v>
      </c>
      <c r="B4610" s="1" t="s">
        <v>14438</v>
      </c>
      <c r="D4610" s="1" t="s">
        <v>14439</v>
      </c>
      <c r="E4610" s="1" t="s">
        <v>209</v>
      </c>
      <c r="F4610" s="1" t="s">
        <v>5017</v>
      </c>
      <c r="G4610" s="1" t="s">
        <v>5018</v>
      </c>
      <c r="H4610" s="1">
        <v>0.1</v>
      </c>
      <c r="I4610" s="1">
        <v>0.1</v>
      </c>
      <c r="J4610" s="1">
        <v>0.69619020050893077</v>
      </c>
      <c r="K4610" s="1" t="s">
        <v>181</v>
      </c>
    </row>
    <row r="4611" spans="1:11" x14ac:dyDescent="0.25">
      <c r="A4611" s="1" t="s">
        <v>14440</v>
      </c>
      <c r="B4611" s="1" t="s">
        <v>14441</v>
      </c>
      <c r="D4611" s="1" t="s">
        <v>14442</v>
      </c>
      <c r="E4611" s="1" t="s">
        <v>209</v>
      </c>
      <c r="F4611" s="1" t="s">
        <v>5017</v>
      </c>
      <c r="G4611" s="1" t="s">
        <v>5018</v>
      </c>
      <c r="H4611" s="1">
        <v>0.1</v>
      </c>
      <c r="I4611" s="1">
        <v>0.1</v>
      </c>
      <c r="J4611" s="1">
        <v>0.47057774257007762</v>
      </c>
      <c r="K4611" s="1" t="s">
        <v>181</v>
      </c>
    </row>
    <row r="4612" spans="1:11" x14ac:dyDescent="0.25">
      <c r="A4612" s="1" t="s">
        <v>14443</v>
      </c>
      <c r="B4612" s="1" t="s">
        <v>14444</v>
      </c>
      <c r="D4612" s="1" t="s">
        <v>14445</v>
      </c>
      <c r="E4612" s="1" t="s">
        <v>209</v>
      </c>
      <c r="F4612" s="1" t="s">
        <v>5017</v>
      </c>
      <c r="G4612" s="1" t="s">
        <v>5018</v>
      </c>
      <c r="H4612" s="1">
        <v>0.1</v>
      </c>
      <c r="I4612" s="1">
        <v>0.1</v>
      </c>
      <c r="J4612" s="1">
        <v>0.56313067131841144</v>
      </c>
      <c r="K4612" s="1" t="s">
        <v>181</v>
      </c>
    </row>
    <row r="4613" spans="1:11" x14ac:dyDescent="0.25">
      <c r="A4613" s="1" t="s">
        <v>14446</v>
      </c>
      <c r="B4613" s="1" t="s">
        <v>14447</v>
      </c>
      <c r="D4613" s="1" t="s">
        <v>14448</v>
      </c>
      <c r="E4613" s="1" t="s">
        <v>209</v>
      </c>
      <c r="F4613" s="1" t="s">
        <v>5017</v>
      </c>
      <c r="G4613" s="1" t="s">
        <v>5018</v>
      </c>
      <c r="H4613" s="1">
        <v>0.1</v>
      </c>
      <c r="I4613" s="1">
        <v>0.1</v>
      </c>
      <c r="J4613" s="1">
        <v>0.73158392612468737</v>
      </c>
      <c r="K4613" s="1" t="s">
        <v>181</v>
      </c>
    </row>
    <row r="4614" spans="1:11" x14ac:dyDescent="0.25">
      <c r="A4614" s="1" t="s">
        <v>14449</v>
      </c>
      <c r="B4614" s="1" t="s">
        <v>14450</v>
      </c>
      <c r="D4614" s="1" t="s">
        <v>14451</v>
      </c>
      <c r="E4614" s="1" t="s">
        <v>209</v>
      </c>
      <c r="F4614" s="1" t="s">
        <v>5017</v>
      </c>
      <c r="G4614" s="1" t="s">
        <v>5018</v>
      </c>
      <c r="H4614" s="1">
        <v>0.1</v>
      </c>
      <c r="I4614" s="1">
        <v>0.1</v>
      </c>
      <c r="J4614" s="1">
        <v>0.56206934684764898</v>
      </c>
      <c r="K4614" s="1" t="s">
        <v>181</v>
      </c>
    </row>
    <row r="4615" spans="1:11" x14ac:dyDescent="0.25">
      <c r="A4615" s="1" t="s">
        <v>14452</v>
      </c>
      <c r="B4615" s="1" t="s">
        <v>14453</v>
      </c>
      <c r="D4615" s="1" t="s">
        <v>14454</v>
      </c>
      <c r="E4615" s="1" t="s">
        <v>209</v>
      </c>
      <c r="F4615" s="1" t="s">
        <v>5017</v>
      </c>
      <c r="G4615" s="1" t="s">
        <v>5018</v>
      </c>
      <c r="H4615" s="1">
        <v>0.1</v>
      </c>
      <c r="I4615" s="1">
        <v>0.1</v>
      </c>
      <c r="J4615" s="1">
        <v>0.62298208204428873</v>
      </c>
      <c r="K4615" s="1" t="s">
        <v>181</v>
      </c>
    </row>
    <row r="4616" spans="1:11" x14ac:dyDescent="0.25">
      <c r="A4616" s="1" t="s">
        <v>14455</v>
      </c>
      <c r="B4616" s="1" t="s">
        <v>14456</v>
      </c>
      <c r="D4616" s="1" t="s">
        <v>14457</v>
      </c>
      <c r="E4616" s="1" t="s">
        <v>209</v>
      </c>
      <c r="F4616" s="1" t="s">
        <v>5017</v>
      </c>
      <c r="G4616" s="1" t="s">
        <v>5018</v>
      </c>
      <c r="H4616" s="1">
        <v>0.1</v>
      </c>
      <c r="I4616" s="1">
        <v>0.1</v>
      </c>
      <c r="J4616" s="1">
        <v>0.67297226806600929</v>
      </c>
      <c r="K4616" s="1" t="s">
        <v>181</v>
      </c>
    </row>
    <row r="4617" spans="1:11" x14ac:dyDescent="0.25">
      <c r="A4617" s="1" t="s">
        <v>14458</v>
      </c>
      <c r="B4617" s="1" t="s">
        <v>14459</v>
      </c>
      <c r="D4617" s="1" t="s">
        <v>14460</v>
      </c>
      <c r="E4617" s="1" t="s">
        <v>209</v>
      </c>
      <c r="F4617" s="1" t="s">
        <v>5017</v>
      </c>
      <c r="G4617" s="1" t="s">
        <v>5018</v>
      </c>
      <c r="H4617" s="1">
        <v>0.1</v>
      </c>
      <c r="I4617" s="1">
        <v>0.1</v>
      </c>
      <c r="J4617" s="1">
        <v>0.53484939447643176</v>
      </c>
      <c r="K4617" s="1" t="s">
        <v>181</v>
      </c>
    </row>
    <row r="4618" spans="1:11" x14ac:dyDescent="0.25">
      <c r="A4618" s="1" t="s">
        <v>14461</v>
      </c>
      <c r="B4618" s="1" t="s">
        <v>14462</v>
      </c>
      <c r="D4618" s="1" t="s">
        <v>14463</v>
      </c>
      <c r="E4618" s="1" t="s">
        <v>209</v>
      </c>
      <c r="F4618" s="1" t="s">
        <v>5017</v>
      </c>
      <c r="G4618" s="1" t="s">
        <v>5018</v>
      </c>
      <c r="H4618" s="1">
        <v>0.1</v>
      </c>
      <c r="I4618" s="1">
        <v>0.1</v>
      </c>
      <c r="J4618" s="1">
        <v>0.7078474561525645</v>
      </c>
      <c r="K4618" s="1" t="s">
        <v>181</v>
      </c>
    </row>
    <row r="4619" spans="1:11" x14ac:dyDescent="0.25">
      <c r="A4619" s="1" t="s">
        <v>14464</v>
      </c>
      <c r="B4619" s="1" t="s">
        <v>14465</v>
      </c>
      <c r="D4619" s="1" t="s">
        <v>14466</v>
      </c>
      <c r="E4619" s="1" t="s">
        <v>209</v>
      </c>
      <c r="F4619" s="1" t="s">
        <v>5017</v>
      </c>
      <c r="G4619" s="1" t="s">
        <v>5018</v>
      </c>
      <c r="H4619" s="1">
        <v>0.1</v>
      </c>
      <c r="I4619" s="1">
        <v>0.1</v>
      </c>
      <c r="J4619" s="1">
        <v>0.52525486564819557</v>
      </c>
      <c r="K4619" s="1" t="s">
        <v>181</v>
      </c>
    </row>
    <row r="4620" spans="1:11" x14ac:dyDescent="0.25">
      <c r="A4620" s="1" t="s">
        <v>14467</v>
      </c>
      <c r="B4620" s="1" t="s">
        <v>14468</v>
      </c>
      <c r="D4620" s="1" t="s">
        <v>14469</v>
      </c>
      <c r="E4620" s="1" t="s">
        <v>209</v>
      </c>
      <c r="F4620" s="1" t="s">
        <v>5017</v>
      </c>
      <c r="G4620" s="1" t="s">
        <v>5018</v>
      </c>
      <c r="H4620" s="1">
        <v>0.1</v>
      </c>
      <c r="I4620" s="1">
        <v>0.1</v>
      </c>
      <c r="J4620" s="1">
        <v>0.7387155510395057</v>
      </c>
      <c r="K4620" s="1" t="s">
        <v>181</v>
      </c>
    </row>
    <row r="4621" spans="1:11" x14ac:dyDescent="0.25">
      <c r="A4621" s="1" t="s">
        <v>14470</v>
      </c>
      <c r="B4621" s="1" t="s">
        <v>14471</v>
      </c>
      <c r="D4621" s="1" t="s">
        <v>14472</v>
      </c>
      <c r="E4621" s="1" t="s">
        <v>209</v>
      </c>
      <c r="F4621" s="1" t="s">
        <v>5017</v>
      </c>
      <c r="G4621" s="1" t="s">
        <v>5018</v>
      </c>
      <c r="H4621" s="1">
        <v>0.1</v>
      </c>
      <c r="I4621" s="1">
        <v>0.1</v>
      </c>
      <c r="J4621" s="1">
        <v>0.59749507910664068</v>
      </c>
      <c r="K4621" s="1" t="s">
        <v>181</v>
      </c>
    </row>
    <row r="4622" spans="1:11" x14ac:dyDescent="0.25">
      <c r="A4622" s="1" t="s">
        <v>14473</v>
      </c>
      <c r="B4622" s="1" t="s">
        <v>14474</v>
      </c>
      <c r="D4622" s="1" t="s">
        <v>14475</v>
      </c>
      <c r="E4622" s="1" t="s">
        <v>209</v>
      </c>
      <c r="F4622" s="1" t="s">
        <v>5017</v>
      </c>
      <c r="G4622" s="1" t="s">
        <v>5018</v>
      </c>
      <c r="H4622" s="1">
        <v>0.1</v>
      </c>
      <c r="I4622" s="1">
        <v>0.1</v>
      </c>
      <c r="J4622" s="1">
        <v>0.64607816129572415</v>
      </c>
      <c r="K4622" s="1" t="s">
        <v>181</v>
      </c>
    </row>
    <row r="4623" spans="1:11" x14ac:dyDescent="0.25">
      <c r="A4623" s="1" t="s">
        <v>14476</v>
      </c>
      <c r="B4623" s="1" t="s">
        <v>14477</v>
      </c>
      <c r="D4623" s="1" t="s">
        <v>14478</v>
      </c>
      <c r="E4623" s="1" t="s">
        <v>209</v>
      </c>
      <c r="F4623" s="1" t="s">
        <v>5017</v>
      </c>
      <c r="G4623" s="1" t="s">
        <v>5018</v>
      </c>
      <c r="H4623" s="1">
        <v>0.1</v>
      </c>
      <c r="I4623" s="1">
        <v>0.1</v>
      </c>
      <c r="J4623" s="1">
        <v>0.42552471830611793</v>
      </c>
      <c r="K4623" s="1" t="s">
        <v>181</v>
      </c>
    </row>
    <row r="4624" spans="1:11" x14ac:dyDescent="0.25">
      <c r="A4624" s="1" t="s">
        <v>14479</v>
      </c>
      <c r="B4624" s="1" t="s">
        <v>14480</v>
      </c>
      <c r="D4624" s="1" t="s">
        <v>14481</v>
      </c>
      <c r="E4624" s="1" t="s">
        <v>209</v>
      </c>
      <c r="F4624" s="1" t="s">
        <v>5017</v>
      </c>
      <c r="G4624" s="1" t="s">
        <v>5018</v>
      </c>
      <c r="H4624" s="1">
        <v>0.1</v>
      </c>
      <c r="I4624" s="1">
        <v>0.1</v>
      </c>
      <c r="J4624" s="1">
        <v>0.64413613924755275</v>
      </c>
      <c r="K4624" s="1" t="s">
        <v>181</v>
      </c>
    </row>
    <row r="4625" spans="1:11" x14ac:dyDescent="0.25">
      <c r="A4625" s="1" t="s">
        <v>14482</v>
      </c>
      <c r="B4625" s="1" t="s">
        <v>14483</v>
      </c>
      <c r="D4625" s="1" t="s">
        <v>14484</v>
      </c>
      <c r="E4625" s="1" t="s">
        <v>209</v>
      </c>
      <c r="F4625" s="1" t="s">
        <v>5017</v>
      </c>
      <c r="G4625" s="1" t="s">
        <v>5018</v>
      </c>
      <c r="H4625" s="1">
        <v>0.1</v>
      </c>
      <c r="I4625" s="1">
        <v>0.1</v>
      </c>
      <c r="J4625" s="1">
        <v>0.81238229360541192</v>
      </c>
      <c r="K4625" s="1" t="s">
        <v>181</v>
      </c>
    </row>
    <row r="4626" spans="1:11" x14ac:dyDescent="0.25">
      <c r="A4626" s="1" t="s">
        <v>14485</v>
      </c>
      <c r="B4626" s="1" t="s">
        <v>14486</v>
      </c>
      <c r="D4626" s="1" t="s">
        <v>14487</v>
      </c>
      <c r="E4626" s="1" t="s">
        <v>209</v>
      </c>
      <c r="F4626" s="1" t="s">
        <v>5017</v>
      </c>
      <c r="G4626" s="1" t="s">
        <v>5018</v>
      </c>
      <c r="H4626" s="1">
        <v>0.1</v>
      </c>
      <c r="I4626" s="1">
        <v>0.1</v>
      </c>
      <c r="J4626" s="1">
        <v>0.68819888555953102</v>
      </c>
      <c r="K4626" s="1" t="s">
        <v>181</v>
      </c>
    </row>
    <row r="4627" spans="1:11" x14ac:dyDescent="0.25">
      <c r="A4627" s="1" t="s">
        <v>14488</v>
      </c>
      <c r="B4627" s="1" t="s">
        <v>14489</v>
      </c>
      <c r="D4627" s="1" t="s">
        <v>14490</v>
      </c>
      <c r="E4627" s="1" t="s">
        <v>209</v>
      </c>
      <c r="F4627" s="1" t="s">
        <v>5017</v>
      </c>
      <c r="G4627" s="1" t="s">
        <v>5018</v>
      </c>
      <c r="H4627" s="1">
        <v>0.1</v>
      </c>
      <c r="I4627" s="1">
        <v>0.1</v>
      </c>
      <c r="J4627" s="1">
        <v>0.61018570584697052</v>
      </c>
      <c r="K4627" s="1" t="s">
        <v>181</v>
      </c>
    </row>
    <row r="4628" spans="1:11" x14ac:dyDescent="0.25">
      <c r="A4628" s="1" t="s">
        <v>14491</v>
      </c>
      <c r="B4628" s="1" t="s">
        <v>14492</v>
      </c>
      <c r="D4628" s="1" t="s">
        <v>14493</v>
      </c>
      <c r="E4628" s="1" t="s">
        <v>209</v>
      </c>
      <c r="F4628" s="1" t="s">
        <v>5017</v>
      </c>
      <c r="G4628" s="1" t="s">
        <v>5018</v>
      </c>
      <c r="H4628" s="1">
        <v>0.1</v>
      </c>
      <c r="I4628" s="1">
        <v>0.1</v>
      </c>
      <c r="J4628" s="1">
        <v>0.50053014733803092</v>
      </c>
      <c r="K4628" s="1" t="s">
        <v>181</v>
      </c>
    </row>
    <row r="4629" spans="1:11" x14ac:dyDescent="0.25">
      <c r="A4629" s="1" t="s">
        <v>14494</v>
      </c>
      <c r="B4629" s="1" t="s">
        <v>14495</v>
      </c>
      <c r="D4629" s="1" t="s">
        <v>14496</v>
      </c>
      <c r="E4629" s="1" t="s">
        <v>209</v>
      </c>
      <c r="F4629" s="1" t="s">
        <v>5017</v>
      </c>
      <c r="G4629" s="1" t="s">
        <v>5018</v>
      </c>
      <c r="H4629" s="1">
        <v>0.1</v>
      </c>
      <c r="I4629" s="1">
        <v>0.1</v>
      </c>
      <c r="J4629" s="1">
        <v>0.52584854947774418</v>
      </c>
      <c r="K4629" s="1" t="s">
        <v>181</v>
      </c>
    </row>
    <row r="4630" spans="1:11" x14ac:dyDescent="0.25">
      <c r="A4630" s="1" t="s">
        <v>14497</v>
      </c>
      <c r="B4630" s="1" t="s">
        <v>14498</v>
      </c>
      <c r="D4630" s="1" t="s">
        <v>14499</v>
      </c>
      <c r="E4630" s="1" t="s">
        <v>209</v>
      </c>
      <c r="F4630" s="1" t="s">
        <v>5017</v>
      </c>
      <c r="G4630" s="1" t="s">
        <v>5018</v>
      </c>
      <c r="H4630" s="1">
        <v>0.1</v>
      </c>
      <c r="I4630" s="1">
        <v>0.1</v>
      </c>
      <c r="J4630" s="1">
        <v>0.77755187533416981</v>
      </c>
      <c r="K4630" s="1" t="s">
        <v>181</v>
      </c>
    </row>
    <row r="4631" spans="1:11" x14ac:dyDescent="0.25">
      <c r="A4631" s="1" t="s">
        <v>14500</v>
      </c>
      <c r="B4631" s="1" t="s">
        <v>14501</v>
      </c>
      <c r="D4631" s="1" t="s">
        <v>14502</v>
      </c>
      <c r="E4631" s="1" t="s">
        <v>209</v>
      </c>
      <c r="F4631" s="1" t="s">
        <v>5017</v>
      </c>
      <c r="G4631" s="1" t="s">
        <v>5018</v>
      </c>
      <c r="H4631" s="1">
        <v>0.1</v>
      </c>
      <c r="I4631" s="1">
        <v>0.1</v>
      </c>
      <c r="J4631" s="1">
        <v>0.96961317996727758</v>
      </c>
      <c r="K4631" s="1" t="s">
        <v>181</v>
      </c>
    </row>
    <row r="4632" spans="1:11" x14ac:dyDescent="0.25">
      <c r="A4632" s="1" t="s">
        <v>14503</v>
      </c>
      <c r="B4632" s="1" t="s">
        <v>14504</v>
      </c>
      <c r="D4632" s="1" t="s">
        <v>14505</v>
      </c>
      <c r="E4632" s="1" t="s">
        <v>209</v>
      </c>
      <c r="F4632" s="1" t="s">
        <v>5017</v>
      </c>
      <c r="G4632" s="1" t="s">
        <v>5018</v>
      </c>
      <c r="H4632" s="1">
        <v>0.1</v>
      </c>
      <c r="I4632" s="1">
        <v>0.1</v>
      </c>
      <c r="J4632" s="1">
        <v>0.56795223267516159</v>
      </c>
      <c r="K4632" s="1" t="s">
        <v>181</v>
      </c>
    </row>
    <row r="4633" spans="1:11" x14ac:dyDescent="0.25">
      <c r="A4633" s="1" t="s">
        <v>37</v>
      </c>
      <c r="B4633" s="1" t="s">
        <v>14506</v>
      </c>
      <c r="D4633" s="1" t="s">
        <v>14507</v>
      </c>
      <c r="E4633" s="1" t="s">
        <v>209</v>
      </c>
      <c r="F4633" s="1" t="s">
        <v>5017</v>
      </c>
      <c r="G4633" s="1" t="s">
        <v>5018</v>
      </c>
      <c r="H4633" s="1">
        <v>0.1</v>
      </c>
      <c r="I4633" s="1">
        <v>0.1</v>
      </c>
      <c r="J4633" s="1">
        <v>0.71756784113047223</v>
      </c>
      <c r="K4633" s="1" t="s">
        <v>181</v>
      </c>
    </row>
    <row r="4634" spans="1:11" x14ac:dyDescent="0.25">
      <c r="A4634" s="1" t="s">
        <v>14508</v>
      </c>
      <c r="B4634" s="1" t="s">
        <v>14509</v>
      </c>
      <c r="D4634" s="1" t="s">
        <v>14510</v>
      </c>
      <c r="E4634" s="1" t="s">
        <v>209</v>
      </c>
      <c r="F4634" s="1" t="s">
        <v>5017</v>
      </c>
      <c r="G4634" s="1" t="s">
        <v>5018</v>
      </c>
      <c r="H4634" s="1">
        <v>0.1</v>
      </c>
      <c r="I4634" s="1">
        <v>0.1</v>
      </c>
      <c r="J4634" s="1">
        <v>0.61445673765124253</v>
      </c>
      <c r="K4634" s="1" t="s">
        <v>181</v>
      </c>
    </row>
    <row r="4635" spans="1:11" x14ac:dyDescent="0.25">
      <c r="A4635" s="1" t="s">
        <v>14511</v>
      </c>
      <c r="B4635" s="1" t="s">
        <v>14512</v>
      </c>
      <c r="D4635" s="1" t="s">
        <v>14513</v>
      </c>
      <c r="E4635" s="1" t="s">
        <v>209</v>
      </c>
      <c r="F4635" s="1" t="s">
        <v>5017</v>
      </c>
      <c r="G4635" s="1" t="s">
        <v>5018</v>
      </c>
      <c r="H4635" s="1">
        <v>0.1</v>
      </c>
      <c r="I4635" s="1">
        <v>0.1</v>
      </c>
      <c r="J4635" s="1">
        <v>0.44513601811615999</v>
      </c>
      <c r="K4635" s="1" t="s">
        <v>181</v>
      </c>
    </row>
    <row r="4636" spans="1:11" x14ac:dyDescent="0.25">
      <c r="A4636" s="1" t="s">
        <v>14514</v>
      </c>
      <c r="B4636" s="1" t="s">
        <v>14515</v>
      </c>
      <c r="D4636" s="1" t="s">
        <v>14516</v>
      </c>
      <c r="E4636" s="1" t="s">
        <v>209</v>
      </c>
      <c r="F4636" s="1" t="s">
        <v>5017</v>
      </c>
      <c r="G4636" s="1" t="s">
        <v>5018</v>
      </c>
      <c r="H4636" s="1">
        <v>0.1</v>
      </c>
      <c r="I4636" s="1">
        <v>0.1</v>
      </c>
      <c r="J4636" s="1">
        <v>0.8515346536970847</v>
      </c>
      <c r="K4636" s="1" t="s">
        <v>181</v>
      </c>
    </row>
    <row r="4637" spans="1:11" x14ac:dyDescent="0.25">
      <c r="A4637" s="1" t="s">
        <v>14517</v>
      </c>
      <c r="B4637" s="1" t="s">
        <v>14518</v>
      </c>
      <c r="D4637" s="1" t="s">
        <v>14519</v>
      </c>
      <c r="E4637" s="1" t="s">
        <v>209</v>
      </c>
      <c r="F4637" s="1" t="s">
        <v>5017</v>
      </c>
      <c r="G4637" s="1" t="s">
        <v>5018</v>
      </c>
      <c r="H4637" s="1">
        <v>0.1</v>
      </c>
      <c r="I4637" s="1">
        <v>0.1</v>
      </c>
      <c r="J4637" s="1">
        <v>0.76304227683434334</v>
      </c>
      <c r="K4637" s="1" t="s">
        <v>181</v>
      </c>
    </row>
    <row r="4638" spans="1:11" x14ac:dyDescent="0.25">
      <c r="A4638" s="1" t="s">
        <v>14520</v>
      </c>
      <c r="B4638" s="1" t="s">
        <v>14521</v>
      </c>
      <c r="D4638" s="1" t="s">
        <v>14522</v>
      </c>
      <c r="E4638" s="1" t="s">
        <v>209</v>
      </c>
      <c r="F4638" s="1" t="s">
        <v>5017</v>
      </c>
      <c r="G4638" s="1" t="s">
        <v>5018</v>
      </c>
      <c r="H4638" s="1">
        <v>0.1</v>
      </c>
      <c r="I4638" s="1">
        <v>0.1</v>
      </c>
      <c r="J4638" s="1">
        <v>0.50513823772466249</v>
      </c>
      <c r="K4638" s="1" t="s">
        <v>181</v>
      </c>
    </row>
    <row r="4639" spans="1:11" x14ac:dyDescent="0.25">
      <c r="A4639" s="1" t="s">
        <v>14523</v>
      </c>
      <c r="B4639" s="1" t="s">
        <v>14524</v>
      </c>
      <c r="D4639" s="1" t="s">
        <v>14525</v>
      </c>
      <c r="E4639" s="1" t="s">
        <v>209</v>
      </c>
      <c r="F4639" s="1" t="s">
        <v>5017</v>
      </c>
      <c r="G4639" s="1" t="s">
        <v>5018</v>
      </c>
      <c r="H4639" s="1">
        <v>0.1</v>
      </c>
      <c r="I4639" s="1">
        <v>0.1</v>
      </c>
      <c r="J4639" s="1">
        <v>0.49536392179682986</v>
      </c>
      <c r="K4639" s="1" t="s">
        <v>181</v>
      </c>
    </row>
    <row r="4640" spans="1:11" x14ac:dyDescent="0.25">
      <c r="A4640" s="1" t="s">
        <v>14526</v>
      </c>
      <c r="B4640" s="1" t="s">
        <v>14527</v>
      </c>
      <c r="D4640" s="1" t="s">
        <v>14528</v>
      </c>
      <c r="E4640" s="1" t="s">
        <v>209</v>
      </c>
      <c r="F4640" s="1" t="s">
        <v>5017</v>
      </c>
      <c r="G4640" s="1" t="s">
        <v>5018</v>
      </c>
      <c r="H4640" s="1">
        <v>0.1</v>
      </c>
      <c r="I4640" s="1">
        <v>0.1</v>
      </c>
      <c r="J4640" s="1">
        <v>0.63578929745067703</v>
      </c>
      <c r="K4640" s="1" t="s">
        <v>181</v>
      </c>
    </row>
    <row r="4641" spans="1:11" x14ac:dyDescent="0.25">
      <c r="A4641" s="1" t="s">
        <v>93</v>
      </c>
      <c r="B4641" s="1" t="s">
        <v>14529</v>
      </c>
      <c r="D4641" s="1" t="s">
        <v>14530</v>
      </c>
      <c r="E4641" s="1" t="s">
        <v>209</v>
      </c>
      <c r="F4641" s="1" t="s">
        <v>5017</v>
      </c>
      <c r="G4641" s="1" t="s">
        <v>5018</v>
      </c>
      <c r="H4641" s="1">
        <v>0.1</v>
      </c>
      <c r="I4641" s="1">
        <v>0.1</v>
      </c>
      <c r="J4641" s="1">
        <v>0.63957544506817621</v>
      </c>
      <c r="K4641" s="1" t="s">
        <v>181</v>
      </c>
    </row>
    <row r="4642" spans="1:11" x14ac:dyDescent="0.25">
      <c r="A4642" s="1" t="s">
        <v>14531</v>
      </c>
      <c r="B4642" s="1" t="s">
        <v>14532</v>
      </c>
      <c r="D4642" s="1" t="s">
        <v>14533</v>
      </c>
      <c r="E4642" s="1" t="s">
        <v>209</v>
      </c>
      <c r="F4642" s="1" t="s">
        <v>5017</v>
      </c>
      <c r="G4642" s="1" t="s">
        <v>5018</v>
      </c>
      <c r="H4642" s="1">
        <v>0.1</v>
      </c>
      <c r="I4642" s="1">
        <v>0.1</v>
      </c>
      <c r="J4642" s="1">
        <v>0.64068792553060883</v>
      </c>
      <c r="K4642" s="1" t="s">
        <v>181</v>
      </c>
    </row>
    <row r="4643" spans="1:11" x14ac:dyDescent="0.25">
      <c r="A4643" s="1" t="s">
        <v>14534</v>
      </c>
      <c r="B4643" s="1" t="s">
        <v>14535</v>
      </c>
      <c r="D4643" s="1" t="s">
        <v>14536</v>
      </c>
      <c r="E4643" s="1" t="s">
        <v>209</v>
      </c>
      <c r="F4643" s="1" t="s">
        <v>5017</v>
      </c>
      <c r="G4643" s="1" t="s">
        <v>5018</v>
      </c>
      <c r="H4643" s="1">
        <v>0.1</v>
      </c>
      <c r="I4643" s="1">
        <v>0.1</v>
      </c>
      <c r="J4643" s="1">
        <v>0.59293799400670988</v>
      </c>
      <c r="K4643" s="1" t="s">
        <v>181</v>
      </c>
    </row>
    <row r="4644" spans="1:11" x14ac:dyDescent="0.25">
      <c r="A4644" s="1" t="s">
        <v>14537</v>
      </c>
      <c r="B4644" s="1" t="s">
        <v>14538</v>
      </c>
      <c r="D4644" s="1" t="s">
        <v>14539</v>
      </c>
      <c r="E4644" s="1" t="s">
        <v>209</v>
      </c>
      <c r="F4644" s="1" t="s">
        <v>5017</v>
      </c>
      <c r="G4644" s="1" t="s">
        <v>5018</v>
      </c>
      <c r="H4644" s="1">
        <v>0.1</v>
      </c>
      <c r="I4644" s="1">
        <v>0.1</v>
      </c>
      <c r="J4644" s="1">
        <v>0.65027666584625232</v>
      </c>
      <c r="K4644" s="1" t="s">
        <v>181</v>
      </c>
    </row>
    <row r="4645" spans="1:11" x14ac:dyDescent="0.25">
      <c r="A4645" s="1" t="s">
        <v>14540</v>
      </c>
      <c r="B4645" s="1" t="s">
        <v>14541</v>
      </c>
      <c r="D4645" s="1" t="s">
        <v>14542</v>
      </c>
      <c r="E4645" s="1" t="s">
        <v>209</v>
      </c>
      <c r="F4645" s="1" t="s">
        <v>5017</v>
      </c>
      <c r="G4645" s="1" t="s">
        <v>5018</v>
      </c>
      <c r="H4645" s="1">
        <v>0.1</v>
      </c>
      <c r="I4645" s="1">
        <v>0.1</v>
      </c>
      <c r="J4645" s="1">
        <v>0.62407887556953801</v>
      </c>
      <c r="K4645" s="1" t="s">
        <v>181</v>
      </c>
    </row>
    <row r="4646" spans="1:11" x14ac:dyDescent="0.25">
      <c r="A4646" s="1" t="s">
        <v>14543</v>
      </c>
      <c r="B4646" s="1" t="s">
        <v>14544</v>
      </c>
      <c r="D4646" s="1" t="s">
        <v>14545</v>
      </c>
      <c r="E4646" s="1" t="s">
        <v>209</v>
      </c>
      <c r="F4646" s="1" t="s">
        <v>5017</v>
      </c>
      <c r="G4646" s="1" t="s">
        <v>5018</v>
      </c>
      <c r="H4646" s="1">
        <v>0.1</v>
      </c>
      <c r="I4646" s="1">
        <v>0.1</v>
      </c>
      <c r="J4646" s="1">
        <v>0.61115553957166813</v>
      </c>
      <c r="K4646" s="1" t="s">
        <v>181</v>
      </c>
    </row>
    <row r="4647" spans="1:11" x14ac:dyDescent="0.25">
      <c r="A4647" s="1" t="s">
        <v>14546</v>
      </c>
      <c r="B4647" s="1" t="s">
        <v>14547</v>
      </c>
      <c r="D4647" s="1" t="s">
        <v>14548</v>
      </c>
      <c r="E4647" s="1" t="s">
        <v>209</v>
      </c>
      <c r="F4647" s="1" t="s">
        <v>5017</v>
      </c>
      <c r="G4647" s="1" t="s">
        <v>5018</v>
      </c>
      <c r="H4647" s="1">
        <v>0.1</v>
      </c>
      <c r="I4647" s="1">
        <v>0.1</v>
      </c>
      <c r="J4647" s="1">
        <v>0.79829531136667853</v>
      </c>
      <c r="K4647" s="1" t="s">
        <v>181</v>
      </c>
    </row>
    <row r="4648" spans="1:11" x14ac:dyDescent="0.25">
      <c r="A4648" s="1" t="s">
        <v>14549</v>
      </c>
      <c r="B4648" s="1" t="s">
        <v>14550</v>
      </c>
      <c r="D4648" s="1" t="s">
        <v>14551</v>
      </c>
      <c r="E4648" s="1" t="s">
        <v>209</v>
      </c>
      <c r="F4648" s="1" t="s">
        <v>5017</v>
      </c>
      <c r="G4648" s="1" t="s">
        <v>5018</v>
      </c>
      <c r="H4648" s="1">
        <v>0.1</v>
      </c>
      <c r="I4648" s="1">
        <v>0.1</v>
      </c>
      <c r="J4648" s="1">
        <v>0.63671767075735208</v>
      </c>
      <c r="K4648" s="1" t="s">
        <v>181</v>
      </c>
    </row>
    <row r="4649" spans="1:11" x14ac:dyDescent="0.25">
      <c r="A4649" s="1" t="s">
        <v>14552</v>
      </c>
      <c r="B4649" s="1" t="s">
        <v>14553</v>
      </c>
      <c r="D4649" s="1" t="s">
        <v>14554</v>
      </c>
      <c r="E4649" s="1" t="s">
        <v>209</v>
      </c>
      <c r="F4649" s="1" t="s">
        <v>5017</v>
      </c>
      <c r="G4649" s="1" t="s">
        <v>5018</v>
      </c>
      <c r="H4649" s="1">
        <v>0.1</v>
      </c>
      <c r="I4649" s="1">
        <v>0.1</v>
      </c>
      <c r="J4649" s="1">
        <v>0.61825082237550621</v>
      </c>
      <c r="K4649" s="1" t="s">
        <v>181</v>
      </c>
    </row>
    <row r="4650" spans="1:11" x14ac:dyDescent="0.25">
      <c r="A4650" s="1" t="s">
        <v>14555</v>
      </c>
      <c r="B4650" s="1" t="s">
        <v>14556</v>
      </c>
      <c r="D4650" s="1" t="s">
        <v>14557</v>
      </c>
      <c r="E4650" s="1" t="s">
        <v>209</v>
      </c>
      <c r="F4650" s="1" t="s">
        <v>5017</v>
      </c>
      <c r="G4650" s="1" t="s">
        <v>5018</v>
      </c>
      <c r="H4650" s="1">
        <v>0.1</v>
      </c>
      <c r="I4650" s="1">
        <v>0.1</v>
      </c>
      <c r="J4650" s="1">
        <v>0.63833538517893784</v>
      </c>
      <c r="K4650" s="1" t="s">
        <v>181</v>
      </c>
    </row>
    <row r="4651" spans="1:11" x14ac:dyDescent="0.25">
      <c r="A4651" s="1" t="s">
        <v>14558</v>
      </c>
      <c r="B4651" s="1" t="s">
        <v>14559</v>
      </c>
      <c r="D4651" s="1" t="s">
        <v>14560</v>
      </c>
      <c r="E4651" s="1" t="s">
        <v>209</v>
      </c>
      <c r="F4651" s="1" t="s">
        <v>5017</v>
      </c>
      <c r="G4651" s="1" t="s">
        <v>5018</v>
      </c>
      <c r="H4651" s="1">
        <v>0.1</v>
      </c>
      <c r="I4651" s="1">
        <v>0.1</v>
      </c>
      <c r="J4651" s="1">
        <v>0.46033351606887585</v>
      </c>
      <c r="K4651" s="1" t="s">
        <v>181</v>
      </c>
    </row>
    <row r="4652" spans="1:11" x14ac:dyDescent="0.25">
      <c r="A4652" s="1" t="s">
        <v>14561</v>
      </c>
      <c r="B4652" s="1" t="s">
        <v>14562</v>
      </c>
      <c r="D4652" s="1" t="s">
        <v>14563</v>
      </c>
      <c r="E4652" s="1" t="s">
        <v>209</v>
      </c>
      <c r="F4652" s="1" t="s">
        <v>5017</v>
      </c>
      <c r="G4652" s="1" t="s">
        <v>5018</v>
      </c>
      <c r="H4652" s="1">
        <v>0.1</v>
      </c>
      <c r="I4652" s="1">
        <v>0.1</v>
      </c>
      <c r="J4652" s="1">
        <v>0.50197281012363826</v>
      </c>
      <c r="K4652" s="1" t="s">
        <v>181</v>
      </c>
    </row>
    <row r="4653" spans="1:11" x14ac:dyDescent="0.25">
      <c r="A4653" s="1" t="s">
        <v>14564</v>
      </c>
      <c r="B4653" s="1" t="s">
        <v>14565</v>
      </c>
      <c r="D4653" s="1" t="s">
        <v>14566</v>
      </c>
      <c r="E4653" s="1" t="s">
        <v>209</v>
      </c>
      <c r="F4653" s="1" t="s">
        <v>5017</v>
      </c>
      <c r="G4653" s="1" t="s">
        <v>5018</v>
      </c>
      <c r="H4653" s="1">
        <v>0.1</v>
      </c>
      <c r="I4653" s="1">
        <v>0.1</v>
      </c>
      <c r="J4653" s="1">
        <v>0.54798621644153978</v>
      </c>
      <c r="K4653" s="1" t="s">
        <v>181</v>
      </c>
    </row>
    <row r="4654" spans="1:11" x14ac:dyDescent="0.25">
      <c r="A4654" s="1" t="s">
        <v>14567</v>
      </c>
      <c r="B4654" s="1" t="s">
        <v>14568</v>
      </c>
      <c r="D4654" s="1" t="s">
        <v>14569</v>
      </c>
      <c r="E4654" s="1" t="s">
        <v>209</v>
      </c>
      <c r="F4654" s="1" t="s">
        <v>5017</v>
      </c>
      <c r="G4654" s="1" t="s">
        <v>5018</v>
      </c>
      <c r="H4654" s="1">
        <v>0.1</v>
      </c>
      <c r="I4654" s="1">
        <v>0.1</v>
      </c>
      <c r="J4654" s="1">
        <v>0.68100919911964497</v>
      </c>
      <c r="K4654" s="1" t="s">
        <v>181</v>
      </c>
    </row>
    <row r="4655" spans="1:11" x14ac:dyDescent="0.25">
      <c r="A4655" s="1" t="s">
        <v>14570</v>
      </c>
      <c r="B4655" s="1" t="s">
        <v>14571</v>
      </c>
      <c r="D4655" s="1" t="s">
        <v>14572</v>
      </c>
      <c r="E4655" s="1" t="s">
        <v>209</v>
      </c>
      <c r="F4655" s="1" t="s">
        <v>5017</v>
      </c>
      <c r="G4655" s="1" t="s">
        <v>5018</v>
      </c>
      <c r="H4655" s="1">
        <v>0.1</v>
      </c>
      <c r="I4655" s="1">
        <v>0.1</v>
      </c>
      <c r="J4655" s="1">
        <v>0.59546044789797536</v>
      </c>
      <c r="K4655" s="1" t="s">
        <v>181</v>
      </c>
    </row>
    <row r="4656" spans="1:11" x14ac:dyDescent="0.25">
      <c r="A4656" s="1" t="s">
        <v>14573</v>
      </c>
      <c r="B4656" s="1" t="s">
        <v>14574</v>
      </c>
      <c r="D4656" s="1" t="s">
        <v>14575</v>
      </c>
      <c r="E4656" s="1" t="s">
        <v>209</v>
      </c>
      <c r="F4656" s="1" t="s">
        <v>5017</v>
      </c>
      <c r="G4656" s="1" t="s">
        <v>5018</v>
      </c>
      <c r="H4656" s="1">
        <v>0.1</v>
      </c>
      <c r="I4656" s="1">
        <v>0.1</v>
      </c>
      <c r="J4656" s="1">
        <v>0.47128583785304912</v>
      </c>
      <c r="K4656" s="1" t="s">
        <v>181</v>
      </c>
    </row>
    <row r="4657" spans="1:11" x14ac:dyDescent="0.25">
      <c r="A4657" s="1" t="s">
        <v>14576</v>
      </c>
      <c r="B4657" s="1" t="s">
        <v>14577</v>
      </c>
      <c r="D4657" s="1" t="s">
        <v>14578</v>
      </c>
      <c r="E4657" s="1" t="s">
        <v>209</v>
      </c>
      <c r="F4657" s="1" t="s">
        <v>5017</v>
      </c>
      <c r="G4657" s="1" t="s">
        <v>5018</v>
      </c>
      <c r="H4657" s="1">
        <v>0.1</v>
      </c>
      <c r="I4657" s="1">
        <v>0.1</v>
      </c>
      <c r="J4657" s="1">
        <v>0.83800604556312297</v>
      </c>
      <c r="K4657" s="1" t="s">
        <v>181</v>
      </c>
    </row>
    <row r="4658" spans="1:11" x14ac:dyDescent="0.25">
      <c r="A4658" s="1" t="s">
        <v>14579</v>
      </c>
      <c r="B4658" s="1" t="s">
        <v>14580</v>
      </c>
      <c r="D4658" s="1" t="s">
        <v>14581</v>
      </c>
      <c r="E4658" s="1" t="s">
        <v>209</v>
      </c>
      <c r="F4658" s="1" t="s">
        <v>5017</v>
      </c>
      <c r="G4658" s="1" t="s">
        <v>5018</v>
      </c>
      <c r="H4658" s="1">
        <v>0.1</v>
      </c>
      <c r="I4658" s="1">
        <v>0.1</v>
      </c>
      <c r="J4658" s="1">
        <v>0.50306675506818688</v>
      </c>
      <c r="K4658" s="1" t="s">
        <v>181</v>
      </c>
    </row>
    <row r="4659" spans="1:11" x14ac:dyDescent="0.25">
      <c r="A4659" s="1" t="s">
        <v>14582</v>
      </c>
      <c r="B4659" s="1" t="s">
        <v>14583</v>
      </c>
      <c r="D4659" s="1" t="s">
        <v>14584</v>
      </c>
      <c r="E4659" s="1" t="s">
        <v>209</v>
      </c>
      <c r="F4659" s="1" t="s">
        <v>5017</v>
      </c>
      <c r="G4659" s="1" t="s">
        <v>5018</v>
      </c>
      <c r="H4659" s="1">
        <v>0.1</v>
      </c>
      <c r="I4659" s="1">
        <v>0.1</v>
      </c>
      <c r="J4659" s="1">
        <v>0.60423024097911127</v>
      </c>
      <c r="K4659" s="1" t="s">
        <v>181</v>
      </c>
    </row>
    <row r="4660" spans="1:11" x14ac:dyDescent="0.25">
      <c r="A4660" s="1" t="s">
        <v>14585</v>
      </c>
      <c r="B4660" s="1" t="s">
        <v>14586</v>
      </c>
      <c r="D4660" s="1" t="s">
        <v>14587</v>
      </c>
      <c r="E4660" s="1" t="s">
        <v>209</v>
      </c>
      <c r="F4660" s="1" t="s">
        <v>5017</v>
      </c>
      <c r="G4660" s="1" t="s">
        <v>5018</v>
      </c>
      <c r="H4660" s="1">
        <v>0.1</v>
      </c>
      <c r="I4660" s="1">
        <v>0.1</v>
      </c>
      <c r="J4660" s="1">
        <v>0.86940895058007617</v>
      </c>
      <c r="K4660" s="1" t="s">
        <v>181</v>
      </c>
    </row>
    <row r="4661" spans="1:11" x14ac:dyDescent="0.25">
      <c r="A4661" s="1" t="s">
        <v>14588</v>
      </c>
      <c r="B4661" s="1" t="s">
        <v>14589</v>
      </c>
      <c r="D4661" s="1" t="s">
        <v>14590</v>
      </c>
      <c r="E4661" s="1" t="s">
        <v>209</v>
      </c>
      <c r="F4661" s="1" t="s">
        <v>5017</v>
      </c>
      <c r="G4661" s="1" t="s">
        <v>5018</v>
      </c>
      <c r="H4661" s="1">
        <v>0.1</v>
      </c>
      <c r="I4661" s="1">
        <v>0.1</v>
      </c>
      <c r="J4661" s="1">
        <v>0.81605946465631163</v>
      </c>
      <c r="K4661" s="1" t="s">
        <v>181</v>
      </c>
    </row>
    <row r="4662" spans="1:11" x14ac:dyDescent="0.25">
      <c r="A4662" s="1" t="s">
        <v>14591</v>
      </c>
      <c r="B4662" s="1" t="s">
        <v>14592</v>
      </c>
      <c r="D4662" s="1" t="s">
        <v>14593</v>
      </c>
      <c r="E4662" s="1" t="s">
        <v>209</v>
      </c>
      <c r="F4662" s="1" t="s">
        <v>5017</v>
      </c>
      <c r="G4662" s="1" t="s">
        <v>5018</v>
      </c>
      <c r="H4662" s="1">
        <v>0.1</v>
      </c>
      <c r="I4662" s="1">
        <v>0.1</v>
      </c>
      <c r="J4662" s="1">
        <v>1.0131511249824416</v>
      </c>
      <c r="K4662" s="1" t="s">
        <v>181</v>
      </c>
    </row>
    <row r="4663" spans="1:11" x14ac:dyDescent="0.25">
      <c r="A4663" s="1" t="s">
        <v>14594</v>
      </c>
      <c r="B4663" s="1" t="s">
        <v>14595</v>
      </c>
      <c r="D4663" s="1" t="s">
        <v>14596</v>
      </c>
      <c r="E4663" s="1" t="s">
        <v>209</v>
      </c>
      <c r="F4663" s="1" t="s">
        <v>5017</v>
      </c>
      <c r="G4663" s="1" t="s">
        <v>5018</v>
      </c>
      <c r="H4663" s="1">
        <v>0.1</v>
      </c>
      <c r="I4663" s="1">
        <v>0.1</v>
      </c>
      <c r="J4663" s="1">
        <v>0.62239109245611191</v>
      </c>
      <c r="K4663" s="1" t="s">
        <v>181</v>
      </c>
    </row>
    <row r="4664" spans="1:11" x14ac:dyDescent="0.25">
      <c r="A4664" s="1" t="s">
        <v>14597</v>
      </c>
      <c r="B4664" s="1" t="s">
        <v>14598</v>
      </c>
      <c r="D4664" s="1" t="s">
        <v>14599</v>
      </c>
      <c r="E4664" s="1" t="s">
        <v>209</v>
      </c>
      <c r="F4664" s="1" t="s">
        <v>5017</v>
      </c>
      <c r="G4664" s="1" t="s">
        <v>5018</v>
      </c>
      <c r="H4664" s="1">
        <v>0.1</v>
      </c>
      <c r="I4664" s="1">
        <v>0.1</v>
      </c>
      <c r="J4664" s="1">
        <v>0.69249409853450572</v>
      </c>
      <c r="K4664" s="1" t="s">
        <v>181</v>
      </c>
    </row>
    <row r="4665" spans="1:11" x14ac:dyDescent="0.25">
      <c r="A4665" s="1" t="s">
        <v>14600</v>
      </c>
      <c r="B4665" s="1" t="s">
        <v>14601</v>
      </c>
      <c r="D4665" s="1" t="s">
        <v>14602</v>
      </c>
      <c r="E4665" s="1" t="s">
        <v>209</v>
      </c>
      <c r="F4665" s="1" t="s">
        <v>5017</v>
      </c>
      <c r="G4665" s="1" t="s">
        <v>5018</v>
      </c>
      <c r="H4665" s="1">
        <v>0.1</v>
      </c>
      <c r="I4665" s="1">
        <v>0.1</v>
      </c>
      <c r="J4665" s="1">
        <v>0.71129776994207483</v>
      </c>
      <c r="K4665" s="1" t="s">
        <v>181</v>
      </c>
    </row>
    <row r="4666" spans="1:11" x14ac:dyDescent="0.25">
      <c r="A4666" s="1" t="s">
        <v>14603</v>
      </c>
      <c r="B4666" s="1" t="s">
        <v>14604</v>
      </c>
      <c r="D4666" s="1" t="s">
        <v>14605</v>
      </c>
      <c r="E4666" s="1" t="s">
        <v>209</v>
      </c>
      <c r="F4666" s="1" t="s">
        <v>5017</v>
      </c>
      <c r="G4666" s="1" t="s">
        <v>5018</v>
      </c>
      <c r="H4666" s="1">
        <v>0.1</v>
      </c>
      <c r="I4666" s="1">
        <v>0.1</v>
      </c>
      <c r="J4666" s="1">
        <v>0.82495928566728371</v>
      </c>
      <c r="K4666" s="1" t="s">
        <v>181</v>
      </c>
    </row>
    <row r="4667" spans="1:11" x14ac:dyDescent="0.25">
      <c r="A4667" s="1" t="s">
        <v>14606</v>
      </c>
      <c r="B4667" s="1" t="s">
        <v>14607</v>
      </c>
      <c r="D4667" s="1" t="s">
        <v>14608</v>
      </c>
      <c r="E4667" s="1" t="s">
        <v>209</v>
      </c>
      <c r="F4667" s="1" t="s">
        <v>5017</v>
      </c>
      <c r="G4667" s="1" t="s">
        <v>5018</v>
      </c>
      <c r="H4667" s="1">
        <v>0.1</v>
      </c>
      <c r="I4667" s="1">
        <v>0.1</v>
      </c>
      <c r="J4667" s="1">
        <v>0.78751342507107791</v>
      </c>
      <c r="K4667" s="1" t="s">
        <v>181</v>
      </c>
    </row>
    <row r="4668" spans="1:11" x14ac:dyDescent="0.25">
      <c r="A4668" s="1" t="s">
        <v>14609</v>
      </c>
      <c r="B4668" s="1" t="s">
        <v>14610</v>
      </c>
      <c r="D4668" s="1" t="s">
        <v>14611</v>
      </c>
      <c r="E4668" s="1" t="s">
        <v>209</v>
      </c>
      <c r="F4668" s="1" t="s">
        <v>5017</v>
      </c>
      <c r="G4668" s="1" t="s">
        <v>5018</v>
      </c>
      <c r="H4668" s="1">
        <v>0.1</v>
      </c>
      <c r="I4668" s="1">
        <v>0.1</v>
      </c>
      <c r="J4668" s="1">
        <v>0.65431779074485652</v>
      </c>
      <c r="K4668" s="1" t="s">
        <v>181</v>
      </c>
    </row>
    <row r="4669" spans="1:11" x14ac:dyDescent="0.25">
      <c r="A4669" s="1" t="s">
        <v>14612</v>
      </c>
      <c r="B4669" s="1" t="s">
        <v>14613</v>
      </c>
      <c r="D4669" s="1" t="s">
        <v>14614</v>
      </c>
      <c r="E4669" s="1" t="s">
        <v>209</v>
      </c>
      <c r="F4669" s="1" t="s">
        <v>5017</v>
      </c>
      <c r="G4669" s="1" t="s">
        <v>5018</v>
      </c>
      <c r="H4669" s="1">
        <v>0.1</v>
      </c>
      <c r="I4669" s="1">
        <v>0.1</v>
      </c>
      <c r="J4669" s="1">
        <v>0.87918472404106607</v>
      </c>
      <c r="K4669" s="1" t="s">
        <v>181</v>
      </c>
    </row>
    <row r="4670" spans="1:11" x14ac:dyDescent="0.25">
      <c r="A4670" s="1" t="s">
        <v>14615</v>
      </c>
      <c r="B4670" s="1" t="s">
        <v>14616</v>
      </c>
      <c r="D4670" s="1" t="s">
        <v>14617</v>
      </c>
      <c r="E4670" s="1" t="s">
        <v>209</v>
      </c>
      <c r="F4670" s="1" t="s">
        <v>5017</v>
      </c>
      <c r="G4670" s="1" t="s">
        <v>5018</v>
      </c>
      <c r="H4670" s="1">
        <v>0.1</v>
      </c>
      <c r="I4670" s="1">
        <v>0.1</v>
      </c>
      <c r="J4670" s="1">
        <v>0.68863891837099556</v>
      </c>
      <c r="K4670" s="1" t="s">
        <v>181</v>
      </c>
    </row>
    <row r="4671" spans="1:11" x14ac:dyDescent="0.25">
      <c r="A4671" s="1" t="s">
        <v>14618</v>
      </c>
      <c r="B4671" s="1" t="s">
        <v>14619</v>
      </c>
      <c r="D4671" s="1" t="s">
        <v>14620</v>
      </c>
      <c r="E4671" s="1" t="s">
        <v>209</v>
      </c>
      <c r="F4671" s="1" t="s">
        <v>5017</v>
      </c>
      <c r="G4671" s="1" t="s">
        <v>5018</v>
      </c>
      <c r="H4671" s="1">
        <v>0.1</v>
      </c>
      <c r="I4671" s="1">
        <v>0.1</v>
      </c>
      <c r="J4671" s="1">
        <v>0.47830656858303322</v>
      </c>
      <c r="K4671" s="1" t="s">
        <v>181</v>
      </c>
    </row>
    <row r="4672" spans="1:11" x14ac:dyDescent="0.25">
      <c r="A4672" s="1" t="s">
        <v>14621</v>
      </c>
      <c r="B4672" s="1" t="s">
        <v>14622</v>
      </c>
      <c r="D4672" s="1" t="s">
        <v>14623</v>
      </c>
      <c r="E4672" s="1" t="s">
        <v>209</v>
      </c>
      <c r="F4672" s="1" t="s">
        <v>5017</v>
      </c>
      <c r="G4672" s="1" t="s">
        <v>5018</v>
      </c>
      <c r="H4672" s="1">
        <v>0.1</v>
      </c>
      <c r="I4672" s="1">
        <v>0.1</v>
      </c>
      <c r="J4672" s="1">
        <v>0.85727039787610793</v>
      </c>
      <c r="K4672" s="1" t="s">
        <v>181</v>
      </c>
    </row>
    <row r="4673" spans="1:11" x14ac:dyDescent="0.25">
      <c r="A4673" s="1" t="s">
        <v>14624</v>
      </c>
      <c r="B4673" s="1" t="s">
        <v>14625</v>
      </c>
      <c r="D4673" s="1" t="s">
        <v>14626</v>
      </c>
      <c r="E4673" s="1" t="s">
        <v>209</v>
      </c>
      <c r="F4673" s="1" t="s">
        <v>5017</v>
      </c>
      <c r="G4673" s="1" t="s">
        <v>5018</v>
      </c>
      <c r="H4673" s="1">
        <v>0.1</v>
      </c>
      <c r="I4673" s="1">
        <v>0.1</v>
      </c>
      <c r="J4673" s="1">
        <v>0.61293802415643828</v>
      </c>
      <c r="K4673" s="1" t="s">
        <v>181</v>
      </c>
    </row>
    <row r="4674" spans="1:11" x14ac:dyDescent="0.25">
      <c r="A4674" s="1" t="s">
        <v>14627</v>
      </c>
      <c r="B4674" s="1" t="s">
        <v>14628</v>
      </c>
      <c r="D4674" s="1" t="s">
        <v>14629</v>
      </c>
      <c r="E4674" s="1" t="s">
        <v>209</v>
      </c>
      <c r="F4674" s="1" t="s">
        <v>5017</v>
      </c>
      <c r="G4674" s="1" t="s">
        <v>5018</v>
      </c>
      <c r="H4674" s="1">
        <v>0.1</v>
      </c>
      <c r="I4674" s="1">
        <v>0.1</v>
      </c>
      <c r="J4674" s="1">
        <v>0.71011785604775635</v>
      </c>
      <c r="K4674" s="1" t="s">
        <v>181</v>
      </c>
    </row>
    <row r="4675" spans="1:11" x14ac:dyDescent="0.25">
      <c r="A4675" s="1" t="s">
        <v>14630</v>
      </c>
      <c r="B4675" s="1" t="s">
        <v>14631</v>
      </c>
      <c r="D4675" s="1" t="s">
        <v>14632</v>
      </c>
      <c r="E4675" s="1" t="s">
        <v>209</v>
      </c>
      <c r="F4675" s="1" t="s">
        <v>5017</v>
      </c>
      <c r="G4675" s="1" t="s">
        <v>5018</v>
      </c>
      <c r="H4675" s="1">
        <v>0.1</v>
      </c>
      <c r="I4675" s="1">
        <v>0.1</v>
      </c>
      <c r="J4675" s="1">
        <v>1.0801743630968292</v>
      </c>
      <c r="K4675" s="1" t="s">
        <v>181</v>
      </c>
    </row>
    <row r="4676" spans="1:11" x14ac:dyDescent="0.25">
      <c r="A4676" s="1" t="s">
        <v>14633</v>
      </c>
      <c r="B4676" s="1" t="s">
        <v>14634</v>
      </c>
      <c r="D4676" s="1" t="s">
        <v>14635</v>
      </c>
      <c r="E4676" s="1" t="s">
        <v>209</v>
      </c>
      <c r="F4676" s="1" t="s">
        <v>5017</v>
      </c>
      <c r="G4676" s="1" t="s">
        <v>5018</v>
      </c>
      <c r="H4676" s="1">
        <v>0.1</v>
      </c>
      <c r="I4676" s="1">
        <v>0.1</v>
      </c>
      <c r="J4676" s="1">
        <v>0.62042504493257988</v>
      </c>
      <c r="K4676" s="1" t="s">
        <v>181</v>
      </c>
    </row>
    <row r="4677" spans="1:11" x14ac:dyDescent="0.25">
      <c r="A4677" s="1" t="s">
        <v>52</v>
      </c>
      <c r="B4677" s="1" t="s">
        <v>14636</v>
      </c>
      <c r="D4677" s="1" t="s">
        <v>14637</v>
      </c>
      <c r="E4677" s="1" t="s">
        <v>209</v>
      </c>
      <c r="F4677" s="1" t="s">
        <v>5017</v>
      </c>
      <c r="G4677" s="1" t="s">
        <v>5018</v>
      </c>
      <c r="H4677" s="1">
        <v>0.1</v>
      </c>
      <c r="I4677" s="1">
        <v>0.1</v>
      </c>
      <c r="J4677" s="1">
        <v>0.7011680891119948</v>
      </c>
      <c r="K4677" s="1" t="s">
        <v>181</v>
      </c>
    </row>
    <row r="4678" spans="1:11" x14ac:dyDescent="0.25">
      <c r="A4678" s="1" t="s">
        <v>14638</v>
      </c>
      <c r="B4678" s="1" t="s">
        <v>14639</v>
      </c>
      <c r="D4678" s="1" t="s">
        <v>14640</v>
      </c>
      <c r="E4678" s="1" t="s">
        <v>209</v>
      </c>
      <c r="F4678" s="1" t="s">
        <v>5017</v>
      </c>
      <c r="G4678" s="1" t="s">
        <v>5018</v>
      </c>
      <c r="H4678" s="1">
        <v>0.1</v>
      </c>
      <c r="I4678" s="1">
        <v>0.1</v>
      </c>
      <c r="J4678" s="1">
        <v>0.65869422499151764</v>
      </c>
      <c r="K4678" s="1" t="s">
        <v>181</v>
      </c>
    </row>
    <row r="4679" spans="1:11" x14ac:dyDescent="0.25">
      <c r="A4679" s="1" t="s">
        <v>14641</v>
      </c>
      <c r="B4679" s="1" t="s">
        <v>14642</v>
      </c>
      <c r="D4679" s="1" t="s">
        <v>14643</v>
      </c>
      <c r="E4679" s="1" t="s">
        <v>209</v>
      </c>
      <c r="F4679" s="1" t="s">
        <v>5017</v>
      </c>
      <c r="G4679" s="1" t="s">
        <v>5018</v>
      </c>
      <c r="H4679" s="1">
        <v>0.1</v>
      </c>
      <c r="I4679" s="1">
        <v>0.1</v>
      </c>
      <c r="J4679" s="1">
        <v>0.60825895084076798</v>
      </c>
      <c r="K4679" s="1" t="s">
        <v>181</v>
      </c>
    </row>
    <row r="4680" spans="1:11" x14ac:dyDescent="0.25">
      <c r="A4680" s="1" t="s">
        <v>14644</v>
      </c>
      <c r="B4680" s="1" t="s">
        <v>14645</v>
      </c>
      <c r="D4680" s="1" t="s">
        <v>14646</v>
      </c>
      <c r="E4680" s="1" t="s">
        <v>209</v>
      </c>
      <c r="F4680" s="1" t="s">
        <v>5017</v>
      </c>
      <c r="G4680" s="1" t="s">
        <v>5018</v>
      </c>
      <c r="H4680" s="1">
        <v>0.1</v>
      </c>
      <c r="I4680" s="1">
        <v>0.1</v>
      </c>
      <c r="J4680" s="1">
        <v>0.62114009141416515</v>
      </c>
      <c r="K4680" s="1" t="s">
        <v>181</v>
      </c>
    </row>
    <row r="4681" spans="1:11" x14ac:dyDescent="0.25">
      <c r="A4681" s="1" t="s">
        <v>14647</v>
      </c>
      <c r="B4681" s="1" t="s">
        <v>14648</v>
      </c>
      <c r="D4681" s="1" t="s">
        <v>14649</v>
      </c>
      <c r="E4681" s="1" t="s">
        <v>209</v>
      </c>
      <c r="F4681" s="1" t="s">
        <v>5017</v>
      </c>
      <c r="G4681" s="1" t="s">
        <v>5018</v>
      </c>
      <c r="H4681" s="1">
        <v>0.1</v>
      </c>
      <c r="I4681" s="1">
        <v>0.1</v>
      </c>
      <c r="J4681" s="1">
        <v>0.66097601208477796</v>
      </c>
      <c r="K4681" s="1" t="s">
        <v>181</v>
      </c>
    </row>
    <row r="4682" spans="1:11" x14ac:dyDescent="0.25">
      <c r="A4682" s="1" t="s">
        <v>14650</v>
      </c>
      <c r="B4682" s="1" t="s">
        <v>14651</v>
      </c>
      <c r="D4682" s="1" t="s">
        <v>14652</v>
      </c>
      <c r="E4682" s="1" t="s">
        <v>209</v>
      </c>
      <c r="F4682" s="1" t="s">
        <v>5017</v>
      </c>
      <c r="G4682" s="1" t="s">
        <v>5018</v>
      </c>
      <c r="H4682" s="1">
        <v>0.1</v>
      </c>
      <c r="I4682" s="1">
        <v>0.1</v>
      </c>
      <c r="J4682" s="1">
        <v>0.76776343711845874</v>
      </c>
      <c r="K4682" s="1" t="s">
        <v>181</v>
      </c>
    </row>
    <row r="4683" spans="1:11" x14ac:dyDescent="0.25">
      <c r="A4683" s="1" t="s">
        <v>14653</v>
      </c>
      <c r="B4683" s="1" t="s">
        <v>14654</v>
      </c>
      <c r="D4683" s="1" t="s">
        <v>14655</v>
      </c>
      <c r="E4683" s="1" t="s">
        <v>209</v>
      </c>
      <c r="F4683" s="1" t="s">
        <v>5017</v>
      </c>
      <c r="G4683" s="1" t="s">
        <v>5018</v>
      </c>
      <c r="H4683" s="1">
        <v>0.1</v>
      </c>
      <c r="I4683" s="1">
        <v>0.1</v>
      </c>
      <c r="J4683" s="1">
        <v>0.7719419754685114</v>
      </c>
      <c r="K4683" s="1" t="s">
        <v>181</v>
      </c>
    </row>
    <row r="4684" spans="1:11" x14ac:dyDescent="0.25">
      <c r="A4684" s="1" t="s">
        <v>14656</v>
      </c>
      <c r="B4684" s="1" t="s">
        <v>14657</v>
      </c>
      <c r="D4684" s="1" t="s">
        <v>14658</v>
      </c>
      <c r="E4684" s="1" t="s">
        <v>209</v>
      </c>
      <c r="F4684" s="1" t="s">
        <v>5017</v>
      </c>
      <c r="G4684" s="1" t="s">
        <v>5018</v>
      </c>
      <c r="H4684" s="1">
        <v>0.1</v>
      </c>
      <c r="I4684" s="1">
        <v>0.1</v>
      </c>
      <c r="J4684" s="1">
        <v>0.60758864430371062</v>
      </c>
      <c r="K4684" s="1" t="s">
        <v>181</v>
      </c>
    </row>
    <row r="4685" spans="1:11" x14ac:dyDescent="0.25">
      <c r="A4685" s="1" t="s">
        <v>14659</v>
      </c>
      <c r="B4685" s="1" t="s">
        <v>14660</v>
      </c>
      <c r="D4685" s="1" t="s">
        <v>14661</v>
      </c>
      <c r="E4685" s="1" t="s">
        <v>209</v>
      </c>
      <c r="F4685" s="1" t="s">
        <v>5017</v>
      </c>
      <c r="G4685" s="1" t="s">
        <v>5018</v>
      </c>
      <c r="H4685" s="1">
        <v>0.1</v>
      </c>
      <c r="I4685" s="1">
        <v>0.1</v>
      </c>
      <c r="J4685" s="1">
        <v>0.57909417766349569</v>
      </c>
      <c r="K4685" s="1" t="s">
        <v>181</v>
      </c>
    </row>
    <row r="4686" spans="1:11" x14ac:dyDescent="0.25">
      <c r="A4686" s="1" t="s">
        <v>14662</v>
      </c>
      <c r="B4686" s="1" t="s">
        <v>14663</v>
      </c>
      <c r="D4686" s="1" t="s">
        <v>14664</v>
      </c>
      <c r="E4686" s="1" t="s">
        <v>209</v>
      </c>
      <c r="F4686" s="1" t="s">
        <v>5017</v>
      </c>
      <c r="G4686" s="1" t="s">
        <v>5018</v>
      </c>
      <c r="H4686" s="1">
        <v>0.1</v>
      </c>
      <c r="I4686" s="1">
        <v>0.1</v>
      </c>
      <c r="J4686" s="1">
        <v>0.52036298286628402</v>
      </c>
      <c r="K4686" s="1" t="s">
        <v>181</v>
      </c>
    </row>
    <row r="4687" spans="1:11" x14ac:dyDescent="0.25">
      <c r="A4687" s="1" t="s">
        <v>14665</v>
      </c>
      <c r="B4687" s="1" t="s">
        <v>14666</v>
      </c>
      <c r="D4687" s="1" t="s">
        <v>14667</v>
      </c>
      <c r="E4687" s="1" t="s">
        <v>209</v>
      </c>
      <c r="F4687" s="1" t="s">
        <v>5017</v>
      </c>
      <c r="G4687" s="1" t="s">
        <v>5018</v>
      </c>
      <c r="H4687" s="1">
        <v>0.1</v>
      </c>
      <c r="I4687" s="1">
        <v>0.1</v>
      </c>
      <c r="J4687" s="1">
        <v>0.68571364870406548</v>
      </c>
      <c r="K4687" s="1" t="s">
        <v>181</v>
      </c>
    </row>
    <row r="4688" spans="1:11" x14ac:dyDescent="0.25">
      <c r="A4688" s="1" t="s">
        <v>14668</v>
      </c>
      <c r="B4688" s="1" t="s">
        <v>14669</v>
      </c>
      <c r="D4688" s="1" t="s">
        <v>14670</v>
      </c>
      <c r="E4688" s="1" t="s">
        <v>209</v>
      </c>
      <c r="F4688" s="1" t="s">
        <v>5017</v>
      </c>
      <c r="G4688" s="1" t="s">
        <v>5018</v>
      </c>
      <c r="H4688" s="1">
        <v>0.1</v>
      </c>
      <c r="I4688" s="1">
        <v>0.1</v>
      </c>
      <c r="J4688" s="1">
        <v>0.74162136249539312</v>
      </c>
      <c r="K4688" s="1" t="s">
        <v>181</v>
      </c>
    </row>
    <row r="4689" spans="1:11" x14ac:dyDescent="0.25">
      <c r="A4689" s="1" t="s">
        <v>14671</v>
      </c>
      <c r="B4689" s="1" t="s">
        <v>14672</v>
      </c>
      <c r="D4689" s="1" t="s">
        <v>14673</v>
      </c>
      <c r="E4689" s="1" t="s">
        <v>209</v>
      </c>
      <c r="F4689" s="1" t="s">
        <v>5017</v>
      </c>
      <c r="G4689" s="1" t="s">
        <v>5018</v>
      </c>
      <c r="H4689" s="1">
        <v>0.1</v>
      </c>
      <c r="I4689" s="1">
        <v>0.1</v>
      </c>
      <c r="J4689" s="1">
        <v>0.85996740929697535</v>
      </c>
      <c r="K4689" s="1" t="s">
        <v>181</v>
      </c>
    </row>
    <row r="4690" spans="1:11" x14ac:dyDescent="0.25">
      <c r="A4690" s="1" t="s">
        <v>14674</v>
      </c>
      <c r="B4690" s="1" t="s">
        <v>14675</v>
      </c>
      <c r="D4690" s="1" t="s">
        <v>14676</v>
      </c>
      <c r="E4690" s="1" t="s">
        <v>209</v>
      </c>
      <c r="F4690" s="1" t="s">
        <v>5017</v>
      </c>
      <c r="G4690" s="1" t="s">
        <v>5018</v>
      </c>
      <c r="H4690" s="1">
        <v>0.1</v>
      </c>
      <c r="I4690" s="1">
        <v>0.1</v>
      </c>
      <c r="J4690" s="1">
        <v>0.60341176967826027</v>
      </c>
      <c r="K4690" s="1" t="s">
        <v>181</v>
      </c>
    </row>
    <row r="4691" spans="1:11" x14ac:dyDescent="0.25">
      <c r="A4691" s="1" t="s">
        <v>14677</v>
      </c>
      <c r="B4691" s="1" t="s">
        <v>14678</v>
      </c>
      <c r="D4691" s="1" t="s">
        <v>14679</v>
      </c>
      <c r="E4691" s="1" t="s">
        <v>209</v>
      </c>
      <c r="F4691" s="1" t="s">
        <v>5017</v>
      </c>
      <c r="G4691" s="1" t="s">
        <v>5018</v>
      </c>
      <c r="H4691" s="1">
        <v>0.1</v>
      </c>
      <c r="I4691" s="1">
        <v>0.1</v>
      </c>
      <c r="J4691" s="1">
        <v>0.55481478396404138</v>
      </c>
      <c r="K4691" s="1" t="s">
        <v>181</v>
      </c>
    </row>
    <row r="4692" spans="1:11" x14ac:dyDescent="0.25">
      <c r="A4692" s="1" t="s">
        <v>14680</v>
      </c>
      <c r="B4692" s="1" t="s">
        <v>14681</v>
      </c>
      <c r="D4692" s="1" t="s">
        <v>14682</v>
      </c>
      <c r="E4692" s="1" t="s">
        <v>209</v>
      </c>
      <c r="F4692" s="1" t="s">
        <v>5017</v>
      </c>
      <c r="G4692" s="1" t="s">
        <v>5018</v>
      </c>
      <c r="H4692" s="1">
        <v>0.1</v>
      </c>
      <c r="I4692" s="1">
        <v>0.1</v>
      </c>
      <c r="J4692" s="1">
        <v>0.65151852225775575</v>
      </c>
      <c r="K4692" s="1" t="s">
        <v>181</v>
      </c>
    </row>
    <row r="4693" spans="1:11" x14ac:dyDescent="0.25">
      <c r="A4693" s="1" t="s">
        <v>14683</v>
      </c>
      <c r="B4693" s="1" t="s">
        <v>14684</v>
      </c>
      <c r="D4693" s="1" t="s">
        <v>14685</v>
      </c>
      <c r="E4693" s="1" t="s">
        <v>209</v>
      </c>
      <c r="F4693" s="1" t="s">
        <v>5017</v>
      </c>
      <c r="G4693" s="1" t="s">
        <v>5018</v>
      </c>
      <c r="H4693" s="1">
        <v>0.1</v>
      </c>
      <c r="I4693" s="1">
        <v>0.1</v>
      </c>
      <c r="J4693" s="1">
        <v>0.64635996878706237</v>
      </c>
      <c r="K4693" s="1" t="s">
        <v>181</v>
      </c>
    </row>
    <row r="4694" spans="1:11" x14ac:dyDescent="0.25">
      <c r="A4694" s="1" t="s">
        <v>14686</v>
      </c>
      <c r="B4694" s="1" t="s">
        <v>14687</v>
      </c>
      <c r="D4694" s="1" t="s">
        <v>14688</v>
      </c>
      <c r="E4694" s="1" t="s">
        <v>209</v>
      </c>
      <c r="F4694" s="1" t="s">
        <v>5017</v>
      </c>
      <c r="G4694" s="1" t="s">
        <v>5018</v>
      </c>
      <c r="H4694" s="1">
        <v>0.1</v>
      </c>
      <c r="I4694" s="1">
        <v>0.1</v>
      </c>
      <c r="J4694" s="1">
        <v>0.77928986660768196</v>
      </c>
      <c r="K4694" s="1" t="s">
        <v>181</v>
      </c>
    </row>
    <row r="4695" spans="1:11" x14ac:dyDescent="0.25">
      <c r="A4695" s="1" t="s">
        <v>14689</v>
      </c>
      <c r="B4695" s="1" t="s">
        <v>14690</v>
      </c>
      <c r="D4695" s="1" t="s">
        <v>14691</v>
      </c>
      <c r="E4695" s="1" t="s">
        <v>209</v>
      </c>
      <c r="F4695" s="1" t="s">
        <v>5017</v>
      </c>
      <c r="G4695" s="1" t="s">
        <v>5018</v>
      </c>
      <c r="H4695" s="1">
        <v>0.1</v>
      </c>
      <c r="I4695" s="1">
        <v>0.1</v>
      </c>
      <c r="J4695" s="1">
        <v>0.55772045483490484</v>
      </c>
      <c r="K4695" s="1" t="s">
        <v>181</v>
      </c>
    </row>
    <row r="4696" spans="1:11" x14ac:dyDescent="0.25">
      <c r="A4696" s="1" t="s">
        <v>14692</v>
      </c>
      <c r="B4696" s="1" t="s">
        <v>14693</v>
      </c>
      <c r="D4696" s="1" t="s">
        <v>14694</v>
      </c>
      <c r="E4696" s="1" t="s">
        <v>209</v>
      </c>
      <c r="F4696" s="1" t="s">
        <v>5017</v>
      </c>
      <c r="G4696" s="1" t="s">
        <v>5018</v>
      </c>
      <c r="H4696" s="1">
        <v>0.1</v>
      </c>
      <c r="I4696" s="1">
        <v>0.1</v>
      </c>
      <c r="J4696" s="1">
        <v>0.56924685959665255</v>
      </c>
      <c r="K4696" s="1" t="s">
        <v>181</v>
      </c>
    </row>
    <row r="4697" spans="1:11" x14ac:dyDescent="0.25">
      <c r="A4697" s="1" t="s">
        <v>14695</v>
      </c>
      <c r="B4697" s="1" t="s">
        <v>14696</v>
      </c>
      <c r="D4697" s="1" t="s">
        <v>14697</v>
      </c>
      <c r="E4697" s="1" t="s">
        <v>209</v>
      </c>
      <c r="F4697" s="1" t="s">
        <v>5017</v>
      </c>
      <c r="G4697" s="1" t="s">
        <v>5018</v>
      </c>
      <c r="H4697" s="1">
        <v>0.1</v>
      </c>
      <c r="I4697" s="1">
        <v>0.1</v>
      </c>
      <c r="J4697" s="1">
        <v>0.75331036915155758</v>
      </c>
      <c r="K4697" s="1" t="s">
        <v>181</v>
      </c>
    </row>
    <row r="4698" spans="1:11" x14ac:dyDescent="0.25">
      <c r="A4698" s="1" t="s">
        <v>14698</v>
      </c>
      <c r="B4698" s="1" t="s">
        <v>14699</v>
      </c>
      <c r="D4698" s="1" t="s">
        <v>14700</v>
      </c>
      <c r="E4698" s="1" t="s">
        <v>209</v>
      </c>
      <c r="F4698" s="1" t="s">
        <v>5017</v>
      </c>
      <c r="G4698" s="1" t="s">
        <v>5018</v>
      </c>
      <c r="H4698" s="1">
        <v>0.1</v>
      </c>
      <c r="I4698" s="1">
        <v>0.1</v>
      </c>
      <c r="J4698" s="1">
        <v>0.61323807322666279</v>
      </c>
      <c r="K4698" s="1" t="s">
        <v>181</v>
      </c>
    </row>
    <row r="4699" spans="1:11" x14ac:dyDescent="0.25">
      <c r="A4699" s="1" t="s">
        <v>14701</v>
      </c>
      <c r="B4699" s="1" t="s">
        <v>14702</v>
      </c>
      <c r="D4699" s="1" t="s">
        <v>14703</v>
      </c>
      <c r="E4699" s="1" t="s">
        <v>209</v>
      </c>
      <c r="F4699" s="1" t="s">
        <v>5017</v>
      </c>
      <c r="G4699" s="1" t="s">
        <v>5018</v>
      </c>
      <c r="H4699" s="1">
        <v>0.1</v>
      </c>
      <c r="I4699" s="1">
        <v>0.1</v>
      </c>
      <c r="J4699" s="1">
        <v>0.51830303418911927</v>
      </c>
      <c r="K4699" s="1" t="s">
        <v>181</v>
      </c>
    </row>
    <row r="4700" spans="1:11" x14ac:dyDescent="0.25">
      <c r="A4700" s="1" t="s">
        <v>14704</v>
      </c>
      <c r="B4700" s="1" t="s">
        <v>14705</v>
      </c>
      <c r="D4700" s="1" t="s">
        <v>14706</v>
      </c>
      <c r="E4700" s="1" t="s">
        <v>209</v>
      </c>
      <c r="F4700" s="1" t="s">
        <v>5017</v>
      </c>
      <c r="G4700" s="1" t="s">
        <v>5018</v>
      </c>
      <c r="H4700" s="1">
        <v>0.1</v>
      </c>
      <c r="I4700" s="1">
        <v>0.1</v>
      </c>
      <c r="J4700" s="1">
        <v>0.47116906470150915</v>
      </c>
      <c r="K4700" s="1" t="s">
        <v>181</v>
      </c>
    </row>
    <row r="4701" spans="1:11" x14ac:dyDescent="0.25">
      <c r="A4701" s="1" t="s">
        <v>14707</v>
      </c>
      <c r="B4701" s="1" t="s">
        <v>14708</v>
      </c>
      <c r="D4701" s="1" t="s">
        <v>14709</v>
      </c>
      <c r="E4701" s="1" t="s">
        <v>209</v>
      </c>
      <c r="F4701" s="1" t="s">
        <v>5017</v>
      </c>
      <c r="G4701" s="1" t="s">
        <v>5018</v>
      </c>
      <c r="H4701" s="1">
        <v>0.1</v>
      </c>
      <c r="I4701" s="1">
        <v>0.1</v>
      </c>
      <c r="J4701" s="1">
        <v>0.59866004536615669</v>
      </c>
      <c r="K4701" s="1" t="s">
        <v>181</v>
      </c>
    </row>
    <row r="4702" spans="1:11" x14ac:dyDescent="0.25">
      <c r="A4702" s="1" t="s">
        <v>14710</v>
      </c>
      <c r="B4702" s="1" t="s">
        <v>14711</v>
      </c>
      <c r="D4702" s="1" t="s">
        <v>14712</v>
      </c>
      <c r="E4702" s="1" t="s">
        <v>209</v>
      </c>
      <c r="F4702" s="1" t="s">
        <v>5017</v>
      </c>
      <c r="G4702" s="1" t="s">
        <v>5018</v>
      </c>
      <c r="H4702" s="1">
        <v>0.1</v>
      </c>
      <c r="I4702" s="1">
        <v>0.1</v>
      </c>
      <c r="J4702" s="1">
        <v>0.50722342851364</v>
      </c>
      <c r="K4702" s="1" t="s">
        <v>181</v>
      </c>
    </row>
    <row r="4703" spans="1:11" x14ac:dyDescent="0.25">
      <c r="A4703" s="1" t="s">
        <v>14713</v>
      </c>
      <c r="B4703" s="1" t="s">
        <v>14714</v>
      </c>
      <c r="D4703" s="1" t="s">
        <v>14715</v>
      </c>
      <c r="E4703" s="1" t="s">
        <v>209</v>
      </c>
      <c r="F4703" s="1" t="s">
        <v>5017</v>
      </c>
      <c r="G4703" s="1" t="s">
        <v>5018</v>
      </c>
      <c r="H4703" s="1">
        <v>0.1</v>
      </c>
      <c r="I4703" s="1">
        <v>0.1</v>
      </c>
      <c r="J4703" s="1">
        <v>0.69143676394236997</v>
      </c>
      <c r="K4703" s="1" t="s">
        <v>181</v>
      </c>
    </row>
    <row r="4704" spans="1:11" x14ac:dyDescent="0.25">
      <c r="A4704" s="1" t="s">
        <v>14716</v>
      </c>
      <c r="B4704" s="1" t="s">
        <v>14717</v>
      </c>
      <c r="D4704" s="1" t="s">
        <v>14718</v>
      </c>
      <c r="E4704" s="1" t="s">
        <v>209</v>
      </c>
      <c r="F4704" s="1" t="s">
        <v>5017</v>
      </c>
      <c r="G4704" s="1" t="s">
        <v>5018</v>
      </c>
      <c r="H4704" s="1">
        <v>0.1</v>
      </c>
      <c r="I4704" s="1">
        <v>0.1</v>
      </c>
      <c r="J4704" s="1">
        <v>0.55946592523035787</v>
      </c>
      <c r="K4704" s="1" t="s">
        <v>181</v>
      </c>
    </row>
    <row r="4705" spans="1:11" x14ac:dyDescent="0.25">
      <c r="A4705" s="1" t="s">
        <v>14719</v>
      </c>
      <c r="B4705" s="1" t="s">
        <v>14720</v>
      </c>
      <c r="D4705" s="1" t="s">
        <v>14721</v>
      </c>
      <c r="E4705" s="1" t="s">
        <v>209</v>
      </c>
      <c r="F4705" s="1" t="s">
        <v>5017</v>
      </c>
      <c r="G4705" s="1" t="s">
        <v>5018</v>
      </c>
      <c r="H4705" s="1">
        <v>0.1</v>
      </c>
      <c r="I4705" s="1">
        <v>0.1</v>
      </c>
      <c r="J4705" s="1">
        <v>0.50545431801906249</v>
      </c>
      <c r="K4705" s="1" t="s">
        <v>181</v>
      </c>
    </row>
    <row r="4706" spans="1:11" x14ac:dyDescent="0.25">
      <c r="A4706" s="1" t="s">
        <v>14722</v>
      </c>
      <c r="B4706" s="1" t="s">
        <v>14723</v>
      </c>
      <c r="D4706" s="1" t="s">
        <v>14724</v>
      </c>
      <c r="E4706" s="1" t="s">
        <v>209</v>
      </c>
      <c r="F4706" s="1" t="s">
        <v>5017</v>
      </c>
      <c r="G4706" s="1" t="s">
        <v>5018</v>
      </c>
      <c r="H4706" s="1">
        <v>0.1</v>
      </c>
      <c r="I4706" s="1">
        <v>0.1</v>
      </c>
      <c r="J4706" s="1">
        <v>0.79692039228153555</v>
      </c>
      <c r="K4706" s="1" t="s">
        <v>181</v>
      </c>
    </row>
    <row r="4707" spans="1:11" x14ac:dyDescent="0.25">
      <c r="A4707" s="1" t="s">
        <v>14725</v>
      </c>
      <c r="B4707" s="1" t="s">
        <v>14726</v>
      </c>
      <c r="D4707" s="1" t="s">
        <v>14727</v>
      </c>
      <c r="E4707" s="1" t="s">
        <v>209</v>
      </c>
      <c r="F4707" s="1" t="s">
        <v>5017</v>
      </c>
      <c r="G4707" s="1" t="s">
        <v>5018</v>
      </c>
      <c r="H4707" s="1">
        <v>0.1</v>
      </c>
      <c r="I4707" s="1">
        <v>0.1</v>
      </c>
      <c r="J4707" s="1">
        <v>0.82608234953428616</v>
      </c>
      <c r="K4707" s="1" t="s">
        <v>181</v>
      </c>
    </row>
    <row r="4708" spans="1:11" x14ac:dyDescent="0.25">
      <c r="A4708" s="1" t="s">
        <v>14728</v>
      </c>
      <c r="B4708" s="1" t="s">
        <v>14729</v>
      </c>
      <c r="D4708" s="1" t="s">
        <v>14730</v>
      </c>
      <c r="E4708" s="1" t="s">
        <v>209</v>
      </c>
      <c r="F4708" s="1" t="s">
        <v>5017</v>
      </c>
      <c r="G4708" s="1" t="s">
        <v>5018</v>
      </c>
      <c r="H4708" s="1">
        <v>0.1</v>
      </c>
      <c r="I4708" s="1">
        <v>0.1</v>
      </c>
      <c r="J4708" s="1">
        <v>0.60897894554203302</v>
      </c>
      <c r="K4708" s="1" t="s">
        <v>181</v>
      </c>
    </row>
    <row r="4709" spans="1:11" x14ac:dyDescent="0.25">
      <c r="A4709" s="1" t="s">
        <v>14731</v>
      </c>
      <c r="B4709" s="1" t="s">
        <v>14732</v>
      </c>
      <c r="D4709" s="1" t="s">
        <v>14733</v>
      </c>
      <c r="E4709" s="1" t="s">
        <v>209</v>
      </c>
      <c r="F4709" s="1" t="s">
        <v>5017</v>
      </c>
      <c r="G4709" s="1" t="s">
        <v>5018</v>
      </c>
      <c r="H4709" s="1">
        <v>0.1</v>
      </c>
      <c r="I4709" s="1">
        <v>0.1</v>
      </c>
      <c r="J4709" s="1">
        <v>0.58642906918843518</v>
      </c>
      <c r="K4709" s="1" t="s">
        <v>181</v>
      </c>
    </row>
    <row r="4710" spans="1:11" x14ac:dyDescent="0.25">
      <c r="A4710" s="1" t="s">
        <v>14734</v>
      </c>
      <c r="B4710" s="1" t="s">
        <v>14735</v>
      </c>
      <c r="D4710" s="1" t="s">
        <v>14736</v>
      </c>
      <c r="E4710" s="1" t="s">
        <v>209</v>
      </c>
      <c r="F4710" s="1" t="s">
        <v>5017</v>
      </c>
      <c r="G4710" s="1" t="s">
        <v>5018</v>
      </c>
      <c r="H4710" s="1">
        <v>0.1</v>
      </c>
      <c r="I4710" s="1">
        <v>0.1</v>
      </c>
      <c r="J4710" s="1">
        <v>0.48343090482717016</v>
      </c>
      <c r="K4710" s="1" t="s">
        <v>181</v>
      </c>
    </row>
    <row r="4711" spans="1:11" x14ac:dyDescent="0.25">
      <c r="A4711" s="1" t="s">
        <v>14737</v>
      </c>
      <c r="B4711" s="1" t="s">
        <v>14738</v>
      </c>
      <c r="D4711" s="1" t="s">
        <v>14739</v>
      </c>
      <c r="E4711" s="1" t="s">
        <v>209</v>
      </c>
      <c r="F4711" s="1" t="s">
        <v>5017</v>
      </c>
      <c r="G4711" s="1" t="s">
        <v>5018</v>
      </c>
      <c r="H4711" s="1">
        <v>0.1</v>
      </c>
      <c r="I4711" s="1">
        <v>0.1</v>
      </c>
      <c r="J4711" s="1">
        <v>0.46695965097546982</v>
      </c>
      <c r="K4711" s="1" t="s">
        <v>181</v>
      </c>
    </row>
    <row r="4712" spans="1:11" x14ac:dyDescent="0.25">
      <c r="A4712" s="1" t="s">
        <v>14740</v>
      </c>
      <c r="B4712" s="1" t="s">
        <v>14741</v>
      </c>
      <c r="D4712" s="1" t="s">
        <v>14742</v>
      </c>
      <c r="E4712" s="1" t="s">
        <v>209</v>
      </c>
      <c r="F4712" s="1" t="s">
        <v>5017</v>
      </c>
      <c r="G4712" s="1" t="s">
        <v>5018</v>
      </c>
      <c r="H4712" s="1">
        <v>0.1</v>
      </c>
      <c r="I4712" s="1">
        <v>0.1</v>
      </c>
      <c r="J4712" s="1">
        <v>0.49385703225601291</v>
      </c>
      <c r="K4712" s="1" t="s">
        <v>181</v>
      </c>
    </row>
    <row r="4713" spans="1:11" x14ac:dyDescent="0.25">
      <c r="A4713" s="1" t="s">
        <v>14743</v>
      </c>
      <c r="B4713" s="1" t="s">
        <v>14744</v>
      </c>
      <c r="D4713" s="1" t="s">
        <v>14745</v>
      </c>
      <c r="E4713" s="1" t="s">
        <v>209</v>
      </c>
      <c r="F4713" s="1" t="s">
        <v>5017</v>
      </c>
      <c r="G4713" s="1" t="s">
        <v>5018</v>
      </c>
      <c r="H4713" s="1">
        <v>0.1</v>
      </c>
      <c r="I4713" s="1">
        <v>0.1</v>
      </c>
      <c r="J4713" s="1">
        <v>0.54464888706014292</v>
      </c>
      <c r="K4713" s="1" t="s">
        <v>181</v>
      </c>
    </row>
    <row r="4714" spans="1:11" x14ac:dyDescent="0.25">
      <c r="A4714" s="1" t="s">
        <v>14746</v>
      </c>
      <c r="B4714" s="1" t="s">
        <v>14747</v>
      </c>
      <c r="D4714" s="1" t="s">
        <v>14748</v>
      </c>
      <c r="E4714" s="1" t="s">
        <v>209</v>
      </c>
      <c r="F4714" s="1" t="s">
        <v>5017</v>
      </c>
      <c r="G4714" s="1" t="s">
        <v>5018</v>
      </c>
      <c r="H4714" s="1">
        <v>0.1</v>
      </c>
      <c r="I4714" s="1">
        <v>0.1</v>
      </c>
      <c r="J4714" s="1">
        <v>0.54768792718909942</v>
      </c>
      <c r="K4714" s="1" t="s">
        <v>181</v>
      </c>
    </row>
    <row r="4715" spans="1:11" x14ac:dyDescent="0.25">
      <c r="A4715" s="1" t="s">
        <v>14749</v>
      </c>
      <c r="B4715" s="1" t="s">
        <v>14750</v>
      </c>
      <c r="D4715" s="1" t="s">
        <v>14751</v>
      </c>
      <c r="E4715" s="1" t="s">
        <v>209</v>
      </c>
      <c r="F4715" s="1" t="s">
        <v>5017</v>
      </c>
      <c r="G4715" s="1" t="s">
        <v>5018</v>
      </c>
      <c r="H4715" s="1">
        <v>0.1</v>
      </c>
      <c r="I4715" s="1">
        <v>0.1</v>
      </c>
      <c r="J4715" s="1">
        <v>0.79251573745452897</v>
      </c>
      <c r="K4715" s="1" t="s">
        <v>181</v>
      </c>
    </row>
    <row r="4716" spans="1:11" x14ac:dyDescent="0.25">
      <c r="A4716" s="1" t="s">
        <v>14752</v>
      </c>
      <c r="B4716" s="1" t="s">
        <v>14753</v>
      </c>
      <c r="D4716" s="1" t="s">
        <v>14754</v>
      </c>
      <c r="E4716" s="1" t="s">
        <v>209</v>
      </c>
      <c r="F4716" s="1" t="s">
        <v>5017</v>
      </c>
      <c r="G4716" s="1" t="s">
        <v>5018</v>
      </c>
      <c r="H4716" s="1">
        <v>0.1</v>
      </c>
      <c r="I4716" s="1">
        <v>0.1</v>
      </c>
      <c r="J4716" s="1">
        <v>0.87730370415786496</v>
      </c>
      <c r="K4716" s="1" t="s">
        <v>181</v>
      </c>
    </row>
    <row r="4717" spans="1:11" x14ac:dyDescent="0.25">
      <c r="A4717" s="1" t="s">
        <v>14755</v>
      </c>
      <c r="B4717" s="1" t="s">
        <v>14756</v>
      </c>
      <c r="D4717" s="1" t="s">
        <v>14757</v>
      </c>
      <c r="E4717" s="1" t="s">
        <v>209</v>
      </c>
      <c r="F4717" s="1" t="s">
        <v>5017</v>
      </c>
      <c r="G4717" s="1" t="s">
        <v>5018</v>
      </c>
      <c r="H4717" s="1">
        <v>0.1</v>
      </c>
      <c r="I4717" s="1">
        <v>0.1</v>
      </c>
      <c r="J4717" s="1">
        <v>0.66854593557927655</v>
      </c>
      <c r="K4717" s="1" t="s">
        <v>181</v>
      </c>
    </row>
    <row r="4718" spans="1:11" x14ac:dyDescent="0.25">
      <c r="A4718" s="1" t="s">
        <v>14758</v>
      </c>
      <c r="B4718" s="1" t="s">
        <v>14759</v>
      </c>
      <c r="D4718" s="1" t="s">
        <v>14760</v>
      </c>
      <c r="E4718" s="1" t="s">
        <v>209</v>
      </c>
      <c r="F4718" s="1" t="s">
        <v>5017</v>
      </c>
      <c r="G4718" s="1" t="s">
        <v>5018</v>
      </c>
      <c r="H4718" s="1">
        <v>0.1</v>
      </c>
      <c r="I4718" s="1">
        <v>0.1</v>
      </c>
      <c r="J4718" s="1">
        <v>0.63927107378554682</v>
      </c>
      <c r="K4718" s="1" t="s">
        <v>181</v>
      </c>
    </row>
    <row r="4719" spans="1:11" x14ac:dyDescent="0.25">
      <c r="A4719" s="1" t="s">
        <v>14761</v>
      </c>
      <c r="B4719" s="1" t="s">
        <v>14762</v>
      </c>
      <c r="D4719" s="1" t="s">
        <v>14763</v>
      </c>
      <c r="E4719" s="1" t="s">
        <v>209</v>
      </c>
      <c r="F4719" s="1" t="s">
        <v>5017</v>
      </c>
      <c r="G4719" s="1" t="s">
        <v>5018</v>
      </c>
      <c r="H4719" s="1">
        <v>0.1</v>
      </c>
      <c r="I4719" s="1">
        <v>0.1</v>
      </c>
      <c r="J4719" s="1">
        <v>0.715157047841254</v>
      </c>
      <c r="K4719" s="1" t="s">
        <v>181</v>
      </c>
    </row>
    <row r="4720" spans="1:11" x14ac:dyDescent="0.25">
      <c r="A4720" s="1" t="s">
        <v>14764</v>
      </c>
      <c r="B4720" s="1" t="s">
        <v>14765</v>
      </c>
      <c r="D4720" s="1" t="s">
        <v>14766</v>
      </c>
      <c r="E4720" s="1" t="s">
        <v>209</v>
      </c>
      <c r="F4720" s="1" t="s">
        <v>5017</v>
      </c>
      <c r="G4720" s="1" t="s">
        <v>5018</v>
      </c>
      <c r="H4720" s="1">
        <v>0.1</v>
      </c>
      <c r="I4720" s="1">
        <v>0.1</v>
      </c>
      <c r="J4720" s="1">
        <v>0.6766779273131508</v>
      </c>
      <c r="K4720" s="1" t="s">
        <v>181</v>
      </c>
    </row>
    <row r="4721" spans="1:11" x14ac:dyDescent="0.25">
      <c r="A4721" s="1" t="s">
        <v>14767</v>
      </c>
      <c r="B4721" s="1" t="s">
        <v>14768</v>
      </c>
      <c r="D4721" s="1" t="s">
        <v>14769</v>
      </c>
      <c r="E4721" s="1" t="s">
        <v>209</v>
      </c>
      <c r="F4721" s="1" t="s">
        <v>5017</v>
      </c>
      <c r="G4721" s="1" t="s">
        <v>5018</v>
      </c>
      <c r="H4721" s="1">
        <v>0.1</v>
      </c>
      <c r="I4721" s="1">
        <v>0.1</v>
      </c>
      <c r="J4721" s="1">
        <v>0.78659853770326871</v>
      </c>
      <c r="K4721" s="1" t="s">
        <v>181</v>
      </c>
    </row>
    <row r="4722" spans="1:11" x14ac:dyDescent="0.25">
      <c r="A4722" s="1" t="s">
        <v>14770</v>
      </c>
      <c r="B4722" s="1" t="s">
        <v>14771</v>
      </c>
      <c r="D4722" s="1" t="s">
        <v>14772</v>
      </c>
      <c r="E4722" s="1" t="s">
        <v>209</v>
      </c>
      <c r="F4722" s="1" t="s">
        <v>5017</v>
      </c>
      <c r="G4722" s="1" t="s">
        <v>5018</v>
      </c>
      <c r="H4722" s="1">
        <v>0.1</v>
      </c>
      <c r="I4722" s="1">
        <v>0.1</v>
      </c>
      <c r="J4722" s="1">
        <v>0.78090693412793588</v>
      </c>
      <c r="K4722" s="1" t="s">
        <v>181</v>
      </c>
    </row>
    <row r="4723" spans="1:11" x14ac:dyDescent="0.25">
      <c r="A4723" s="1" t="s">
        <v>104</v>
      </c>
      <c r="B4723" s="1" t="s">
        <v>14773</v>
      </c>
      <c r="D4723" s="1" t="s">
        <v>14774</v>
      </c>
      <c r="E4723" s="1" t="s">
        <v>209</v>
      </c>
      <c r="F4723" s="1" t="s">
        <v>5017</v>
      </c>
      <c r="G4723" s="1" t="s">
        <v>5018</v>
      </c>
      <c r="H4723" s="1">
        <v>0.1</v>
      </c>
      <c r="I4723" s="1">
        <v>0.1</v>
      </c>
      <c r="J4723" s="1">
        <v>0.69839121166716656</v>
      </c>
      <c r="K4723" s="1" t="s">
        <v>181</v>
      </c>
    </row>
    <row r="4724" spans="1:11" x14ac:dyDescent="0.25">
      <c r="A4724" s="1" t="s">
        <v>14775</v>
      </c>
      <c r="B4724" s="1" t="s">
        <v>14776</v>
      </c>
      <c r="D4724" s="1" t="s">
        <v>14777</v>
      </c>
      <c r="E4724" s="1" t="s">
        <v>209</v>
      </c>
      <c r="F4724" s="1" t="s">
        <v>5017</v>
      </c>
      <c r="G4724" s="1" t="s">
        <v>5018</v>
      </c>
      <c r="H4724" s="1">
        <v>0.1</v>
      </c>
      <c r="I4724" s="1">
        <v>0.1</v>
      </c>
      <c r="J4724" s="1">
        <v>0.70607667722563472</v>
      </c>
      <c r="K4724" s="1" t="s">
        <v>181</v>
      </c>
    </row>
    <row r="4725" spans="1:11" x14ac:dyDescent="0.25">
      <c r="A4725" s="1" t="s">
        <v>14778</v>
      </c>
      <c r="B4725" s="1" t="s">
        <v>14779</v>
      </c>
      <c r="D4725" s="1" t="s">
        <v>14780</v>
      </c>
      <c r="E4725" s="1" t="s">
        <v>209</v>
      </c>
      <c r="F4725" s="1" t="s">
        <v>5017</v>
      </c>
      <c r="G4725" s="1" t="s">
        <v>5018</v>
      </c>
      <c r="H4725" s="1">
        <v>0.1</v>
      </c>
      <c r="I4725" s="1">
        <v>0.1</v>
      </c>
      <c r="J4725" s="1">
        <v>1.0030382057646041</v>
      </c>
      <c r="K4725" s="1" t="s">
        <v>181</v>
      </c>
    </row>
    <row r="4726" spans="1:11" x14ac:dyDescent="0.25">
      <c r="A4726" s="1" t="s">
        <v>14781</v>
      </c>
      <c r="B4726" s="1" t="s">
        <v>14782</v>
      </c>
      <c r="D4726" s="1" t="s">
        <v>14783</v>
      </c>
      <c r="E4726" s="1" t="s">
        <v>209</v>
      </c>
      <c r="F4726" s="1" t="s">
        <v>5017</v>
      </c>
      <c r="G4726" s="1" t="s">
        <v>5018</v>
      </c>
      <c r="H4726" s="1">
        <v>0.1</v>
      </c>
      <c r="I4726" s="1">
        <v>0.1</v>
      </c>
      <c r="J4726" s="1">
        <v>0.73180481746453896</v>
      </c>
      <c r="K4726" s="1" t="s">
        <v>181</v>
      </c>
    </row>
    <row r="4727" spans="1:11" x14ac:dyDescent="0.25">
      <c r="A4727" s="1" t="s">
        <v>14784</v>
      </c>
      <c r="B4727" s="1" t="s">
        <v>14785</v>
      </c>
      <c r="D4727" s="1" t="s">
        <v>14786</v>
      </c>
      <c r="E4727" s="1" t="s">
        <v>209</v>
      </c>
      <c r="F4727" s="1" t="s">
        <v>5017</v>
      </c>
      <c r="G4727" s="1" t="s">
        <v>5018</v>
      </c>
      <c r="H4727" s="1">
        <v>0.1</v>
      </c>
      <c r="I4727" s="1">
        <v>0.1</v>
      </c>
      <c r="J4727" s="1">
        <v>0.84355463049948187</v>
      </c>
      <c r="K4727" s="1" t="s">
        <v>181</v>
      </c>
    </row>
    <row r="4728" spans="1:11" x14ac:dyDescent="0.25">
      <c r="A4728" s="1" t="s">
        <v>14787</v>
      </c>
      <c r="B4728" s="1" t="s">
        <v>14788</v>
      </c>
      <c r="D4728" s="1" t="s">
        <v>14789</v>
      </c>
      <c r="E4728" s="1" t="s">
        <v>209</v>
      </c>
      <c r="F4728" s="1" t="s">
        <v>5017</v>
      </c>
      <c r="G4728" s="1" t="s">
        <v>5018</v>
      </c>
      <c r="H4728" s="1">
        <v>0.1</v>
      </c>
      <c r="I4728" s="1">
        <v>0.1</v>
      </c>
      <c r="J4728" s="1">
        <v>0.8444512226617138</v>
      </c>
      <c r="K4728" s="1" t="s">
        <v>181</v>
      </c>
    </row>
    <row r="4729" spans="1:11" x14ac:dyDescent="0.25">
      <c r="A4729" s="1" t="s">
        <v>14790</v>
      </c>
      <c r="B4729" s="1" t="s">
        <v>14791</v>
      </c>
      <c r="D4729" s="1" t="s">
        <v>14792</v>
      </c>
      <c r="E4729" s="1" t="s">
        <v>209</v>
      </c>
      <c r="F4729" s="1" t="s">
        <v>5017</v>
      </c>
      <c r="G4729" s="1" t="s">
        <v>5018</v>
      </c>
      <c r="H4729" s="1">
        <v>0.1</v>
      </c>
      <c r="I4729" s="1">
        <v>0.1</v>
      </c>
      <c r="J4729" s="1">
        <v>0.61338275343702331</v>
      </c>
      <c r="K4729" s="1" t="s">
        <v>181</v>
      </c>
    </row>
    <row r="4730" spans="1:11" x14ac:dyDescent="0.25">
      <c r="A4730" s="1" t="s">
        <v>14793</v>
      </c>
      <c r="B4730" s="1" t="s">
        <v>14794</v>
      </c>
      <c r="D4730" s="1" t="s">
        <v>14795</v>
      </c>
      <c r="E4730" s="1" t="s">
        <v>209</v>
      </c>
      <c r="F4730" s="1" t="s">
        <v>5017</v>
      </c>
      <c r="G4730" s="1" t="s">
        <v>5018</v>
      </c>
      <c r="H4730" s="1">
        <v>0.1</v>
      </c>
      <c r="I4730" s="1">
        <v>0.1</v>
      </c>
      <c r="J4730" s="1">
        <v>0.72262054764975203</v>
      </c>
      <c r="K4730" s="1" t="s">
        <v>181</v>
      </c>
    </row>
    <row r="4731" spans="1:11" x14ac:dyDescent="0.25">
      <c r="A4731" s="1" t="s">
        <v>14796</v>
      </c>
      <c r="B4731" s="1" t="s">
        <v>14797</v>
      </c>
      <c r="D4731" s="1" t="s">
        <v>14798</v>
      </c>
      <c r="E4731" s="1" t="s">
        <v>209</v>
      </c>
      <c r="F4731" s="1" t="s">
        <v>5017</v>
      </c>
      <c r="G4731" s="1" t="s">
        <v>5018</v>
      </c>
      <c r="H4731" s="1">
        <v>0.1</v>
      </c>
      <c r="I4731" s="1">
        <v>0.1</v>
      </c>
      <c r="J4731" s="1">
        <v>0.52227983861579153</v>
      </c>
      <c r="K4731" s="1" t="s">
        <v>181</v>
      </c>
    </row>
    <row r="4732" spans="1:11" x14ac:dyDescent="0.25">
      <c r="A4732" s="1" t="s">
        <v>14799</v>
      </c>
      <c r="B4732" s="1" t="s">
        <v>14800</v>
      </c>
      <c r="D4732" s="1" t="s">
        <v>14801</v>
      </c>
      <c r="E4732" s="1" t="s">
        <v>209</v>
      </c>
      <c r="F4732" s="1" t="s">
        <v>5017</v>
      </c>
      <c r="G4732" s="1" t="s">
        <v>5018</v>
      </c>
      <c r="H4732" s="1">
        <v>0.1</v>
      </c>
      <c r="I4732" s="1">
        <v>0.1</v>
      </c>
      <c r="J4732" s="1">
        <v>0.65344154453935532</v>
      </c>
      <c r="K4732" s="1" t="s">
        <v>181</v>
      </c>
    </row>
    <row r="4733" spans="1:11" x14ac:dyDescent="0.25">
      <c r="A4733" s="1" t="s">
        <v>14802</v>
      </c>
      <c r="B4733" s="1" t="s">
        <v>14803</v>
      </c>
      <c r="D4733" s="1" t="s">
        <v>14804</v>
      </c>
      <c r="E4733" s="1" t="s">
        <v>209</v>
      </c>
      <c r="F4733" s="1" t="s">
        <v>5017</v>
      </c>
      <c r="G4733" s="1" t="s">
        <v>5018</v>
      </c>
      <c r="H4733" s="1">
        <v>0.1</v>
      </c>
      <c r="I4733" s="1">
        <v>0.1</v>
      </c>
      <c r="J4733" s="1">
        <v>0.67975710672636402</v>
      </c>
      <c r="K4733" s="1" t="s">
        <v>181</v>
      </c>
    </row>
    <row r="4734" spans="1:11" x14ac:dyDescent="0.25">
      <c r="A4734" s="1" t="s">
        <v>14805</v>
      </c>
      <c r="B4734" s="1" t="s">
        <v>14806</v>
      </c>
      <c r="D4734" s="1" t="s">
        <v>14807</v>
      </c>
      <c r="E4734" s="1" t="s">
        <v>209</v>
      </c>
      <c r="F4734" s="1" t="s">
        <v>5017</v>
      </c>
      <c r="G4734" s="1" t="s">
        <v>5018</v>
      </c>
      <c r="H4734" s="1">
        <v>0.1</v>
      </c>
      <c r="I4734" s="1">
        <v>0.1</v>
      </c>
      <c r="J4734" s="1">
        <v>0.67558411964628051</v>
      </c>
      <c r="K4734" s="1" t="s">
        <v>181</v>
      </c>
    </row>
    <row r="4735" spans="1:11" x14ac:dyDescent="0.25">
      <c r="A4735" s="1" t="s">
        <v>14808</v>
      </c>
      <c r="B4735" s="1" t="s">
        <v>14809</v>
      </c>
      <c r="D4735" s="1" t="s">
        <v>14810</v>
      </c>
      <c r="E4735" s="1" t="s">
        <v>209</v>
      </c>
      <c r="F4735" s="1" t="s">
        <v>5017</v>
      </c>
      <c r="G4735" s="1" t="s">
        <v>5018</v>
      </c>
      <c r="H4735" s="1">
        <v>0.1</v>
      </c>
      <c r="I4735" s="1">
        <v>0.1</v>
      </c>
      <c r="J4735" s="1">
        <v>0.81036300700524178</v>
      </c>
      <c r="K4735" s="1" t="s">
        <v>181</v>
      </c>
    </row>
    <row r="4736" spans="1:11" x14ac:dyDescent="0.25">
      <c r="A4736" s="1" t="s">
        <v>14811</v>
      </c>
      <c r="B4736" s="1" t="s">
        <v>14812</v>
      </c>
      <c r="D4736" s="1" t="s">
        <v>14813</v>
      </c>
      <c r="E4736" s="1" t="s">
        <v>209</v>
      </c>
      <c r="F4736" s="1" t="s">
        <v>5017</v>
      </c>
      <c r="G4736" s="1" t="s">
        <v>5018</v>
      </c>
      <c r="H4736" s="1">
        <v>0.1</v>
      </c>
      <c r="I4736" s="1">
        <v>0.1</v>
      </c>
      <c r="J4736" s="1">
        <v>0.60012183456152901</v>
      </c>
      <c r="K4736" s="1" t="s">
        <v>181</v>
      </c>
    </row>
    <row r="4737" spans="1:11" x14ac:dyDescent="0.25">
      <c r="A4737" s="1" t="s">
        <v>14814</v>
      </c>
      <c r="B4737" s="1" t="s">
        <v>14815</v>
      </c>
      <c r="D4737" s="1" t="s">
        <v>14816</v>
      </c>
      <c r="E4737" s="1" t="s">
        <v>209</v>
      </c>
      <c r="F4737" s="1" t="s">
        <v>5017</v>
      </c>
      <c r="G4737" s="1" t="s">
        <v>5018</v>
      </c>
      <c r="H4737" s="1">
        <v>0.1</v>
      </c>
      <c r="I4737" s="1">
        <v>0.1</v>
      </c>
      <c r="J4737" s="1">
        <v>0.58190852822963079</v>
      </c>
      <c r="K4737" s="1" t="s">
        <v>181</v>
      </c>
    </row>
    <row r="4738" spans="1:11" x14ac:dyDescent="0.25">
      <c r="A4738" s="1" t="s">
        <v>14817</v>
      </c>
      <c r="B4738" s="1" t="s">
        <v>14818</v>
      </c>
      <c r="D4738" s="1" t="s">
        <v>14819</v>
      </c>
      <c r="E4738" s="1" t="s">
        <v>209</v>
      </c>
      <c r="F4738" s="1" t="s">
        <v>5017</v>
      </c>
      <c r="G4738" s="1" t="s">
        <v>5018</v>
      </c>
      <c r="H4738" s="1">
        <v>0.1</v>
      </c>
      <c r="I4738" s="1">
        <v>0.1</v>
      </c>
      <c r="J4738" s="1">
        <v>0.7105281427497534</v>
      </c>
      <c r="K4738" s="1" t="s">
        <v>181</v>
      </c>
    </row>
    <row r="4739" spans="1:11" x14ac:dyDescent="0.25">
      <c r="A4739" s="1" t="s">
        <v>14820</v>
      </c>
      <c r="B4739" s="1" t="s">
        <v>14821</v>
      </c>
      <c r="D4739" s="1" t="s">
        <v>14822</v>
      </c>
      <c r="E4739" s="1" t="s">
        <v>209</v>
      </c>
      <c r="F4739" s="1" t="s">
        <v>5017</v>
      </c>
      <c r="G4739" s="1" t="s">
        <v>5018</v>
      </c>
      <c r="H4739" s="1">
        <v>0.1</v>
      </c>
      <c r="I4739" s="1">
        <v>0.1</v>
      </c>
      <c r="J4739" s="1">
        <v>0.49795051109633032</v>
      </c>
      <c r="K4739" s="1" t="s">
        <v>181</v>
      </c>
    </row>
    <row r="4740" spans="1:11" x14ac:dyDescent="0.25">
      <c r="A4740" s="1" t="s">
        <v>119</v>
      </c>
      <c r="B4740" s="1" t="s">
        <v>14823</v>
      </c>
      <c r="D4740" s="1" t="s">
        <v>14824</v>
      </c>
      <c r="E4740" s="1" t="s">
        <v>209</v>
      </c>
      <c r="F4740" s="1" t="s">
        <v>5017</v>
      </c>
      <c r="G4740" s="1" t="s">
        <v>5018</v>
      </c>
      <c r="H4740" s="1">
        <v>0.1</v>
      </c>
      <c r="I4740" s="1">
        <v>0.1</v>
      </c>
      <c r="J4740" s="1">
        <v>0.62550477578495001</v>
      </c>
      <c r="K4740" s="1" t="s">
        <v>181</v>
      </c>
    </row>
    <row r="4741" spans="1:11" x14ac:dyDescent="0.25">
      <c r="A4741" s="1" t="s">
        <v>14825</v>
      </c>
      <c r="B4741" s="1" t="s">
        <v>14826</v>
      </c>
      <c r="D4741" s="1" t="s">
        <v>14827</v>
      </c>
      <c r="E4741" s="1" t="s">
        <v>209</v>
      </c>
      <c r="F4741" s="1" t="s">
        <v>5017</v>
      </c>
      <c r="G4741" s="1" t="s">
        <v>5018</v>
      </c>
      <c r="H4741" s="1">
        <v>0.1</v>
      </c>
      <c r="I4741" s="1">
        <v>0.1</v>
      </c>
      <c r="J4741" s="1">
        <v>0.87424366764739248</v>
      </c>
      <c r="K4741" s="1" t="s">
        <v>181</v>
      </c>
    </row>
    <row r="4742" spans="1:11" x14ac:dyDescent="0.25">
      <c r="A4742" s="1" t="s">
        <v>14828</v>
      </c>
      <c r="B4742" s="1" t="s">
        <v>14829</v>
      </c>
      <c r="D4742" s="1" t="s">
        <v>14830</v>
      </c>
      <c r="E4742" s="1" t="s">
        <v>209</v>
      </c>
      <c r="F4742" s="1" t="s">
        <v>5017</v>
      </c>
      <c r="G4742" s="1" t="s">
        <v>5018</v>
      </c>
      <c r="H4742" s="1">
        <v>0.1</v>
      </c>
      <c r="I4742" s="1">
        <v>0.1</v>
      </c>
      <c r="J4742" s="1">
        <v>0.69245082104263245</v>
      </c>
      <c r="K4742" s="1" t="s">
        <v>181</v>
      </c>
    </row>
    <row r="4743" spans="1:11" x14ac:dyDescent="0.25">
      <c r="A4743" s="1" t="s">
        <v>14831</v>
      </c>
      <c r="B4743" s="1" t="s">
        <v>14832</v>
      </c>
      <c r="D4743" s="1" t="s">
        <v>14833</v>
      </c>
      <c r="E4743" s="1" t="s">
        <v>209</v>
      </c>
      <c r="F4743" s="1" t="s">
        <v>5017</v>
      </c>
      <c r="G4743" s="1" t="s">
        <v>5018</v>
      </c>
      <c r="H4743" s="1">
        <v>0.1</v>
      </c>
      <c r="I4743" s="1">
        <v>0.1</v>
      </c>
      <c r="J4743" s="1">
        <v>0.62676650366607012</v>
      </c>
      <c r="K4743" s="1" t="s">
        <v>181</v>
      </c>
    </row>
    <row r="4744" spans="1:11" x14ac:dyDescent="0.25">
      <c r="A4744" s="1" t="s">
        <v>14834</v>
      </c>
      <c r="B4744" s="1" t="s">
        <v>14835</v>
      </c>
      <c r="D4744" s="1" t="s">
        <v>14836</v>
      </c>
      <c r="E4744" s="1" t="s">
        <v>209</v>
      </c>
      <c r="F4744" s="1" t="s">
        <v>5017</v>
      </c>
      <c r="G4744" s="1" t="s">
        <v>5018</v>
      </c>
      <c r="H4744" s="1">
        <v>0.1</v>
      </c>
      <c r="I4744" s="1">
        <v>0.1</v>
      </c>
      <c r="J4744" s="1">
        <v>0.73123881085973452</v>
      </c>
      <c r="K4744" s="1" t="s">
        <v>181</v>
      </c>
    </row>
    <row r="4745" spans="1:11" x14ac:dyDescent="0.25">
      <c r="A4745" s="1" t="s">
        <v>14837</v>
      </c>
      <c r="B4745" s="1" t="s">
        <v>14838</v>
      </c>
      <c r="D4745" s="1" t="s">
        <v>14839</v>
      </c>
      <c r="E4745" s="1" t="s">
        <v>209</v>
      </c>
      <c r="F4745" s="1" t="s">
        <v>5017</v>
      </c>
      <c r="G4745" s="1" t="s">
        <v>5018</v>
      </c>
      <c r="H4745" s="1">
        <v>0.1</v>
      </c>
      <c r="I4745" s="1">
        <v>0.1</v>
      </c>
      <c r="J4745" s="1">
        <v>0.73095623587447534</v>
      </c>
      <c r="K4745" s="1" t="s">
        <v>181</v>
      </c>
    </row>
    <row r="4746" spans="1:11" x14ac:dyDescent="0.25">
      <c r="A4746" s="1" t="s">
        <v>14840</v>
      </c>
      <c r="B4746" s="1" t="s">
        <v>14841</v>
      </c>
      <c r="D4746" s="1" t="s">
        <v>14842</v>
      </c>
      <c r="E4746" s="1" t="s">
        <v>209</v>
      </c>
      <c r="F4746" s="1" t="s">
        <v>5017</v>
      </c>
      <c r="G4746" s="1" t="s">
        <v>5018</v>
      </c>
      <c r="H4746" s="1">
        <v>0.1</v>
      </c>
      <c r="I4746" s="1">
        <v>0.1</v>
      </c>
      <c r="J4746" s="1">
        <v>0.73063223955269552</v>
      </c>
      <c r="K4746" s="1" t="s">
        <v>181</v>
      </c>
    </row>
    <row r="4747" spans="1:11" x14ac:dyDescent="0.25">
      <c r="A4747" s="1" t="s">
        <v>14843</v>
      </c>
      <c r="B4747" s="1" t="s">
        <v>14844</v>
      </c>
      <c r="D4747" s="1" t="s">
        <v>14845</v>
      </c>
      <c r="E4747" s="1" t="s">
        <v>209</v>
      </c>
      <c r="F4747" s="1" t="s">
        <v>5017</v>
      </c>
      <c r="G4747" s="1" t="s">
        <v>5018</v>
      </c>
      <c r="H4747" s="1">
        <v>0.1</v>
      </c>
      <c r="I4747" s="1">
        <v>0.1</v>
      </c>
      <c r="J4747" s="1">
        <v>0.67767813121013587</v>
      </c>
      <c r="K4747" s="1" t="s">
        <v>181</v>
      </c>
    </row>
    <row r="4748" spans="1:11" x14ac:dyDescent="0.25">
      <c r="A4748" s="1" t="s">
        <v>14846</v>
      </c>
      <c r="B4748" s="1" t="s">
        <v>14847</v>
      </c>
      <c r="D4748" s="1" t="s">
        <v>14848</v>
      </c>
      <c r="E4748" s="1" t="s">
        <v>209</v>
      </c>
      <c r="F4748" s="1" t="s">
        <v>5017</v>
      </c>
      <c r="G4748" s="1" t="s">
        <v>5018</v>
      </c>
      <c r="H4748" s="1">
        <v>0.1</v>
      </c>
      <c r="I4748" s="1">
        <v>0.1</v>
      </c>
      <c r="J4748" s="1">
        <v>0.62136540213400449</v>
      </c>
      <c r="K4748" s="1" t="s">
        <v>181</v>
      </c>
    </row>
    <row r="4749" spans="1:11" x14ac:dyDescent="0.25">
      <c r="A4749" s="1" t="s">
        <v>14849</v>
      </c>
      <c r="B4749" s="1" t="s">
        <v>14850</v>
      </c>
      <c r="D4749" s="1" t="s">
        <v>14851</v>
      </c>
      <c r="E4749" s="1" t="s">
        <v>209</v>
      </c>
      <c r="F4749" s="1" t="s">
        <v>5017</v>
      </c>
      <c r="G4749" s="1" t="s">
        <v>5018</v>
      </c>
      <c r="H4749" s="1">
        <v>0.1</v>
      </c>
      <c r="I4749" s="1">
        <v>0.1</v>
      </c>
      <c r="J4749" s="1">
        <v>0.7854290497837243</v>
      </c>
      <c r="K4749" s="1" t="s">
        <v>181</v>
      </c>
    </row>
    <row r="4750" spans="1:11" x14ac:dyDescent="0.25">
      <c r="A4750" s="1" t="s">
        <v>14852</v>
      </c>
      <c r="B4750" s="1" t="s">
        <v>14853</v>
      </c>
      <c r="D4750" s="1" t="s">
        <v>14854</v>
      </c>
      <c r="E4750" s="1" t="s">
        <v>209</v>
      </c>
      <c r="F4750" s="1" t="s">
        <v>5017</v>
      </c>
      <c r="G4750" s="1" t="s">
        <v>5018</v>
      </c>
      <c r="H4750" s="1">
        <v>0.1</v>
      </c>
      <c r="I4750" s="1">
        <v>0.1</v>
      </c>
      <c r="J4750" s="1">
        <v>0.78088363508532321</v>
      </c>
      <c r="K4750" s="1" t="s">
        <v>181</v>
      </c>
    </row>
    <row r="4751" spans="1:11" x14ac:dyDescent="0.25">
      <c r="A4751" s="1" t="s">
        <v>14855</v>
      </c>
      <c r="B4751" s="1" t="s">
        <v>14856</v>
      </c>
      <c r="D4751" s="1" t="s">
        <v>14857</v>
      </c>
      <c r="E4751" s="1" t="s">
        <v>209</v>
      </c>
      <c r="F4751" s="1" t="s">
        <v>5017</v>
      </c>
      <c r="G4751" s="1" t="s">
        <v>5018</v>
      </c>
      <c r="H4751" s="1">
        <v>0.1</v>
      </c>
      <c r="I4751" s="1">
        <v>0.1</v>
      </c>
      <c r="J4751" s="1">
        <v>0.65256193629273596</v>
      </c>
      <c r="K4751" s="1" t="s">
        <v>181</v>
      </c>
    </row>
    <row r="4752" spans="1:11" x14ac:dyDescent="0.25">
      <c r="A4752" s="1" t="s">
        <v>14858</v>
      </c>
      <c r="B4752" s="1" t="s">
        <v>14859</v>
      </c>
      <c r="D4752" s="1" t="s">
        <v>14860</v>
      </c>
      <c r="E4752" s="1" t="s">
        <v>209</v>
      </c>
      <c r="F4752" s="1" t="s">
        <v>5017</v>
      </c>
      <c r="G4752" s="1" t="s">
        <v>5018</v>
      </c>
      <c r="H4752" s="1">
        <v>0.1</v>
      </c>
      <c r="I4752" s="1">
        <v>0.1</v>
      </c>
      <c r="J4752" s="1">
        <v>0.60644942259167278</v>
      </c>
      <c r="K4752" s="1" t="s">
        <v>181</v>
      </c>
    </row>
    <row r="4753" spans="1:11" x14ac:dyDescent="0.25">
      <c r="A4753" s="1" t="s">
        <v>14861</v>
      </c>
      <c r="B4753" s="1" t="s">
        <v>14862</v>
      </c>
      <c r="D4753" s="1" t="s">
        <v>14863</v>
      </c>
      <c r="E4753" s="1" t="s">
        <v>209</v>
      </c>
      <c r="F4753" s="1" t="s">
        <v>5017</v>
      </c>
      <c r="G4753" s="1" t="s">
        <v>5018</v>
      </c>
      <c r="H4753" s="1">
        <v>0.1</v>
      </c>
      <c r="I4753" s="1">
        <v>0.1</v>
      </c>
      <c r="J4753" s="1">
        <v>0.64743600071509733</v>
      </c>
      <c r="K4753" s="1" t="s">
        <v>181</v>
      </c>
    </row>
    <row r="4754" spans="1:11" x14ac:dyDescent="0.25">
      <c r="A4754" s="1" t="s">
        <v>14864</v>
      </c>
      <c r="B4754" s="1" t="s">
        <v>14865</v>
      </c>
      <c r="D4754" s="1" t="s">
        <v>14866</v>
      </c>
      <c r="E4754" s="1" t="s">
        <v>209</v>
      </c>
      <c r="F4754" s="1" t="s">
        <v>5017</v>
      </c>
      <c r="G4754" s="1" t="s">
        <v>5018</v>
      </c>
      <c r="H4754" s="1">
        <v>0.1</v>
      </c>
      <c r="I4754" s="1">
        <v>0.1</v>
      </c>
      <c r="J4754" s="1">
        <v>0.6542108948914801</v>
      </c>
      <c r="K4754" s="1" t="s">
        <v>181</v>
      </c>
    </row>
    <row r="4755" spans="1:11" x14ac:dyDescent="0.25">
      <c r="A4755" s="1" t="s">
        <v>14867</v>
      </c>
      <c r="B4755" s="1" t="s">
        <v>14868</v>
      </c>
      <c r="D4755" s="1" t="s">
        <v>14869</v>
      </c>
      <c r="E4755" s="1" t="s">
        <v>209</v>
      </c>
      <c r="F4755" s="1" t="s">
        <v>5017</v>
      </c>
      <c r="G4755" s="1" t="s">
        <v>5018</v>
      </c>
      <c r="H4755" s="1">
        <v>0.1</v>
      </c>
      <c r="I4755" s="1">
        <v>0.1</v>
      </c>
      <c r="J4755" s="1">
        <v>0.55627116655313469</v>
      </c>
      <c r="K4755" s="1" t="s">
        <v>181</v>
      </c>
    </row>
    <row r="4756" spans="1:11" x14ac:dyDescent="0.25">
      <c r="A4756" s="1" t="s">
        <v>14870</v>
      </c>
      <c r="B4756" s="1" t="s">
        <v>14871</v>
      </c>
      <c r="D4756" s="1" t="s">
        <v>14872</v>
      </c>
      <c r="E4756" s="1" t="s">
        <v>209</v>
      </c>
      <c r="F4756" s="1" t="s">
        <v>5017</v>
      </c>
      <c r="G4756" s="1" t="s">
        <v>5018</v>
      </c>
      <c r="H4756" s="1">
        <v>0.1</v>
      </c>
      <c r="I4756" s="1">
        <v>0.1</v>
      </c>
      <c r="J4756" s="1">
        <v>0.89158836036056799</v>
      </c>
      <c r="K4756" s="1" t="s">
        <v>181</v>
      </c>
    </row>
    <row r="4757" spans="1:11" x14ac:dyDescent="0.25">
      <c r="A4757" s="1" t="s">
        <v>14873</v>
      </c>
      <c r="B4757" s="1" t="s">
        <v>14874</v>
      </c>
      <c r="D4757" s="1" t="s">
        <v>14875</v>
      </c>
      <c r="E4757" s="1" t="s">
        <v>209</v>
      </c>
      <c r="F4757" s="1" t="s">
        <v>5017</v>
      </c>
      <c r="G4757" s="1" t="s">
        <v>5018</v>
      </c>
      <c r="H4757" s="1">
        <v>0.1</v>
      </c>
      <c r="I4757" s="1">
        <v>0.1</v>
      </c>
      <c r="J4757" s="1">
        <v>0.55780378049888812</v>
      </c>
      <c r="K4757" s="1" t="s">
        <v>181</v>
      </c>
    </row>
    <row r="4758" spans="1:11" x14ac:dyDescent="0.25">
      <c r="A4758" s="1" t="s">
        <v>14876</v>
      </c>
      <c r="B4758" s="1" t="s">
        <v>14877</v>
      </c>
      <c r="D4758" s="1" t="s">
        <v>14878</v>
      </c>
      <c r="E4758" s="1" t="s">
        <v>209</v>
      </c>
      <c r="F4758" s="1" t="s">
        <v>5017</v>
      </c>
      <c r="G4758" s="1" t="s">
        <v>5018</v>
      </c>
      <c r="H4758" s="1">
        <v>0.1</v>
      </c>
      <c r="I4758" s="1">
        <v>0.1</v>
      </c>
      <c r="J4758" s="1">
        <v>1.091655443686939</v>
      </c>
      <c r="K4758" s="1" t="s">
        <v>181</v>
      </c>
    </row>
    <row r="4759" spans="1:11" x14ac:dyDescent="0.25">
      <c r="A4759" s="1" t="s">
        <v>14879</v>
      </c>
      <c r="B4759" s="1" t="s">
        <v>14880</v>
      </c>
      <c r="D4759" s="1" t="s">
        <v>14881</v>
      </c>
      <c r="E4759" s="1" t="s">
        <v>209</v>
      </c>
      <c r="F4759" s="1" t="s">
        <v>5017</v>
      </c>
      <c r="G4759" s="1" t="s">
        <v>5018</v>
      </c>
      <c r="H4759" s="1">
        <v>0.1</v>
      </c>
      <c r="I4759" s="1">
        <v>0.1</v>
      </c>
      <c r="J4759" s="1">
        <v>0.60811101396845413</v>
      </c>
      <c r="K4759" s="1" t="s">
        <v>181</v>
      </c>
    </row>
    <row r="4760" spans="1:11" x14ac:dyDescent="0.25">
      <c r="A4760" s="1" t="s">
        <v>14882</v>
      </c>
      <c r="B4760" s="1" t="s">
        <v>14883</v>
      </c>
      <c r="D4760" s="1" t="s">
        <v>14884</v>
      </c>
      <c r="E4760" s="1" t="s">
        <v>209</v>
      </c>
      <c r="F4760" s="1" t="s">
        <v>5017</v>
      </c>
      <c r="G4760" s="1" t="s">
        <v>5018</v>
      </c>
      <c r="H4760" s="1">
        <v>0.1</v>
      </c>
      <c r="I4760" s="1">
        <v>0.1</v>
      </c>
      <c r="J4760" s="1">
        <v>0.57625174060054452</v>
      </c>
      <c r="K4760" s="1" t="s">
        <v>181</v>
      </c>
    </row>
    <row r="4761" spans="1:11" x14ac:dyDescent="0.25">
      <c r="A4761" s="1" t="s">
        <v>14885</v>
      </c>
      <c r="B4761" s="1" t="s">
        <v>14886</v>
      </c>
      <c r="D4761" s="1" t="s">
        <v>14887</v>
      </c>
      <c r="E4761" s="1" t="s">
        <v>209</v>
      </c>
      <c r="F4761" s="1" t="s">
        <v>5017</v>
      </c>
      <c r="G4761" s="1" t="s">
        <v>5018</v>
      </c>
      <c r="H4761" s="1">
        <v>0.1</v>
      </c>
      <c r="I4761" s="1">
        <v>0.1</v>
      </c>
      <c r="J4761" s="1">
        <v>0.78049720954204838</v>
      </c>
      <c r="K4761" s="1" t="s">
        <v>181</v>
      </c>
    </row>
    <row r="4762" spans="1:11" x14ac:dyDescent="0.25">
      <c r="A4762" s="1" t="s">
        <v>14888</v>
      </c>
      <c r="B4762" s="1" t="s">
        <v>14889</v>
      </c>
      <c r="D4762" s="1" t="s">
        <v>14890</v>
      </c>
      <c r="E4762" s="1" t="s">
        <v>209</v>
      </c>
      <c r="F4762" s="1" t="s">
        <v>5017</v>
      </c>
      <c r="G4762" s="1" t="s">
        <v>5018</v>
      </c>
      <c r="H4762" s="1">
        <v>0.1</v>
      </c>
      <c r="I4762" s="1">
        <v>0.1</v>
      </c>
      <c r="J4762" s="1">
        <v>0.56282448679967567</v>
      </c>
      <c r="K4762" s="1" t="s">
        <v>181</v>
      </c>
    </row>
    <row r="4763" spans="1:11" x14ac:dyDescent="0.25">
      <c r="A4763" s="1" t="s">
        <v>14891</v>
      </c>
      <c r="B4763" s="1" t="s">
        <v>14892</v>
      </c>
      <c r="D4763" s="1" t="s">
        <v>14893</v>
      </c>
      <c r="E4763" s="1" t="s">
        <v>209</v>
      </c>
      <c r="F4763" s="1" t="s">
        <v>5017</v>
      </c>
      <c r="G4763" s="1" t="s">
        <v>5018</v>
      </c>
      <c r="H4763" s="1">
        <v>0.1</v>
      </c>
      <c r="I4763" s="1">
        <v>0.1</v>
      </c>
      <c r="J4763" s="1">
        <v>0.47907372147401278</v>
      </c>
      <c r="K4763" s="1" t="s">
        <v>181</v>
      </c>
    </row>
    <row r="4764" spans="1:11" x14ac:dyDescent="0.25">
      <c r="A4764" s="1" t="s">
        <v>14894</v>
      </c>
      <c r="B4764" s="1" t="s">
        <v>14895</v>
      </c>
      <c r="D4764" s="1" t="s">
        <v>14896</v>
      </c>
      <c r="E4764" s="1" t="s">
        <v>209</v>
      </c>
      <c r="F4764" s="1" t="s">
        <v>5017</v>
      </c>
      <c r="G4764" s="1" t="s">
        <v>5018</v>
      </c>
      <c r="H4764" s="1">
        <v>0.1</v>
      </c>
      <c r="I4764" s="1">
        <v>0.1</v>
      </c>
      <c r="J4764" s="1">
        <v>0.89265396196053481</v>
      </c>
      <c r="K4764" s="1" t="s">
        <v>181</v>
      </c>
    </row>
    <row r="4765" spans="1:11" x14ac:dyDescent="0.25">
      <c r="A4765" s="1" t="s">
        <v>14897</v>
      </c>
      <c r="B4765" s="1" t="s">
        <v>14898</v>
      </c>
      <c r="D4765" s="1" t="s">
        <v>14899</v>
      </c>
      <c r="E4765" s="1" t="s">
        <v>209</v>
      </c>
      <c r="F4765" s="1" t="s">
        <v>5017</v>
      </c>
      <c r="G4765" s="1" t="s">
        <v>5018</v>
      </c>
      <c r="H4765" s="1">
        <v>0.1</v>
      </c>
      <c r="I4765" s="1">
        <v>0.1</v>
      </c>
      <c r="J4765" s="1">
        <v>0.79401424047178726</v>
      </c>
      <c r="K4765" s="1" t="s">
        <v>181</v>
      </c>
    </row>
    <row r="4766" spans="1:11" x14ac:dyDescent="0.25">
      <c r="A4766" s="1" t="s">
        <v>14900</v>
      </c>
      <c r="B4766" s="1" t="s">
        <v>14901</v>
      </c>
      <c r="D4766" s="1" t="s">
        <v>14902</v>
      </c>
      <c r="E4766" s="1" t="s">
        <v>209</v>
      </c>
      <c r="F4766" s="1" t="s">
        <v>5017</v>
      </c>
      <c r="G4766" s="1" t="s">
        <v>5018</v>
      </c>
      <c r="H4766" s="1">
        <v>0.1</v>
      </c>
      <c r="I4766" s="1">
        <v>0.1</v>
      </c>
      <c r="J4766" s="1">
        <v>0.88506474606321173</v>
      </c>
      <c r="K4766" s="1" t="s">
        <v>181</v>
      </c>
    </row>
    <row r="4767" spans="1:11" x14ac:dyDescent="0.25">
      <c r="A4767" s="1" t="s">
        <v>14903</v>
      </c>
      <c r="B4767" s="1" t="s">
        <v>14904</v>
      </c>
      <c r="D4767" s="1" t="s">
        <v>14905</v>
      </c>
      <c r="E4767" s="1" t="s">
        <v>209</v>
      </c>
      <c r="F4767" s="1" t="s">
        <v>5017</v>
      </c>
      <c r="G4767" s="1" t="s">
        <v>5018</v>
      </c>
      <c r="H4767" s="1">
        <v>0.1</v>
      </c>
      <c r="I4767" s="1">
        <v>0.1</v>
      </c>
      <c r="J4767" s="1">
        <v>0.78666878774090077</v>
      </c>
      <c r="K4767" s="1" t="s">
        <v>181</v>
      </c>
    </row>
    <row r="4768" spans="1:11" x14ac:dyDescent="0.25">
      <c r="A4768" s="1" t="s">
        <v>14906</v>
      </c>
      <c r="B4768" s="1" t="s">
        <v>14907</v>
      </c>
      <c r="D4768" s="1" t="s">
        <v>14908</v>
      </c>
      <c r="E4768" s="1" t="s">
        <v>209</v>
      </c>
      <c r="F4768" s="1" t="s">
        <v>5017</v>
      </c>
      <c r="G4768" s="1" t="s">
        <v>5018</v>
      </c>
      <c r="H4768" s="1">
        <v>0.1</v>
      </c>
      <c r="I4768" s="1">
        <v>0.1</v>
      </c>
      <c r="J4768" s="1">
        <v>0.81179069440555462</v>
      </c>
      <c r="K4768" s="1" t="s">
        <v>181</v>
      </c>
    </row>
    <row r="4769" spans="1:11" x14ac:dyDescent="0.25">
      <c r="A4769" s="1" t="s">
        <v>14909</v>
      </c>
      <c r="B4769" s="1" t="s">
        <v>14910</v>
      </c>
      <c r="D4769" s="1" t="s">
        <v>14911</v>
      </c>
      <c r="E4769" s="1" t="s">
        <v>209</v>
      </c>
      <c r="F4769" s="1" t="s">
        <v>5017</v>
      </c>
      <c r="G4769" s="1" t="s">
        <v>5018</v>
      </c>
      <c r="H4769" s="1">
        <v>0.1</v>
      </c>
      <c r="I4769" s="1">
        <v>0.1</v>
      </c>
      <c r="J4769" s="1">
        <v>0.7908298167798341</v>
      </c>
      <c r="K4769" s="1" t="s">
        <v>181</v>
      </c>
    </row>
    <row r="4770" spans="1:11" x14ac:dyDescent="0.25">
      <c r="A4770" s="1" t="s">
        <v>14912</v>
      </c>
      <c r="B4770" s="1" t="s">
        <v>14913</v>
      </c>
      <c r="D4770" s="1" t="s">
        <v>14914</v>
      </c>
      <c r="E4770" s="1" t="s">
        <v>209</v>
      </c>
      <c r="F4770" s="1" t="s">
        <v>5017</v>
      </c>
      <c r="G4770" s="1" t="s">
        <v>5018</v>
      </c>
      <c r="H4770" s="1">
        <v>0.1</v>
      </c>
      <c r="I4770" s="1">
        <v>0.1</v>
      </c>
      <c r="J4770" s="1">
        <v>0.72750475062529552</v>
      </c>
      <c r="K4770" s="1" t="s">
        <v>181</v>
      </c>
    </row>
    <row r="4771" spans="1:11" x14ac:dyDescent="0.25">
      <c r="A4771" s="1" t="s">
        <v>14915</v>
      </c>
      <c r="B4771" s="1" t="s">
        <v>14916</v>
      </c>
      <c r="D4771" s="1" t="s">
        <v>14917</v>
      </c>
      <c r="E4771" s="1" t="s">
        <v>209</v>
      </c>
      <c r="F4771" s="1" t="s">
        <v>5017</v>
      </c>
      <c r="G4771" s="1" t="s">
        <v>5018</v>
      </c>
      <c r="H4771" s="1">
        <v>0.1</v>
      </c>
      <c r="I4771" s="1">
        <v>0.1</v>
      </c>
      <c r="J4771" s="1">
        <v>0.729597119570918</v>
      </c>
      <c r="K4771" s="1" t="s">
        <v>181</v>
      </c>
    </row>
    <row r="4772" spans="1:11" x14ac:dyDescent="0.25">
      <c r="A4772" s="1" t="s">
        <v>14918</v>
      </c>
      <c r="B4772" s="1" t="s">
        <v>14919</v>
      </c>
      <c r="D4772" s="1" t="s">
        <v>14920</v>
      </c>
      <c r="E4772" s="1" t="s">
        <v>209</v>
      </c>
      <c r="F4772" s="1" t="s">
        <v>5017</v>
      </c>
      <c r="G4772" s="1" t="s">
        <v>5018</v>
      </c>
      <c r="H4772" s="1">
        <v>0.1</v>
      </c>
      <c r="I4772" s="1">
        <v>0.1</v>
      </c>
      <c r="J4772" s="1">
        <v>0.79842229481604776</v>
      </c>
      <c r="K4772" s="1" t="s">
        <v>181</v>
      </c>
    </row>
    <row r="4773" spans="1:11" x14ac:dyDescent="0.25">
      <c r="A4773" s="1" t="s">
        <v>14921</v>
      </c>
      <c r="B4773" s="1" t="s">
        <v>14922</v>
      </c>
      <c r="D4773" s="1" t="s">
        <v>14923</v>
      </c>
      <c r="E4773" s="1" t="s">
        <v>209</v>
      </c>
      <c r="F4773" s="1" t="s">
        <v>5017</v>
      </c>
      <c r="G4773" s="1" t="s">
        <v>5018</v>
      </c>
      <c r="H4773" s="1">
        <v>0.1</v>
      </c>
      <c r="I4773" s="1">
        <v>0.1</v>
      </c>
      <c r="J4773" s="1">
        <v>0.81790600536483093</v>
      </c>
      <c r="K4773" s="1" t="s">
        <v>181</v>
      </c>
    </row>
    <row r="4774" spans="1:11" x14ac:dyDescent="0.25">
      <c r="A4774" s="1" t="s">
        <v>14924</v>
      </c>
      <c r="B4774" s="1" t="s">
        <v>14925</v>
      </c>
      <c r="D4774" s="1" t="s">
        <v>14926</v>
      </c>
      <c r="E4774" s="1" t="s">
        <v>209</v>
      </c>
      <c r="F4774" s="1" t="s">
        <v>5017</v>
      </c>
      <c r="G4774" s="1" t="s">
        <v>5018</v>
      </c>
      <c r="H4774" s="1">
        <v>0.1</v>
      </c>
      <c r="I4774" s="1">
        <v>0.1</v>
      </c>
      <c r="J4774" s="1">
        <v>0.78812540712002799</v>
      </c>
      <c r="K4774" s="1" t="s">
        <v>181</v>
      </c>
    </row>
    <row r="4775" spans="1:11" x14ac:dyDescent="0.25">
      <c r="A4775" s="1" t="s">
        <v>14927</v>
      </c>
      <c r="B4775" s="1" t="s">
        <v>14928</v>
      </c>
      <c r="D4775" s="1" t="s">
        <v>14929</v>
      </c>
      <c r="E4775" s="1" t="s">
        <v>209</v>
      </c>
      <c r="F4775" s="1" t="s">
        <v>5017</v>
      </c>
      <c r="G4775" s="1" t="s">
        <v>5018</v>
      </c>
      <c r="H4775" s="1">
        <v>0.1</v>
      </c>
      <c r="I4775" s="1">
        <v>0.1</v>
      </c>
      <c r="J4775" s="1">
        <v>0.92894024099172479</v>
      </c>
      <c r="K4775" s="1" t="s">
        <v>181</v>
      </c>
    </row>
    <row r="4776" spans="1:11" x14ac:dyDescent="0.25">
      <c r="A4776" s="1" t="s">
        <v>14930</v>
      </c>
      <c r="B4776" s="1" t="s">
        <v>14931</v>
      </c>
      <c r="D4776" s="1" t="s">
        <v>14932</v>
      </c>
      <c r="E4776" s="1" t="s">
        <v>209</v>
      </c>
      <c r="F4776" s="1" t="s">
        <v>5017</v>
      </c>
      <c r="G4776" s="1" t="s">
        <v>5018</v>
      </c>
      <c r="H4776" s="1">
        <v>0.1</v>
      </c>
      <c r="I4776" s="1">
        <v>0.1</v>
      </c>
      <c r="J4776" s="1">
        <v>0.82255842804901391</v>
      </c>
      <c r="K4776" s="1" t="s">
        <v>181</v>
      </c>
    </row>
    <row r="4777" spans="1:11" x14ac:dyDescent="0.25">
      <c r="A4777" s="1" t="s">
        <v>14933</v>
      </c>
      <c r="B4777" s="1" t="s">
        <v>14934</v>
      </c>
      <c r="D4777" s="1" t="s">
        <v>14935</v>
      </c>
      <c r="E4777" s="1" t="s">
        <v>209</v>
      </c>
      <c r="F4777" s="1" t="s">
        <v>5017</v>
      </c>
      <c r="G4777" s="1" t="s">
        <v>5018</v>
      </c>
      <c r="H4777" s="1">
        <v>0.1</v>
      </c>
      <c r="I4777" s="1">
        <v>0.1</v>
      </c>
      <c r="J4777" s="1">
        <v>0.61332087119919243</v>
      </c>
      <c r="K4777" s="1" t="s">
        <v>181</v>
      </c>
    </row>
    <row r="4778" spans="1:11" x14ac:dyDescent="0.25">
      <c r="A4778" s="1" t="s">
        <v>14936</v>
      </c>
      <c r="B4778" s="1" t="s">
        <v>14937</v>
      </c>
      <c r="D4778" s="1" t="s">
        <v>14938</v>
      </c>
      <c r="E4778" s="1" t="s">
        <v>209</v>
      </c>
      <c r="F4778" s="1" t="s">
        <v>5017</v>
      </c>
      <c r="G4778" s="1" t="s">
        <v>5018</v>
      </c>
      <c r="H4778" s="1">
        <v>0.1</v>
      </c>
      <c r="I4778" s="1">
        <v>0.1</v>
      </c>
      <c r="J4778" s="1">
        <v>0.70723358017023985</v>
      </c>
      <c r="K4778" s="1" t="s">
        <v>181</v>
      </c>
    </row>
    <row r="4779" spans="1:11" x14ac:dyDescent="0.25">
      <c r="A4779" s="1" t="s">
        <v>14939</v>
      </c>
      <c r="B4779" s="1" t="s">
        <v>14940</v>
      </c>
      <c r="D4779" s="1" t="s">
        <v>14941</v>
      </c>
      <c r="E4779" s="1" t="s">
        <v>209</v>
      </c>
      <c r="F4779" s="1" t="s">
        <v>5017</v>
      </c>
      <c r="G4779" s="1" t="s">
        <v>5018</v>
      </c>
      <c r="H4779" s="1">
        <v>0.1</v>
      </c>
      <c r="I4779" s="1">
        <v>0.1</v>
      </c>
      <c r="J4779" s="1">
        <v>0.72873750708208151</v>
      </c>
      <c r="K4779" s="1" t="s">
        <v>181</v>
      </c>
    </row>
    <row r="4780" spans="1:11" x14ac:dyDescent="0.25">
      <c r="A4780" s="1" t="s">
        <v>14942</v>
      </c>
      <c r="B4780" s="1" t="s">
        <v>14943</v>
      </c>
      <c r="D4780" s="1" t="s">
        <v>14944</v>
      </c>
      <c r="E4780" s="1" t="s">
        <v>209</v>
      </c>
      <c r="F4780" s="1" t="s">
        <v>5017</v>
      </c>
      <c r="G4780" s="1" t="s">
        <v>5018</v>
      </c>
      <c r="H4780" s="1">
        <v>0.1</v>
      </c>
      <c r="I4780" s="1">
        <v>0.1</v>
      </c>
      <c r="J4780" s="1">
        <v>0.62868764096338225</v>
      </c>
      <c r="K4780" s="1" t="s">
        <v>181</v>
      </c>
    </row>
    <row r="4781" spans="1:11" x14ac:dyDescent="0.25">
      <c r="A4781" s="1" t="s">
        <v>14945</v>
      </c>
      <c r="B4781" s="1" t="s">
        <v>14946</v>
      </c>
      <c r="D4781" s="1" t="s">
        <v>14947</v>
      </c>
      <c r="E4781" s="1" t="s">
        <v>209</v>
      </c>
      <c r="F4781" s="1" t="s">
        <v>5017</v>
      </c>
      <c r="G4781" s="1" t="s">
        <v>5018</v>
      </c>
      <c r="H4781" s="1">
        <v>0.1</v>
      </c>
      <c r="I4781" s="1">
        <v>0.1</v>
      </c>
      <c r="J4781" s="1">
        <v>0.62490539579245752</v>
      </c>
      <c r="K4781" s="1" t="s">
        <v>181</v>
      </c>
    </row>
    <row r="4782" spans="1:11" x14ac:dyDescent="0.25">
      <c r="A4782" s="1" t="s">
        <v>14948</v>
      </c>
      <c r="B4782" s="1" t="s">
        <v>14949</v>
      </c>
      <c r="D4782" s="1" t="s">
        <v>14950</v>
      </c>
      <c r="E4782" s="1" t="s">
        <v>209</v>
      </c>
      <c r="F4782" s="1" t="s">
        <v>5017</v>
      </c>
      <c r="G4782" s="1" t="s">
        <v>5018</v>
      </c>
      <c r="H4782" s="1">
        <v>0.1</v>
      </c>
      <c r="I4782" s="1">
        <v>0.1</v>
      </c>
      <c r="J4782" s="1">
        <v>0.81930621055830222</v>
      </c>
      <c r="K4782" s="1" t="s">
        <v>181</v>
      </c>
    </row>
    <row r="4783" spans="1:11" x14ac:dyDescent="0.25">
      <c r="A4783" s="1" t="s">
        <v>14951</v>
      </c>
      <c r="B4783" s="1" t="s">
        <v>14952</v>
      </c>
      <c r="D4783" s="1" t="s">
        <v>14953</v>
      </c>
      <c r="E4783" s="1" t="s">
        <v>209</v>
      </c>
      <c r="F4783" s="1" t="s">
        <v>5017</v>
      </c>
      <c r="G4783" s="1" t="s">
        <v>5018</v>
      </c>
      <c r="H4783" s="1">
        <v>0.1</v>
      </c>
      <c r="I4783" s="1">
        <v>0.1</v>
      </c>
      <c r="J4783" s="1">
        <v>0.54299497331284086</v>
      </c>
      <c r="K4783" s="1" t="s">
        <v>181</v>
      </c>
    </row>
    <row r="4784" spans="1:11" x14ac:dyDescent="0.25">
      <c r="A4784" s="1" t="s">
        <v>14954</v>
      </c>
      <c r="B4784" s="1" t="s">
        <v>14955</v>
      </c>
      <c r="D4784" s="1" t="s">
        <v>14956</v>
      </c>
      <c r="E4784" s="1" t="s">
        <v>209</v>
      </c>
      <c r="F4784" s="1" t="s">
        <v>5017</v>
      </c>
      <c r="G4784" s="1" t="s">
        <v>5018</v>
      </c>
      <c r="H4784" s="1">
        <v>0.1</v>
      </c>
      <c r="I4784" s="1">
        <v>0.1</v>
      </c>
      <c r="J4784" s="1">
        <v>0.8244520912827662</v>
      </c>
      <c r="K4784" s="1" t="s">
        <v>181</v>
      </c>
    </row>
    <row r="4785" spans="1:11" x14ac:dyDescent="0.25">
      <c r="A4785" s="1" t="s">
        <v>14957</v>
      </c>
      <c r="B4785" s="1" t="s">
        <v>14958</v>
      </c>
      <c r="D4785" s="1" t="s">
        <v>14959</v>
      </c>
      <c r="E4785" s="1" t="s">
        <v>209</v>
      </c>
      <c r="F4785" s="1" t="s">
        <v>5017</v>
      </c>
      <c r="G4785" s="1" t="s">
        <v>5018</v>
      </c>
      <c r="H4785" s="1">
        <v>0.1</v>
      </c>
      <c r="I4785" s="1">
        <v>0.1</v>
      </c>
      <c r="J4785" s="1">
        <v>0.74041123303496992</v>
      </c>
      <c r="K4785" s="1" t="s">
        <v>181</v>
      </c>
    </row>
    <row r="4786" spans="1:11" x14ac:dyDescent="0.25">
      <c r="A4786" s="1" t="s">
        <v>14960</v>
      </c>
      <c r="B4786" s="1" t="s">
        <v>14961</v>
      </c>
      <c r="D4786" s="1" t="s">
        <v>14962</v>
      </c>
      <c r="E4786" s="1" t="s">
        <v>209</v>
      </c>
      <c r="F4786" s="1" t="s">
        <v>5017</v>
      </c>
      <c r="G4786" s="1" t="s">
        <v>5018</v>
      </c>
      <c r="H4786" s="1">
        <v>0.1</v>
      </c>
      <c r="I4786" s="1">
        <v>0.1</v>
      </c>
      <c r="J4786" s="1">
        <v>0.80920949197736713</v>
      </c>
      <c r="K4786" s="1" t="s">
        <v>181</v>
      </c>
    </row>
    <row r="4787" spans="1:11" x14ac:dyDescent="0.25">
      <c r="A4787" s="1" t="s">
        <v>14963</v>
      </c>
      <c r="B4787" s="1" t="s">
        <v>14964</v>
      </c>
      <c r="D4787" s="1" t="s">
        <v>14965</v>
      </c>
      <c r="E4787" s="1" t="s">
        <v>209</v>
      </c>
      <c r="F4787" s="1" t="s">
        <v>5017</v>
      </c>
      <c r="G4787" s="1" t="s">
        <v>5018</v>
      </c>
      <c r="H4787" s="1">
        <v>0.1</v>
      </c>
      <c r="I4787" s="1">
        <v>0.1</v>
      </c>
      <c r="J4787" s="1">
        <v>0.64502453547448946</v>
      </c>
      <c r="K4787" s="1" t="s">
        <v>181</v>
      </c>
    </row>
    <row r="4788" spans="1:11" x14ac:dyDescent="0.25">
      <c r="A4788" s="1" t="s">
        <v>14966</v>
      </c>
      <c r="B4788" s="1" t="s">
        <v>14967</v>
      </c>
      <c r="D4788" s="1" t="s">
        <v>14968</v>
      </c>
      <c r="E4788" s="1" t="s">
        <v>209</v>
      </c>
      <c r="F4788" s="1" t="s">
        <v>5017</v>
      </c>
      <c r="G4788" s="1" t="s">
        <v>5018</v>
      </c>
      <c r="H4788" s="1">
        <v>0.1</v>
      </c>
      <c r="I4788" s="1">
        <v>0.1</v>
      </c>
      <c r="J4788" s="1">
        <v>0.66878234582978036</v>
      </c>
      <c r="K4788" s="1" t="s">
        <v>181</v>
      </c>
    </row>
    <row r="4789" spans="1:11" x14ac:dyDescent="0.25">
      <c r="A4789" s="1" t="s">
        <v>14969</v>
      </c>
      <c r="B4789" s="1" t="s">
        <v>14970</v>
      </c>
      <c r="D4789" s="1" t="s">
        <v>14971</v>
      </c>
      <c r="E4789" s="1" t="s">
        <v>209</v>
      </c>
      <c r="F4789" s="1" t="s">
        <v>5017</v>
      </c>
      <c r="G4789" s="1" t="s">
        <v>5018</v>
      </c>
      <c r="H4789" s="1">
        <v>0.1</v>
      </c>
      <c r="I4789" s="1">
        <v>0.1</v>
      </c>
      <c r="J4789" s="1">
        <v>0.56983609083122788</v>
      </c>
      <c r="K4789" s="1" t="s">
        <v>181</v>
      </c>
    </row>
    <row r="4790" spans="1:11" x14ac:dyDescent="0.25">
      <c r="A4790" s="1" t="s">
        <v>14972</v>
      </c>
      <c r="B4790" s="1" t="s">
        <v>14973</v>
      </c>
      <c r="D4790" s="1" t="s">
        <v>14974</v>
      </c>
      <c r="E4790" s="1" t="s">
        <v>209</v>
      </c>
      <c r="F4790" s="1" t="s">
        <v>5017</v>
      </c>
      <c r="G4790" s="1" t="s">
        <v>5018</v>
      </c>
      <c r="H4790" s="1">
        <v>0.1</v>
      </c>
      <c r="I4790" s="1">
        <v>0.1</v>
      </c>
      <c r="J4790" s="1">
        <v>0.93582000173523761</v>
      </c>
      <c r="K4790" s="1" t="s">
        <v>181</v>
      </c>
    </row>
    <row r="4791" spans="1:11" x14ac:dyDescent="0.25">
      <c r="A4791" s="1" t="s">
        <v>14975</v>
      </c>
      <c r="B4791" s="1" t="s">
        <v>14976</v>
      </c>
      <c r="D4791" s="1" t="s">
        <v>14977</v>
      </c>
      <c r="E4791" s="1" t="s">
        <v>209</v>
      </c>
      <c r="F4791" s="1" t="s">
        <v>5017</v>
      </c>
      <c r="G4791" s="1" t="s">
        <v>5018</v>
      </c>
      <c r="H4791" s="1">
        <v>0.1</v>
      </c>
      <c r="I4791" s="1">
        <v>0.1</v>
      </c>
      <c r="J4791" s="1">
        <v>0.62509953664232298</v>
      </c>
      <c r="K4791" s="1" t="s">
        <v>181</v>
      </c>
    </row>
    <row r="4792" spans="1:11" x14ac:dyDescent="0.25">
      <c r="A4792" s="1" t="s">
        <v>14978</v>
      </c>
      <c r="B4792" s="1" t="s">
        <v>14979</v>
      </c>
      <c r="D4792" s="1" t="s">
        <v>14980</v>
      </c>
      <c r="E4792" s="1" t="s">
        <v>209</v>
      </c>
      <c r="F4792" s="1" t="s">
        <v>5017</v>
      </c>
      <c r="G4792" s="1" t="s">
        <v>5018</v>
      </c>
      <c r="H4792" s="1">
        <v>0.1</v>
      </c>
      <c r="I4792" s="1">
        <v>0.1</v>
      </c>
      <c r="J4792" s="1">
        <v>0.60638887780715334</v>
      </c>
      <c r="K4792" s="1" t="s">
        <v>181</v>
      </c>
    </row>
    <row r="4793" spans="1:11" x14ac:dyDescent="0.25">
      <c r="A4793" s="1" t="s">
        <v>14981</v>
      </c>
      <c r="B4793" s="1" t="s">
        <v>14982</v>
      </c>
      <c r="D4793" s="1" t="s">
        <v>14983</v>
      </c>
      <c r="E4793" s="1" t="s">
        <v>209</v>
      </c>
      <c r="F4793" s="1" t="s">
        <v>5017</v>
      </c>
      <c r="G4793" s="1" t="s">
        <v>5018</v>
      </c>
      <c r="H4793" s="1">
        <v>0.1</v>
      </c>
      <c r="I4793" s="1">
        <v>0.1</v>
      </c>
      <c r="J4793" s="1">
        <v>0.72500830378742742</v>
      </c>
      <c r="K4793" s="1" t="s">
        <v>181</v>
      </c>
    </row>
    <row r="4794" spans="1:11" x14ac:dyDescent="0.25">
      <c r="A4794" s="1" t="s">
        <v>14984</v>
      </c>
      <c r="B4794" s="1" t="s">
        <v>14985</v>
      </c>
      <c r="D4794" s="1" t="s">
        <v>14986</v>
      </c>
      <c r="E4794" s="1" t="s">
        <v>209</v>
      </c>
      <c r="F4794" s="1" t="s">
        <v>5017</v>
      </c>
      <c r="G4794" s="1" t="s">
        <v>5018</v>
      </c>
      <c r="H4794" s="1">
        <v>0.1</v>
      </c>
      <c r="I4794" s="1">
        <v>0.1</v>
      </c>
      <c r="J4794" s="1">
        <v>0.81071817457443229</v>
      </c>
      <c r="K4794" s="1" t="s">
        <v>181</v>
      </c>
    </row>
    <row r="4795" spans="1:11" x14ac:dyDescent="0.25">
      <c r="A4795" s="1" t="s">
        <v>14987</v>
      </c>
      <c r="B4795" s="1" t="s">
        <v>14988</v>
      </c>
      <c r="D4795" s="1" t="s">
        <v>14989</v>
      </c>
      <c r="E4795" s="1" t="s">
        <v>209</v>
      </c>
      <c r="F4795" s="1" t="s">
        <v>5017</v>
      </c>
      <c r="G4795" s="1" t="s">
        <v>5018</v>
      </c>
      <c r="H4795" s="1">
        <v>0.1</v>
      </c>
      <c r="I4795" s="1">
        <v>0.1</v>
      </c>
      <c r="J4795" s="1">
        <v>0.91837200907920613</v>
      </c>
      <c r="K4795" s="1" t="s">
        <v>181</v>
      </c>
    </row>
    <row r="4796" spans="1:11" x14ac:dyDescent="0.25">
      <c r="A4796" s="1" t="s">
        <v>21</v>
      </c>
      <c r="B4796" s="1" t="s">
        <v>14990</v>
      </c>
      <c r="D4796" s="1" t="s">
        <v>14991</v>
      </c>
      <c r="E4796" s="1" t="s">
        <v>209</v>
      </c>
      <c r="F4796" s="1" t="s">
        <v>5017</v>
      </c>
      <c r="G4796" s="1" t="s">
        <v>5018</v>
      </c>
      <c r="H4796" s="1">
        <v>0.1</v>
      </c>
      <c r="I4796" s="1">
        <v>0.1</v>
      </c>
      <c r="J4796" s="1">
        <v>0.9623076990254058</v>
      </c>
      <c r="K4796" s="1" t="s">
        <v>181</v>
      </c>
    </row>
    <row r="4797" spans="1:11" x14ac:dyDescent="0.25">
      <c r="A4797" s="1" t="s">
        <v>14992</v>
      </c>
      <c r="B4797" s="1" t="s">
        <v>14993</v>
      </c>
      <c r="D4797" s="1" t="s">
        <v>14994</v>
      </c>
      <c r="E4797" s="1" t="s">
        <v>209</v>
      </c>
      <c r="F4797" s="1" t="s">
        <v>5017</v>
      </c>
      <c r="G4797" s="1" t="s">
        <v>5018</v>
      </c>
      <c r="H4797" s="1">
        <v>0.1</v>
      </c>
      <c r="I4797" s="1">
        <v>0.1</v>
      </c>
      <c r="J4797" s="1">
        <v>0.75850122063809478</v>
      </c>
      <c r="K4797" s="1" t="s">
        <v>181</v>
      </c>
    </row>
    <row r="4798" spans="1:11" x14ac:dyDescent="0.25">
      <c r="A4798" s="1" t="s">
        <v>14995</v>
      </c>
      <c r="B4798" s="1" t="s">
        <v>14996</v>
      </c>
      <c r="D4798" s="1" t="s">
        <v>14997</v>
      </c>
      <c r="E4798" s="1" t="s">
        <v>209</v>
      </c>
      <c r="F4798" s="1" t="s">
        <v>5017</v>
      </c>
      <c r="G4798" s="1" t="s">
        <v>5018</v>
      </c>
      <c r="H4798" s="1">
        <v>0.1</v>
      </c>
      <c r="I4798" s="1">
        <v>0.1</v>
      </c>
      <c r="J4798" s="1">
        <v>0.68583298985946772</v>
      </c>
      <c r="K4798" s="1" t="s">
        <v>181</v>
      </c>
    </row>
    <row r="4799" spans="1:11" x14ac:dyDescent="0.25">
      <c r="A4799" s="1" t="s">
        <v>14998</v>
      </c>
      <c r="B4799" s="1" t="s">
        <v>14999</v>
      </c>
      <c r="D4799" s="1" t="s">
        <v>15000</v>
      </c>
      <c r="E4799" s="1" t="s">
        <v>209</v>
      </c>
      <c r="F4799" s="1" t="s">
        <v>5017</v>
      </c>
      <c r="G4799" s="1" t="s">
        <v>5018</v>
      </c>
      <c r="H4799" s="1">
        <v>0.1</v>
      </c>
      <c r="I4799" s="1">
        <v>0.1</v>
      </c>
      <c r="J4799" s="1">
        <v>0.68445891313408702</v>
      </c>
      <c r="K4799" s="1" t="s">
        <v>181</v>
      </c>
    </row>
    <row r="4800" spans="1:11" x14ac:dyDescent="0.25">
      <c r="A4800" s="1" t="s">
        <v>15001</v>
      </c>
      <c r="B4800" s="1" t="s">
        <v>15002</v>
      </c>
      <c r="D4800" s="1" t="s">
        <v>15003</v>
      </c>
      <c r="E4800" s="1" t="s">
        <v>209</v>
      </c>
      <c r="F4800" s="1" t="s">
        <v>5017</v>
      </c>
      <c r="G4800" s="1" t="s">
        <v>5018</v>
      </c>
      <c r="H4800" s="1">
        <v>0.1</v>
      </c>
      <c r="I4800" s="1">
        <v>0.1</v>
      </c>
      <c r="J4800" s="1">
        <v>0.89267311336652855</v>
      </c>
      <c r="K4800" s="1" t="s">
        <v>181</v>
      </c>
    </row>
    <row r="4801" spans="1:11" x14ac:dyDescent="0.25">
      <c r="A4801" s="1" t="s">
        <v>15004</v>
      </c>
      <c r="B4801" s="1" t="s">
        <v>15005</v>
      </c>
      <c r="D4801" s="1" t="s">
        <v>15006</v>
      </c>
      <c r="E4801" s="1" t="s">
        <v>209</v>
      </c>
      <c r="F4801" s="1" t="s">
        <v>5017</v>
      </c>
      <c r="G4801" s="1" t="s">
        <v>5018</v>
      </c>
      <c r="H4801" s="1">
        <v>0.1</v>
      </c>
      <c r="I4801" s="1">
        <v>0.1</v>
      </c>
      <c r="J4801" s="1">
        <v>0.77800869856967891</v>
      </c>
      <c r="K4801" s="1" t="s">
        <v>181</v>
      </c>
    </row>
    <row r="4802" spans="1:11" x14ac:dyDescent="0.25">
      <c r="A4802" s="1" t="s">
        <v>15007</v>
      </c>
      <c r="B4802" s="1" t="s">
        <v>15008</v>
      </c>
      <c r="D4802" s="1" t="s">
        <v>15009</v>
      </c>
      <c r="E4802" s="1" t="s">
        <v>209</v>
      </c>
      <c r="F4802" s="1" t="s">
        <v>5017</v>
      </c>
      <c r="G4802" s="1" t="s">
        <v>5018</v>
      </c>
      <c r="H4802" s="1">
        <v>0.1</v>
      </c>
      <c r="I4802" s="1">
        <v>0.1</v>
      </c>
      <c r="J4802" s="1">
        <v>0.74817166797290724</v>
      </c>
      <c r="K4802" s="1" t="s">
        <v>181</v>
      </c>
    </row>
    <row r="4803" spans="1:11" x14ac:dyDescent="0.25">
      <c r="A4803" s="1" t="s">
        <v>15010</v>
      </c>
      <c r="B4803" s="1" t="s">
        <v>15011</v>
      </c>
      <c r="D4803" s="1" t="s">
        <v>15012</v>
      </c>
      <c r="E4803" s="1" t="s">
        <v>209</v>
      </c>
      <c r="F4803" s="1" t="s">
        <v>5017</v>
      </c>
      <c r="G4803" s="1" t="s">
        <v>5018</v>
      </c>
      <c r="H4803" s="1">
        <v>0.1</v>
      </c>
      <c r="I4803" s="1">
        <v>0.1</v>
      </c>
      <c r="J4803" s="1">
        <v>0.690306385745452</v>
      </c>
      <c r="K4803" s="1" t="s">
        <v>181</v>
      </c>
    </row>
    <row r="4804" spans="1:11" x14ac:dyDescent="0.25">
      <c r="A4804" s="1" t="s">
        <v>15013</v>
      </c>
      <c r="B4804" s="1" t="s">
        <v>15014</v>
      </c>
      <c r="D4804" s="1" t="s">
        <v>15015</v>
      </c>
      <c r="E4804" s="1" t="s">
        <v>209</v>
      </c>
      <c r="F4804" s="1" t="s">
        <v>5017</v>
      </c>
      <c r="G4804" s="1" t="s">
        <v>5018</v>
      </c>
      <c r="H4804" s="1">
        <v>0.1</v>
      </c>
      <c r="I4804" s="1">
        <v>0.1</v>
      </c>
      <c r="J4804" s="1">
        <v>0.72308778487371295</v>
      </c>
      <c r="K4804" s="1" t="s">
        <v>181</v>
      </c>
    </row>
    <row r="4805" spans="1:11" x14ac:dyDescent="0.25">
      <c r="A4805" s="1" t="s">
        <v>15016</v>
      </c>
      <c r="B4805" s="1" t="s">
        <v>15017</v>
      </c>
      <c r="D4805" s="1" t="s">
        <v>15018</v>
      </c>
      <c r="E4805" s="1" t="s">
        <v>209</v>
      </c>
      <c r="F4805" s="1" t="s">
        <v>5017</v>
      </c>
      <c r="G4805" s="1" t="s">
        <v>5018</v>
      </c>
      <c r="H4805" s="1">
        <v>0.1</v>
      </c>
      <c r="I4805" s="1">
        <v>0.1</v>
      </c>
      <c r="J4805" s="1">
        <v>0.72701905630286823</v>
      </c>
      <c r="K4805" s="1" t="s">
        <v>181</v>
      </c>
    </row>
    <row r="4806" spans="1:11" x14ac:dyDescent="0.25">
      <c r="A4806" s="1" t="s">
        <v>15019</v>
      </c>
      <c r="B4806" s="1" t="s">
        <v>15020</v>
      </c>
      <c r="D4806" s="1" t="s">
        <v>15021</v>
      </c>
      <c r="E4806" s="1" t="s">
        <v>209</v>
      </c>
      <c r="F4806" s="1" t="s">
        <v>5017</v>
      </c>
      <c r="G4806" s="1" t="s">
        <v>5018</v>
      </c>
      <c r="H4806" s="1">
        <v>0.1</v>
      </c>
      <c r="I4806" s="1">
        <v>0.1</v>
      </c>
      <c r="J4806" s="1">
        <v>0.84539066716556333</v>
      </c>
      <c r="K4806" s="1" t="s">
        <v>181</v>
      </c>
    </row>
    <row r="4807" spans="1:11" x14ac:dyDescent="0.25">
      <c r="A4807" s="1" t="s">
        <v>15022</v>
      </c>
      <c r="B4807" s="1" t="s">
        <v>15023</v>
      </c>
      <c r="D4807" s="1" t="s">
        <v>15024</v>
      </c>
      <c r="E4807" s="1" t="s">
        <v>209</v>
      </c>
      <c r="F4807" s="1" t="s">
        <v>5017</v>
      </c>
      <c r="G4807" s="1" t="s">
        <v>5018</v>
      </c>
      <c r="H4807" s="1">
        <v>0.1</v>
      </c>
      <c r="I4807" s="1">
        <v>0.1</v>
      </c>
      <c r="J4807" s="1">
        <v>0.53145706728586772</v>
      </c>
      <c r="K4807" s="1" t="s">
        <v>181</v>
      </c>
    </row>
    <row r="4808" spans="1:11" x14ac:dyDescent="0.25">
      <c r="A4808" s="1" t="s">
        <v>15025</v>
      </c>
      <c r="B4808" s="1" t="s">
        <v>15026</v>
      </c>
      <c r="D4808" s="1" t="s">
        <v>15027</v>
      </c>
      <c r="E4808" s="1" t="s">
        <v>209</v>
      </c>
      <c r="F4808" s="1" t="s">
        <v>5017</v>
      </c>
      <c r="G4808" s="1" t="s">
        <v>5018</v>
      </c>
      <c r="H4808" s="1">
        <v>0.1</v>
      </c>
      <c r="I4808" s="1">
        <v>0.1</v>
      </c>
      <c r="J4808" s="1">
        <v>0.60613820855598899</v>
      </c>
      <c r="K4808" s="1" t="s">
        <v>181</v>
      </c>
    </row>
    <row r="4809" spans="1:11" x14ac:dyDescent="0.25">
      <c r="A4809" s="1" t="s">
        <v>15028</v>
      </c>
      <c r="B4809" s="1" t="s">
        <v>15029</v>
      </c>
      <c r="D4809" s="1" t="s">
        <v>15030</v>
      </c>
      <c r="E4809" s="1" t="s">
        <v>209</v>
      </c>
      <c r="F4809" s="1" t="s">
        <v>5017</v>
      </c>
      <c r="G4809" s="1" t="s">
        <v>5018</v>
      </c>
      <c r="H4809" s="1">
        <v>0.1</v>
      </c>
      <c r="I4809" s="1">
        <v>0.1</v>
      </c>
      <c r="J4809" s="1">
        <v>0.61102997708849938</v>
      </c>
      <c r="K4809" s="1" t="s">
        <v>181</v>
      </c>
    </row>
    <row r="4810" spans="1:11" x14ac:dyDescent="0.25">
      <c r="A4810" s="1" t="s">
        <v>15031</v>
      </c>
      <c r="B4810" s="1" t="s">
        <v>15032</v>
      </c>
      <c r="D4810" s="1" t="s">
        <v>15033</v>
      </c>
      <c r="E4810" s="1" t="s">
        <v>209</v>
      </c>
      <c r="F4810" s="1" t="s">
        <v>5017</v>
      </c>
      <c r="G4810" s="1" t="s">
        <v>5018</v>
      </c>
      <c r="H4810" s="1">
        <v>0.1</v>
      </c>
      <c r="I4810" s="1">
        <v>0.1</v>
      </c>
      <c r="J4810" s="1">
        <v>0.74449187535951766</v>
      </c>
      <c r="K4810" s="1" t="s">
        <v>181</v>
      </c>
    </row>
    <row r="4811" spans="1:11" x14ac:dyDescent="0.25">
      <c r="A4811" s="1" t="s">
        <v>15034</v>
      </c>
      <c r="B4811" s="1" t="s">
        <v>15035</v>
      </c>
      <c r="D4811" s="1" t="s">
        <v>15036</v>
      </c>
      <c r="E4811" s="1" t="s">
        <v>209</v>
      </c>
      <c r="F4811" s="1" t="s">
        <v>5017</v>
      </c>
      <c r="G4811" s="1" t="s">
        <v>5018</v>
      </c>
      <c r="H4811" s="1">
        <v>0.1</v>
      </c>
      <c r="I4811" s="1">
        <v>0.1</v>
      </c>
      <c r="J4811" s="1">
        <v>0.69356268386691233</v>
      </c>
      <c r="K4811" s="1" t="s">
        <v>181</v>
      </c>
    </row>
    <row r="4812" spans="1:11" x14ac:dyDescent="0.25">
      <c r="A4812" s="1" t="s">
        <v>15037</v>
      </c>
      <c r="B4812" s="1" t="s">
        <v>15038</v>
      </c>
      <c r="D4812" s="1" t="s">
        <v>15039</v>
      </c>
      <c r="E4812" s="1" t="s">
        <v>209</v>
      </c>
      <c r="F4812" s="1" t="s">
        <v>5017</v>
      </c>
      <c r="G4812" s="1" t="s">
        <v>5018</v>
      </c>
      <c r="H4812" s="1">
        <v>0.1</v>
      </c>
      <c r="I4812" s="1">
        <v>0.1</v>
      </c>
      <c r="J4812" s="1">
        <v>0.57117374207553773</v>
      </c>
      <c r="K4812" s="1" t="s">
        <v>181</v>
      </c>
    </row>
    <row r="4813" spans="1:11" x14ac:dyDescent="0.25">
      <c r="A4813" s="1" t="s">
        <v>15040</v>
      </c>
      <c r="B4813" s="1" t="s">
        <v>15041</v>
      </c>
      <c r="D4813" s="1" t="s">
        <v>15042</v>
      </c>
      <c r="E4813" s="1" t="s">
        <v>209</v>
      </c>
      <c r="F4813" s="1" t="s">
        <v>5017</v>
      </c>
      <c r="G4813" s="1" t="s">
        <v>5018</v>
      </c>
      <c r="H4813" s="1">
        <v>0.1</v>
      </c>
      <c r="I4813" s="1">
        <v>0.1</v>
      </c>
      <c r="J4813" s="1">
        <v>0.54871290705219078</v>
      </c>
      <c r="K4813" s="1" t="s">
        <v>181</v>
      </c>
    </row>
    <row r="4814" spans="1:11" x14ac:dyDescent="0.25">
      <c r="A4814" s="1" t="s">
        <v>15043</v>
      </c>
      <c r="B4814" s="1" t="s">
        <v>15044</v>
      </c>
      <c r="D4814" s="1" t="s">
        <v>15045</v>
      </c>
      <c r="E4814" s="1" t="s">
        <v>209</v>
      </c>
      <c r="F4814" s="1" t="s">
        <v>5017</v>
      </c>
      <c r="G4814" s="1" t="s">
        <v>5018</v>
      </c>
      <c r="H4814" s="1">
        <v>0.1</v>
      </c>
      <c r="I4814" s="1">
        <v>0.1</v>
      </c>
      <c r="J4814" s="1">
        <v>0.5926013808200925</v>
      </c>
      <c r="K4814" s="1" t="s">
        <v>181</v>
      </c>
    </row>
    <row r="4815" spans="1:11" x14ac:dyDescent="0.25">
      <c r="A4815" s="1" t="s">
        <v>15046</v>
      </c>
      <c r="B4815" s="1" t="s">
        <v>15047</v>
      </c>
      <c r="D4815" s="1" t="s">
        <v>15048</v>
      </c>
      <c r="E4815" s="1" t="s">
        <v>209</v>
      </c>
      <c r="F4815" s="1" t="s">
        <v>5017</v>
      </c>
      <c r="G4815" s="1" t="s">
        <v>5018</v>
      </c>
      <c r="H4815" s="1">
        <v>0.1</v>
      </c>
      <c r="I4815" s="1">
        <v>0.1</v>
      </c>
      <c r="J4815" s="1">
        <v>0.67058370076832863</v>
      </c>
      <c r="K4815" s="1" t="s">
        <v>181</v>
      </c>
    </row>
    <row r="4816" spans="1:11" x14ac:dyDescent="0.25">
      <c r="A4816" s="1" t="s">
        <v>15049</v>
      </c>
      <c r="B4816" s="1" t="s">
        <v>15050</v>
      </c>
      <c r="D4816" s="1" t="s">
        <v>15051</v>
      </c>
      <c r="E4816" s="1" t="s">
        <v>209</v>
      </c>
      <c r="F4816" s="1" t="s">
        <v>5017</v>
      </c>
      <c r="G4816" s="1" t="s">
        <v>5018</v>
      </c>
      <c r="H4816" s="1">
        <v>0.1</v>
      </c>
      <c r="I4816" s="1">
        <v>0.1</v>
      </c>
      <c r="J4816" s="1">
        <v>0.6300962092361917</v>
      </c>
      <c r="K4816" s="1" t="s">
        <v>181</v>
      </c>
    </row>
    <row r="4817" spans="1:11" x14ac:dyDescent="0.25">
      <c r="A4817" s="1" t="s">
        <v>15052</v>
      </c>
      <c r="B4817" s="1" t="s">
        <v>15053</v>
      </c>
      <c r="D4817" s="1" t="s">
        <v>15054</v>
      </c>
      <c r="E4817" s="1" t="s">
        <v>209</v>
      </c>
      <c r="F4817" s="1" t="s">
        <v>5017</v>
      </c>
      <c r="G4817" s="1" t="s">
        <v>5018</v>
      </c>
      <c r="H4817" s="1">
        <v>0.1</v>
      </c>
      <c r="I4817" s="1">
        <v>0.1</v>
      </c>
      <c r="J4817" s="1">
        <v>0.78631654620275693</v>
      </c>
      <c r="K4817" s="1" t="s">
        <v>181</v>
      </c>
    </row>
    <row r="4818" spans="1:11" x14ac:dyDescent="0.25">
      <c r="A4818" s="1" t="s">
        <v>15055</v>
      </c>
      <c r="B4818" s="1" t="s">
        <v>15056</v>
      </c>
      <c r="D4818" s="1" t="s">
        <v>15057</v>
      </c>
      <c r="E4818" s="1" t="s">
        <v>209</v>
      </c>
      <c r="F4818" s="1" t="s">
        <v>5017</v>
      </c>
      <c r="G4818" s="1" t="s">
        <v>5018</v>
      </c>
      <c r="H4818" s="1">
        <v>0.1</v>
      </c>
      <c r="I4818" s="1">
        <v>0.1</v>
      </c>
      <c r="J4818" s="1">
        <v>0.54506250344740281</v>
      </c>
      <c r="K4818" s="1" t="s">
        <v>181</v>
      </c>
    </row>
    <row r="4819" spans="1:11" x14ac:dyDescent="0.25">
      <c r="A4819" s="1" t="s">
        <v>15058</v>
      </c>
      <c r="B4819" s="1" t="s">
        <v>15059</v>
      </c>
      <c r="D4819" s="1" t="s">
        <v>15060</v>
      </c>
      <c r="E4819" s="1" t="s">
        <v>209</v>
      </c>
      <c r="F4819" s="1" t="s">
        <v>5017</v>
      </c>
      <c r="G4819" s="1" t="s">
        <v>5018</v>
      </c>
      <c r="H4819" s="1">
        <v>0.1</v>
      </c>
      <c r="I4819" s="1">
        <v>0.1</v>
      </c>
      <c r="J4819" s="1">
        <v>0.64396982996151464</v>
      </c>
      <c r="K4819" s="1" t="s">
        <v>181</v>
      </c>
    </row>
    <row r="4820" spans="1:11" x14ac:dyDescent="0.25">
      <c r="A4820" s="1" t="s">
        <v>15061</v>
      </c>
      <c r="B4820" s="1" t="s">
        <v>15062</v>
      </c>
      <c r="D4820" s="1" t="s">
        <v>15063</v>
      </c>
      <c r="E4820" s="1" t="s">
        <v>209</v>
      </c>
      <c r="F4820" s="1" t="s">
        <v>5017</v>
      </c>
      <c r="G4820" s="1" t="s">
        <v>5018</v>
      </c>
      <c r="H4820" s="1">
        <v>0.1</v>
      </c>
      <c r="I4820" s="1">
        <v>0.1</v>
      </c>
      <c r="J4820" s="1">
        <v>0.67918385949740423</v>
      </c>
      <c r="K4820" s="1" t="s">
        <v>181</v>
      </c>
    </row>
    <row r="4821" spans="1:11" x14ac:dyDescent="0.25">
      <c r="A4821" s="1" t="s">
        <v>15064</v>
      </c>
      <c r="B4821" s="1" t="s">
        <v>15065</v>
      </c>
      <c r="D4821" s="1" t="s">
        <v>15066</v>
      </c>
      <c r="E4821" s="1" t="s">
        <v>209</v>
      </c>
      <c r="F4821" s="1" t="s">
        <v>5017</v>
      </c>
      <c r="G4821" s="1" t="s">
        <v>5018</v>
      </c>
      <c r="H4821" s="1">
        <v>0.1</v>
      </c>
      <c r="I4821" s="1">
        <v>0.1</v>
      </c>
      <c r="J4821" s="1">
        <v>0.57876598125778234</v>
      </c>
      <c r="K4821" s="1" t="s">
        <v>181</v>
      </c>
    </row>
    <row r="4822" spans="1:11" x14ac:dyDescent="0.25">
      <c r="A4822" s="1" t="s">
        <v>15067</v>
      </c>
      <c r="B4822" s="1" t="s">
        <v>15068</v>
      </c>
      <c r="D4822" s="1" t="s">
        <v>15069</v>
      </c>
      <c r="E4822" s="1" t="s">
        <v>209</v>
      </c>
      <c r="F4822" s="1" t="s">
        <v>5017</v>
      </c>
      <c r="G4822" s="1" t="s">
        <v>5018</v>
      </c>
      <c r="H4822" s="1">
        <v>0.1</v>
      </c>
      <c r="I4822" s="1">
        <v>0.1</v>
      </c>
      <c r="J4822" s="1">
        <v>0.60191663465823542</v>
      </c>
      <c r="K4822" s="1" t="s">
        <v>181</v>
      </c>
    </row>
    <row r="4823" spans="1:11" x14ac:dyDescent="0.25">
      <c r="A4823" s="1" t="s">
        <v>15070</v>
      </c>
      <c r="B4823" s="1" t="s">
        <v>15071</v>
      </c>
      <c r="D4823" s="1" t="s">
        <v>15072</v>
      </c>
      <c r="E4823" s="1" t="s">
        <v>209</v>
      </c>
      <c r="F4823" s="1" t="s">
        <v>5017</v>
      </c>
      <c r="G4823" s="1" t="s">
        <v>5018</v>
      </c>
      <c r="H4823" s="1">
        <v>0.1</v>
      </c>
      <c r="I4823" s="1">
        <v>0.1</v>
      </c>
      <c r="J4823" s="1">
        <v>0.61240634906953351</v>
      </c>
      <c r="K4823" s="1" t="s">
        <v>181</v>
      </c>
    </row>
    <row r="4824" spans="1:11" x14ac:dyDescent="0.25">
      <c r="A4824" s="1" t="s">
        <v>15073</v>
      </c>
      <c r="B4824" s="1" t="s">
        <v>15074</v>
      </c>
      <c r="D4824" s="1" t="s">
        <v>15075</v>
      </c>
      <c r="E4824" s="1" t="s">
        <v>209</v>
      </c>
      <c r="F4824" s="1" t="s">
        <v>5017</v>
      </c>
      <c r="G4824" s="1" t="s">
        <v>5018</v>
      </c>
      <c r="H4824" s="1">
        <v>0.1</v>
      </c>
      <c r="I4824" s="1">
        <v>0.1</v>
      </c>
      <c r="J4824" s="1">
        <v>0.75936937040062669</v>
      </c>
      <c r="K4824" s="1" t="s">
        <v>181</v>
      </c>
    </row>
    <row r="4825" spans="1:11" x14ac:dyDescent="0.25">
      <c r="A4825" s="1" t="s">
        <v>15076</v>
      </c>
      <c r="B4825" s="1" t="s">
        <v>15077</v>
      </c>
      <c r="D4825" s="1" t="s">
        <v>15078</v>
      </c>
      <c r="E4825" s="1" t="s">
        <v>209</v>
      </c>
      <c r="F4825" s="1" t="s">
        <v>5017</v>
      </c>
      <c r="G4825" s="1" t="s">
        <v>5018</v>
      </c>
      <c r="H4825" s="1">
        <v>0.1</v>
      </c>
      <c r="I4825" s="1">
        <v>0.1</v>
      </c>
      <c r="J4825" s="1">
        <v>0.71306231407600373</v>
      </c>
      <c r="K4825" s="1" t="s">
        <v>181</v>
      </c>
    </row>
    <row r="4826" spans="1:11" x14ac:dyDescent="0.25">
      <c r="A4826" s="1" t="s">
        <v>15079</v>
      </c>
      <c r="B4826" s="1" t="s">
        <v>15080</v>
      </c>
      <c r="D4826" s="1" t="s">
        <v>15081</v>
      </c>
      <c r="E4826" s="1" t="s">
        <v>209</v>
      </c>
      <c r="F4826" s="1" t="s">
        <v>5017</v>
      </c>
      <c r="G4826" s="1" t="s">
        <v>5018</v>
      </c>
      <c r="H4826" s="1">
        <v>0.1</v>
      </c>
      <c r="I4826" s="1">
        <v>0.1</v>
      </c>
      <c r="J4826" s="1">
        <v>0.61011418209666868</v>
      </c>
      <c r="K4826" s="1" t="s">
        <v>181</v>
      </c>
    </row>
    <row r="4827" spans="1:11" x14ac:dyDescent="0.25">
      <c r="A4827" s="1" t="s">
        <v>15082</v>
      </c>
      <c r="B4827" s="1" t="s">
        <v>15083</v>
      </c>
      <c r="D4827" s="1" t="s">
        <v>15084</v>
      </c>
      <c r="E4827" s="1" t="s">
        <v>209</v>
      </c>
      <c r="F4827" s="1" t="s">
        <v>5017</v>
      </c>
      <c r="G4827" s="1" t="s">
        <v>5018</v>
      </c>
      <c r="H4827" s="1">
        <v>0.1</v>
      </c>
      <c r="I4827" s="1">
        <v>0.1</v>
      </c>
      <c r="J4827" s="1">
        <v>0.5408092080890583</v>
      </c>
      <c r="K4827" s="1" t="s">
        <v>181</v>
      </c>
    </row>
    <row r="4828" spans="1:11" x14ac:dyDescent="0.25">
      <c r="A4828" s="1" t="s">
        <v>15085</v>
      </c>
      <c r="B4828" s="1" t="s">
        <v>15086</v>
      </c>
      <c r="D4828" s="1" t="s">
        <v>15087</v>
      </c>
      <c r="E4828" s="1" t="s">
        <v>209</v>
      </c>
      <c r="F4828" s="1" t="s">
        <v>5017</v>
      </c>
      <c r="G4828" s="1" t="s">
        <v>5018</v>
      </c>
      <c r="H4828" s="1">
        <v>0.1</v>
      </c>
      <c r="I4828" s="1">
        <v>0.1</v>
      </c>
      <c r="J4828" s="1">
        <v>0.49280096447983829</v>
      </c>
      <c r="K4828" s="1" t="s">
        <v>181</v>
      </c>
    </row>
    <row r="4829" spans="1:11" x14ac:dyDescent="0.25">
      <c r="A4829" s="1" t="s">
        <v>15088</v>
      </c>
      <c r="B4829" s="1" t="s">
        <v>15089</v>
      </c>
      <c r="D4829" s="1" t="s">
        <v>15090</v>
      </c>
      <c r="E4829" s="1" t="s">
        <v>209</v>
      </c>
      <c r="F4829" s="1" t="s">
        <v>5017</v>
      </c>
      <c r="G4829" s="1" t="s">
        <v>5018</v>
      </c>
      <c r="H4829" s="1">
        <v>0.1</v>
      </c>
      <c r="I4829" s="1">
        <v>0.1</v>
      </c>
      <c r="J4829" s="1">
        <v>0.75246285005423352</v>
      </c>
      <c r="K4829" s="1" t="s">
        <v>181</v>
      </c>
    </row>
    <row r="4830" spans="1:11" x14ac:dyDescent="0.25">
      <c r="A4830" s="1" t="s">
        <v>15091</v>
      </c>
      <c r="B4830" s="1" t="s">
        <v>15092</v>
      </c>
      <c r="D4830" s="1" t="s">
        <v>15093</v>
      </c>
      <c r="E4830" s="1" t="s">
        <v>209</v>
      </c>
      <c r="F4830" s="1" t="s">
        <v>5017</v>
      </c>
      <c r="G4830" s="1" t="s">
        <v>5018</v>
      </c>
      <c r="H4830" s="1">
        <v>0.1</v>
      </c>
      <c r="I4830" s="1">
        <v>0.1</v>
      </c>
      <c r="J4830" s="1">
        <v>0.48830231898830045</v>
      </c>
      <c r="K4830" s="1" t="s">
        <v>181</v>
      </c>
    </row>
    <row r="4831" spans="1:11" x14ac:dyDescent="0.25">
      <c r="A4831" s="1" t="s">
        <v>15094</v>
      </c>
      <c r="B4831" s="1" t="s">
        <v>15095</v>
      </c>
      <c r="D4831" s="1" t="s">
        <v>15096</v>
      </c>
      <c r="E4831" s="1" t="s">
        <v>209</v>
      </c>
      <c r="F4831" s="1" t="s">
        <v>5017</v>
      </c>
      <c r="G4831" s="1" t="s">
        <v>5018</v>
      </c>
      <c r="H4831" s="1">
        <v>0.1</v>
      </c>
      <c r="I4831" s="1">
        <v>0.1</v>
      </c>
      <c r="J4831" s="1">
        <v>0.54005321242638937</v>
      </c>
      <c r="K4831" s="1" t="s">
        <v>181</v>
      </c>
    </row>
    <row r="4832" spans="1:11" x14ac:dyDescent="0.25">
      <c r="A4832" s="1" t="s">
        <v>15097</v>
      </c>
      <c r="B4832" s="1" t="s">
        <v>15098</v>
      </c>
      <c r="D4832" s="1" t="s">
        <v>15099</v>
      </c>
      <c r="E4832" s="1" t="s">
        <v>209</v>
      </c>
      <c r="F4832" s="1" t="s">
        <v>5017</v>
      </c>
      <c r="G4832" s="1" t="s">
        <v>5018</v>
      </c>
      <c r="H4832" s="1">
        <v>0.1</v>
      </c>
      <c r="I4832" s="1">
        <v>0.1</v>
      </c>
      <c r="J4832" s="1">
        <v>0.63603323686732627</v>
      </c>
      <c r="K4832" s="1" t="s">
        <v>181</v>
      </c>
    </row>
    <row r="4833" spans="1:11" x14ac:dyDescent="0.25">
      <c r="A4833" s="1" t="s">
        <v>15100</v>
      </c>
      <c r="B4833" s="1" t="s">
        <v>15101</v>
      </c>
      <c r="D4833" s="1" t="s">
        <v>15102</v>
      </c>
      <c r="E4833" s="1" t="s">
        <v>209</v>
      </c>
      <c r="F4833" s="1" t="s">
        <v>5017</v>
      </c>
      <c r="G4833" s="1" t="s">
        <v>5018</v>
      </c>
      <c r="H4833" s="1">
        <v>0.1</v>
      </c>
      <c r="I4833" s="1">
        <v>0.1</v>
      </c>
      <c r="J4833" s="1">
        <v>0.70842280064674468</v>
      </c>
      <c r="K4833" s="1" t="s">
        <v>181</v>
      </c>
    </row>
    <row r="4834" spans="1:11" x14ac:dyDescent="0.25">
      <c r="A4834" s="1" t="s">
        <v>15103</v>
      </c>
      <c r="B4834" s="1" t="s">
        <v>15104</v>
      </c>
      <c r="D4834" s="1" t="s">
        <v>15105</v>
      </c>
      <c r="E4834" s="1" t="s">
        <v>209</v>
      </c>
      <c r="F4834" s="1" t="s">
        <v>5017</v>
      </c>
      <c r="G4834" s="1" t="s">
        <v>5018</v>
      </c>
      <c r="H4834" s="1">
        <v>0.1</v>
      </c>
      <c r="I4834" s="1">
        <v>0.1</v>
      </c>
      <c r="J4834" s="1">
        <v>0.64330573754578801</v>
      </c>
      <c r="K4834" s="1" t="s">
        <v>181</v>
      </c>
    </row>
    <row r="4835" spans="1:11" x14ac:dyDescent="0.25">
      <c r="A4835" s="1" t="s">
        <v>67</v>
      </c>
      <c r="B4835" s="1" t="s">
        <v>15106</v>
      </c>
      <c r="D4835" s="1" t="s">
        <v>15107</v>
      </c>
      <c r="E4835" s="1" t="s">
        <v>209</v>
      </c>
      <c r="F4835" s="1" t="s">
        <v>5017</v>
      </c>
      <c r="G4835" s="1" t="s">
        <v>5018</v>
      </c>
      <c r="H4835" s="1">
        <v>0.1</v>
      </c>
      <c r="I4835" s="1">
        <v>0.1</v>
      </c>
      <c r="J4835" s="1">
        <v>0.60134285901391371</v>
      </c>
      <c r="K4835" s="1" t="s">
        <v>181</v>
      </c>
    </row>
    <row r="4836" spans="1:11" x14ac:dyDescent="0.25">
      <c r="A4836" s="1" t="s">
        <v>15108</v>
      </c>
      <c r="B4836" s="1" t="s">
        <v>15109</v>
      </c>
      <c r="D4836" s="1" t="s">
        <v>15110</v>
      </c>
      <c r="E4836" s="1" t="s">
        <v>209</v>
      </c>
      <c r="F4836" s="1" t="s">
        <v>5017</v>
      </c>
      <c r="G4836" s="1" t="s">
        <v>5018</v>
      </c>
      <c r="H4836" s="1">
        <v>0.1</v>
      </c>
      <c r="I4836" s="1">
        <v>0.1</v>
      </c>
      <c r="J4836" s="1">
        <v>0.51556603759538877</v>
      </c>
      <c r="K4836" s="1" t="s">
        <v>181</v>
      </c>
    </row>
    <row r="4837" spans="1:11" x14ac:dyDescent="0.25">
      <c r="A4837" s="1" t="s">
        <v>15111</v>
      </c>
      <c r="B4837" s="1" t="s">
        <v>15112</v>
      </c>
      <c r="D4837" s="1" t="s">
        <v>15113</v>
      </c>
      <c r="E4837" s="1" t="s">
        <v>209</v>
      </c>
      <c r="F4837" s="1" t="s">
        <v>5017</v>
      </c>
      <c r="G4837" s="1" t="s">
        <v>5018</v>
      </c>
      <c r="H4837" s="1">
        <v>0.1</v>
      </c>
      <c r="I4837" s="1">
        <v>0.1</v>
      </c>
      <c r="J4837" s="1">
        <v>0.72856631429153029</v>
      </c>
      <c r="K4837" s="1" t="s">
        <v>181</v>
      </c>
    </row>
    <row r="4838" spans="1:11" x14ac:dyDescent="0.25">
      <c r="A4838" s="1" t="s">
        <v>15114</v>
      </c>
      <c r="B4838" s="1" t="s">
        <v>15115</v>
      </c>
      <c r="D4838" s="1" t="s">
        <v>15116</v>
      </c>
      <c r="E4838" s="1" t="s">
        <v>209</v>
      </c>
      <c r="F4838" s="1" t="s">
        <v>5017</v>
      </c>
      <c r="G4838" s="1" t="s">
        <v>5018</v>
      </c>
      <c r="H4838" s="1">
        <v>0.1</v>
      </c>
      <c r="I4838" s="1">
        <v>0.1</v>
      </c>
      <c r="J4838" s="1">
        <v>0.91312034267749531</v>
      </c>
      <c r="K4838" s="1" t="s">
        <v>181</v>
      </c>
    </row>
    <row r="4839" spans="1:11" x14ac:dyDescent="0.25">
      <c r="A4839" s="1" t="s">
        <v>15117</v>
      </c>
      <c r="B4839" s="1" t="s">
        <v>15118</v>
      </c>
      <c r="D4839" s="1" t="s">
        <v>15119</v>
      </c>
      <c r="E4839" s="1" t="s">
        <v>209</v>
      </c>
      <c r="F4839" s="1" t="s">
        <v>5017</v>
      </c>
      <c r="G4839" s="1" t="s">
        <v>5018</v>
      </c>
      <c r="H4839" s="1">
        <v>0.1</v>
      </c>
      <c r="I4839" s="1">
        <v>0.1</v>
      </c>
      <c r="J4839" s="1">
        <v>0.62343691875582918</v>
      </c>
      <c r="K4839" s="1" t="s">
        <v>181</v>
      </c>
    </row>
    <row r="4840" spans="1:11" x14ac:dyDescent="0.25">
      <c r="A4840" s="1" t="s">
        <v>15120</v>
      </c>
      <c r="B4840" s="1" t="s">
        <v>15121</v>
      </c>
      <c r="D4840" s="1" t="s">
        <v>15122</v>
      </c>
      <c r="E4840" s="1" t="s">
        <v>209</v>
      </c>
      <c r="F4840" s="1" t="s">
        <v>5017</v>
      </c>
      <c r="G4840" s="1" t="s">
        <v>5018</v>
      </c>
      <c r="H4840" s="1">
        <v>0.1</v>
      </c>
      <c r="I4840" s="1">
        <v>0.1</v>
      </c>
      <c r="J4840" s="1">
        <v>0.40896698171874535</v>
      </c>
      <c r="K4840" s="1" t="s">
        <v>181</v>
      </c>
    </row>
    <row r="4841" spans="1:11" x14ac:dyDescent="0.25">
      <c r="A4841" s="1" t="s">
        <v>15123</v>
      </c>
      <c r="B4841" s="1" t="s">
        <v>15124</v>
      </c>
      <c r="D4841" s="1" t="s">
        <v>15125</v>
      </c>
      <c r="E4841" s="1" t="s">
        <v>209</v>
      </c>
      <c r="F4841" s="1" t="s">
        <v>5017</v>
      </c>
      <c r="G4841" s="1" t="s">
        <v>5018</v>
      </c>
      <c r="H4841" s="1">
        <v>0.1</v>
      </c>
      <c r="I4841" s="1">
        <v>0.1</v>
      </c>
      <c r="J4841" s="1">
        <v>0.39421710969302681</v>
      </c>
      <c r="K4841" s="1" t="s">
        <v>181</v>
      </c>
    </row>
    <row r="4842" spans="1:11" x14ac:dyDescent="0.25">
      <c r="A4842" s="1" t="s">
        <v>15126</v>
      </c>
      <c r="B4842" s="1" t="s">
        <v>15127</v>
      </c>
      <c r="D4842" s="1" t="s">
        <v>15128</v>
      </c>
      <c r="E4842" s="1" t="s">
        <v>209</v>
      </c>
      <c r="F4842" s="1" t="s">
        <v>5017</v>
      </c>
      <c r="G4842" s="1" t="s">
        <v>5018</v>
      </c>
      <c r="H4842" s="1">
        <v>0.1</v>
      </c>
      <c r="I4842" s="1">
        <v>0.1</v>
      </c>
      <c r="J4842" s="1">
        <v>0.67721283873456695</v>
      </c>
      <c r="K4842" s="1" t="s">
        <v>181</v>
      </c>
    </row>
    <row r="4843" spans="1:11" x14ac:dyDescent="0.25">
      <c r="A4843" s="1" t="s">
        <v>15129</v>
      </c>
      <c r="B4843" s="1" t="s">
        <v>15130</v>
      </c>
      <c r="D4843" s="1" t="s">
        <v>15131</v>
      </c>
      <c r="E4843" s="1" t="s">
        <v>209</v>
      </c>
      <c r="F4843" s="1" t="s">
        <v>5017</v>
      </c>
      <c r="G4843" s="1" t="s">
        <v>5018</v>
      </c>
      <c r="H4843" s="1">
        <v>0.1</v>
      </c>
      <c r="I4843" s="1">
        <v>0.1</v>
      </c>
      <c r="J4843" s="1">
        <v>0.67478142179004019</v>
      </c>
      <c r="K4843" s="1" t="s">
        <v>181</v>
      </c>
    </row>
    <row r="4844" spans="1:11" x14ac:dyDescent="0.25">
      <c r="A4844" s="1" t="s">
        <v>15132</v>
      </c>
      <c r="B4844" s="1" t="s">
        <v>15133</v>
      </c>
      <c r="D4844" s="1" t="s">
        <v>15134</v>
      </c>
      <c r="E4844" s="1" t="s">
        <v>209</v>
      </c>
      <c r="F4844" s="1" t="s">
        <v>5017</v>
      </c>
      <c r="G4844" s="1" t="s">
        <v>5018</v>
      </c>
      <c r="H4844" s="1">
        <v>0.1</v>
      </c>
      <c r="I4844" s="1">
        <v>0.1</v>
      </c>
      <c r="J4844" s="1">
        <v>0.70419163836303666</v>
      </c>
      <c r="K4844" s="1" t="s">
        <v>181</v>
      </c>
    </row>
    <row r="4845" spans="1:11" x14ac:dyDescent="0.25">
      <c r="A4845" s="1" t="s">
        <v>60</v>
      </c>
      <c r="B4845" s="1" t="s">
        <v>15135</v>
      </c>
      <c r="D4845" s="1" t="s">
        <v>15136</v>
      </c>
      <c r="E4845" s="1" t="s">
        <v>209</v>
      </c>
      <c r="F4845" s="1" t="s">
        <v>5017</v>
      </c>
      <c r="G4845" s="1" t="s">
        <v>5018</v>
      </c>
      <c r="H4845" s="1">
        <v>0.1</v>
      </c>
      <c r="I4845" s="1">
        <v>0.1</v>
      </c>
      <c r="J4845" s="1">
        <v>0.98423563930899083</v>
      </c>
      <c r="K4845" s="1" t="s">
        <v>181</v>
      </c>
    </row>
    <row r="4846" spans="1:11" x14ac:dyDescent="0.25">
      <c r="A4846" s="1" t="s">
        <v>15137</v>
      </c>
      <c r="B4846" s="1" t="s">
        <v>15138</v>
      </c>
      <c r="D4846" s="1" t="s">
        <v>15139</v>
      </c>
      <c r="E4846" s="1" t="s">
        <v>209</v>
      </c>
      <c r="F4846" s="1" t="s">
        <v>5017</v>
      </c>
      <c r="G4846" s="1" t="s">
        <v>5018</v>
      </c>
      <c r="H4846" s="1">
        <v>0.1</v>
      </c>
      <c r="I4846" s="1">
        <v>0.1</v>
      </c>
      <c r="J4846" s="1">
        <v>0.62521894992276705</v>
      </c>
      <c r="K4846" s="1" t="s">
        <v>181</v>
      </c>
    </row>
    <row r="4847" spans="1:11" x14ac:dyDescent="0.25">
      <c r="A4847" s="1" t="s">
        <v>15140</v>
      </c>
      <c r="B4847" s="1" t="s">
        <v>15141</v>
      </c>
      <c r="D4847" s="1" t="s">
        <v>15142</v>
      </c>
      <c r="E4847" s="1" t="s">
        <v>209</v>
      </c>
      <c r="F4847" s="1" t="s">
        <v>5017</v>
      </c>
      <c r="G4847" s="1" t="s">
        <v>5018</v>
      </c>
      <c r="H4847" s="1">
        <v>0.1</v>
      </c>
      <c r="I4847" s="1">
        <v>0.1</v>
      </c>
      <c r="J4847" s="1">
        <v>0.60667736945163575</v>
      </c>
      <c r="K4847" s="1" t="s">
        <v>181</v>
      </c>
    </row>
    <row r="4848" spans="1:11" x14ac:dyDescent="0.25">
      <c r="A4848" s="1" t="s">
        <v>15143</v>
      </c>
      <c r="B4848" s="1" t="s">
        <v>15144</v>
      </c>
      <c r="D4848" s="1" t="s">
        <v>15145</v>
      </c>
      <c r="E4848" s="1" t="s">
        <v>209</v>
      </c>
      <c r="F4848" s="1" t="s">
        <v>5017</v>
      </c>
      <c r="G4848" s="1" t="s">
        <v>5018</v>
      </c>
      <c r="H4848" s="1">
        <v>0.1</v>
      </c>
      <c r="I4848" s="1">
        <v>0.1</v>
      </c>
      <c r="J4848" s="1">
        <v>0.5179633789793886</v>
      </c>
      <c r="K4848" s="1" t="s">
        <v>181</v>
      </c>
    </row>
    <row r="4849" spans="1:11" x14ac:dyDescent="0.25">
      <c r="A4849" s="1" t="s">
        <v>15146</v>
      </c>
      <c r="B4849" s="1" t="s">
        <v>15147</v>
      </c>
      <c r="D4849" s="1" t="s">
        <v>15148</v>
      </c>
      <c r="E4849" s="1" t="s">
        <v>209</v>
      </c>
      <c r="F4849" s="1" t="s">
        <v>5017</v>
      </c>
      <c r="G4849" s="1" t="s">
        <v>5018</v>
      </c>
      <c r="H4849" s="1">
        <v>0.1</v>
      </c>
      <c r="I4849" s="1">
        <v>0.1</v>
      </c>
      <c r="J4849" s="1">
        <v>0.58134981802429475</v>
      </c>
      <c r="K4849" s="1" t="s">
        <v>181</v>
      </c>
    </row>
    <row r="4850" spans="1:11" x14ac:dyDescent="0.25">
      <c r="A4850" s="1" t="s">
        <v>15149</v>
      </c>
      <c r="B4850" s="1" t="s">
        <v>15150</v>
      </c>
      <c r="D4850" s="1" t="s">
        <v>15151</v>
      </c>
      <c r="E4850" s="1" t="s">
        <v>209</v>
      </c>
      <c r="F4850" s="1" t="s">
        <v>5017</v>
      </c>
      <c r="G4850" s="1" t="s">
        <v>5018</v>
      </c>
      <c r="H4850" s="1">
        <v>0.1</v>
      </c>
      <c r="I4850" s="1">
        <v>0.1</v>
      </c>
      <c r="J4850" s="1">
        <v>0.45524030220956579</v>
      </c>
      <c r="K4850" s="1" t="s">
        <v>181</v>
      </c>
    </row>
    <row r="4851" spans="1:11" x14ac:dyDescent="0.25">
      <c r="A4851" s="1" t="s">
        <v>15152</v>
      </c>
      <c r="B4851" s="1" t="s">
        <v>15153</v>
      </c>
      <c r="D4851" s="1" t="s">
        <v>15154</v>
      </c>
      <c r="E4851" s="1" t="s">
        <v>209</v>
      </c>
      <c r="F4851" s="1" t="s">
        <v>5017</v>
      </c>
      <c r="G4851" s="1" t="s">
        <v>5018</v>
      </c>
      <c r="H4851" s="1">
        <v>0.1</v>
      </c>
      <c r="I4851" s="1">
        <v>0.1</v>
      </c>
      <c r="J4851" s="1">
        <v>0.41273933023301862</v>
      </c>
      <c r="K4851" s="1" t="s">
        <v>181</v>
      </c>
    </row>
    <row r="4852" spans="1:11" x14ac:dyDescent="0.25">
      <c r="A4852" s="1" t="s">
        <v>15155</v>
      </c>
      <c r="B4852" s="1" t="s">
        <v>15156</v>
      </c>
      <c r="D4852" s="1" t="s">
        <v>15157</v>
      </c>
      <c r="E4852" s="1" t="s">
        <v>209</v>
      </c>
      <c r="F4852" s="1" t="s">
        <v>5017</v>
      </c>
      <c r="G4852" s="1" t="s">
        <v>5018</v>
      </c>
      <c r="H4852" s="1">
        <v>0.1</v>
      </c>
      <c r="I4852" s="1">
        <v>0.1</v>
      </c>
      <c r="J4852" s="1">
        <v>0.76783150115039778</v>
      </c>
      <c r="K4852" s="1" t="s">
        <v>181</v>
      </c>
    </row>
    <row r="4853" spans="1:11" x14ac:dyDescent="0.25">
      <c r="A4853" s="1" t="s">
        <v>15158</v>
      </c>
      <c r="B4853" s="1" t="s">
        <v>15159</v>
      </c>
      <c r="D4853" s="1" t="s">
        <v>15160</v>
      </c>
      <c r="E4853" s="1" t="s">
        <v>209</v>
      </c>
      <c r="F4853" s="1" t="s">
        <v>5017</v>
      </c>
      <c r="G4853" s="1" t="s">
        <v>5018</v>
      </c>
      <c r="H4853" s="1">
        <v>0.1</v>
      </c>
      <c r="I4853" s="1">
        <v>0.1</v>
      </c>
      <c r="J4853" s="1">
        <v>0.62656305575007865</v>
      </c>
      <c r="K4853" s="1" t="s">
        <v>181</v>
      </c>
    </row>
    <row r="4854" spans="1:11" x14ac:dyDescent="0.25">
      <c r="A4854" s="1" t="s">
        <v>15161</v>
      </c>
      <c r="B4854" s="1" t="s">
        <v>15162</v>
      </c>
      <c r="D4854" s="1" t="s">
        <v>15163</v>
      </c>
      <c r="E4854" s="1" t="s">
        <v>209</v>
      </c>
      <c r="F4854" s="1" t="s">
        <v>5017</v>
      </c>
      <c r="G4854" s="1" t="s">
        <v>5018</v>
      </c>
      <c r="H4854" s="1">
        <v>0.1</v>
      </c>
      <c r="I4854" s="1">
        <v>0.1</v>
      </c>
      <c r="J4854" s="1">
        <v>0.6501841752655797</v>
      </c>
      <c r="K4854" s="1" t="s">
        <v>181</v>
      </c>
    </row>
    <row r="4855" spans="1:11" x14ac:dyDescent="0.25">
      <c r="A4855" s="1" t="s">
        <v>15164</v>
      </c>
      <c r="B4855" s="1" t="s">
        <v>15165</v>
      </c>
      <c r="D4855" s="1" t="s">
        <v>15166</v>
      </c>
      <c r="E4855" s="1" t="s">
        <v>209</v>
      </c>
      <c r="F4855" s="1" t="s">
        <v>5017</v>
      </c>
      <c r="G4855" s="1" t="s">
        <v>5018</v>
      </c>
      <c r="H4855" s="1">
        <v>0.1</v>
      </c>
      <c r="I4855" s="1">
        <v>0.1</v>
      </c>
      <c r="J4855" s="1">
        <v>0.57998957369022885</v>
      </c>
      <c r="K4855" s="1" t="s">
        <v>181</v>
      </c>
    </row>
    <row r="4856" spans="1:11" x14ac:dyDescent="0.25">
      <c r="A4856" s="1" t="s">
        <v>15167</v>
      </c>
      <c r="B4856" s="1" t="s">
        <v>15168</v>
      </c>
      <c r="D4856" s="1" t="s">
        <v>15169</v>
      </c>
      <c r="E4856" s="1" t="s">
        <v>209</v>
      </c>
      <c r="F4856" s="1" t="s">
        <v>5017</v>
      </c>
      <c r="G4856" s="1" t="s">
        <v>5018</v>
      </c>
      <c r="H4856" s="1">
        <v>0.1</v>
      </c>
      <c r="I4856" s="1">
        <v>0.1</v>
      </c>
      <c r="J4856" s="1">
        <v>0.55927068174783101</v>
      </c>
      <c r="K4856" s="1" t="s">
        <v>181</v>
      </c>
    </row>
    <row r="4857" spans="1:11" x14ac:dyDescent="0.25">
      <c r="A4857" s="1" t="s">
        <v>15170</v>
      </c>
      <c r="B4857" s="1" t="s">
        <v>15171</v>
      </c>
      <c r="D4857" s="1" t="s">
        <v>15172</v>
      </c>
      <c r="E4857" s="1" t="s">
        <v>209</v>
      </c>
      <c r="F4857" s="1" t="s">
        <v>5017</v>
      </c>
      <c r="G4857" s="1" t="s">
        <v>5018</v>
      </c>
      <c r="H4857" s="1">
        <v>0.1</v>
      </c>
      <c r="I4857" s="1">
        <v>0.1</v>
      </c>
      <c r="J4857" s="1">
        <v>0.67063303933892848</v>
      </c>
      <c r="K4857" s="1" t="s">
        <v>181</v>
      </c>
    </row>
    <row r="4858" spans="1:11" x14ac:dyDescent="0.25">
      <c r="A4858" s="1" t="s">
        <v>15173</v>
      </c>
      <c r="B4858" s="1" t="s">
        <v>15174</v>
      </c>
      <c r="D4858" s="1" t="s">
        <v>15175</v>
      </c>
      <c r="E4858" s="1" t="s">
        <v>209</v>
      </c>
      <c r="F4858" s="1" t="s">
        <v>5017</v>
      </c>
      <c r="G4858" s="1" t="s">
        <v>5018</v>
      </c>
      <c r="H4858" s="1">
        <v>0.1</v>
      </c>
      <c r="I4858" s="1">
        <v>0.1</v>
      </c>
      <c r="J4858" s="1">
        <v>0.74560942181612788</v>
      </c>
      <c r="K4858" s="1" t="s">
        <v>181</v>
      </c>
    </row>
    <row r="4859" spans="1:11" x14ac:dyDescent="0.25">
      <c r="A4859" s="1" t="s">
        <v>15176</v>
      </c>
      <c r="B4859" s="1" t="s">
        <v>15177</v>
      </c>
      <c r="D4859" s="1" t="s">
        <v>15178</v>
      </c>
      <c r="E4859" s="1" t="s">
        <v>209</v>
      </c>
      <c r="F4859" s="1" t="s">
        <v>5017</v>
      </c>
      <c r="G4859" s="1" t="s">
        <v>5018</v>
      </c>
      <c r="H4859" s="1">
        <v>0.1</v>
      </c>
      <c r="I4859" s="1">
        <v>0.1</v>
      </c>
      <c r="J4859" s="1">
        <v>0.76376382880613614</v>
      </c>
      <c r="K4859" s="1" t="s">
        <v>181</v>
      </c>
    </row>
    <row r="4860" spans="1:11" x14ac:dyDescent="0.25">
      <c r="A4860" s="1" t="s">
        <v>15179</v>
      </c>
      <c r="B4860" s="1" t="s">
        <v>15180</v>
      </c>
      <c r="D4860" s="1" t="s">
        <v>15181</v>
      </c>
      <c r="E4860" s="1" t="s">
        <v>209</v>
      </c>
      <c r="F4860" s="1" t="s">
        <v>5017</v>
      </c>
      <c r="G4860" s="1" t="s">
        <v>5018</v>
      </c>
      <c r="H4860" s="1">
        <v>0.1</v>
      </c>
      <c r="I4860" s="1">
        <v>0.1</v>
      </c>
      <c r="J4860" s="1">
        <v>0.90913502835606252</v>
      </c>
      <c r="K4860" s="1" t="s">
        <v>181</v>
      </c>
    </row>
    <row r="4861" spans="1:11" x14ac:dyDescent="0.25">
      <c r="A4861" s="1" t="s">
        <v>15182</v>
      </c>
      <c r="B4861" s="1" t="s">
        <v>15183</v>
      </c>
      <c r="D4861" s="1" t="s">
        <v>15184</v>
      </c>
      <c r="E4861" s="1" t="s">
        <v>209</v>
      </c>
      <c r="F4861" s="1" t="s">
        <v>5017</v>
      </c>
      <c r="G4861" s="1" t="s">
        <v>5018</v>
      </c>
      <c r="H4861" s="1">
        <v>0.1</v>
      </c>
      <c r="I4861" s="1">
        <v>0.1</v>
      </c>
      <c r="J4861" s="1">
        <v>0.91604443435409488</v>
      </c>
      <c r="K4861" s="1" t="s">
        <v>181</v>
      </c>
    </row>
    <row r="4862" spans="1:11" x14ac:dyDescent="0.25">
      <c r="A4862" s="1" t="s">
        <v>15185</v>
      </c>
      <c r="B4862" s="1" t="s">
        <v>15186</v>
      </c>
      <c r="D4862" s="1" t="s">
        <v>15187</v>
      </c>
      <c r="E4862" s="1" t="s">
        <v>209</v>
      </c>
      <c r="F4862" s="1" t="s">
        <v>5017</v>
      </c>
      <c r="G4862" s="1" t="s">
        <v>5018</v>
      </c>
      <c r="H4862" s="1">
        <v>0.1</v>
      </c>
      <c r="I4862" s="1">
        <v>0.1</v>
      </c>
      <c r="J4862" s="1">
        <v>0.56098728025967615</v>
      </c>
      <c r="K4862" s="1" t="s">
        <v>181</v>
      </c>
    </row>
    <row r="4863" spans="1:11" x14ac:dyDescent="0.25">
      <c r="A4863" s="1" t="s">
        <v>15188</v>
      </c>
      <c r="B4863" s="1" t="s">
        <v>15189</v>
      </c>
      <c r="D4863" s="1" t="s">
        <v>15190</v>
      </c>
      <c r="E4863" s="1" t="s">
        <v>209</v>
      </c>
      <c r="F4863" s="1" t="s">
        <v>5017</v>
      </c>
      <c r="G4863" s="1" t="s">
        <v>5018</v>
      </c>
      <c r="H4863" s="1">
        <v>0.1</v>
      </c>
      <c r="I4863" s="1">
        <v>0.1</v>
      </c>
      <c r="J4863" s="1">
        <v>0.61211939814427019</v>
      </c>
      <c r="K4863" s="1" t="s">
        <v>181</v>
      </c>
    </row>
    <row r="4864" spans="1:11" x14ac:dyDescent="0.25">
      <c r="A4864" s="1" t="s">
        <v>15191</v>
      </c>
      <c r="B4864" s="1" t="s">
        <v>15192</v>
      </c>
      <c r="D4864" s="1" t="s">
        <v>15193</v>
      </c>
      <c r="E4864" s="1" t="s">
        <v>209</v>
      </c>
      <c r="F4864" s="1" t="s">
        <v>5017</v>
      </c>
      <c r="G4864" s="1" t="s">
        <v>5018</v>
      </c>
      <c r="H4864" s="1">
        <v>0.1</v>
      </c>
      <c r="I4864" s="1">
        <v>0.1</v>
      </c>
      <c r="J4864" s="1">
        <v>0.53514406505310663</v>
      </c>
      <c r="K4864" s="1" t="s">
        <v>181</v>
      </c>
    </row>
    <row r="4865" spans="1:11" x14ac:dyDescent="0.25">
      <c r="A4865" s="1" t="s">
        <v>15194</v>
      </c>
      <c r="B4865" s="1" t="s">
        <v>15195</v>
      </c>
      <c r="D4865" s="1" t="s">
        <v>15196</v>
      </c>
      <c r="E4865" s="1" t="s">
        <v>209</v>
      </c>
      <c r="F4865" s="1" t="s">
        <v>5017</v>
      </c>
      <c r="G4865" s="1" t="s">
        <v>5018</v>
      </c>
      <c r="H4865" s="1">
        <v>0.1</v>
      </c>
      <c r="I4865" s="1">
        <v>0.1</v>
      </c>
      <c r="J4865" s="1">
        <v>0.93787049814469237</v>
      </c>
      <c r="K4865" s="1" t="s">
        <v>181</v>
      </c>
    </row>
    <row r="4866" spans="1:11" x14ac:dyDescent="0.25">
      <c r="A4866" s="1" t="s">
        <v>15197</v>
      </c>
      <c r="B4866" s="1" t="s">
        <v>15198</v>
      </c>
      <c r="D4866" s="1" t="s">
        <v>15199</v>
      </c>
      <c r="E4866" s="1" t="s">
        <v>209</v>
      </c>
      <c r="F4866" s="1" t="s">
        <v>5017</v>
      </c>
      <c r="G4866" s="1" t="s">
        <v>5018</v>
      </c>
      <c r="H4866" s="1">
        <v>0.1</v>
      </c>
      <c r="I4866" s="1">
        <v>0.1</v>
      </c>
      <c r="J4866" s="1">
        <v>0.81319883102523915</v>
      </c>
      <c r="K4866" s="1" t="s">
        <v>181</v>
      </c>
    </row>
    <row r="4867" spans="1:11" x14ac:dyDescent="0.25">
      <c r="A4867" s="1" t="s">
        <v>15200</v>
      </c>
      <c r="B4867" s="1" t="s">
        <v>15201</v>
      </c>
      <c r="D4867" s="1" t="s">
        <v>15202</v>
      </c>
      <c r="E4867" s="1" t="s">
        <v>209</v>
      </c>
      <c r="F4867" s="1" t="s">
        <v>5017</v>
      </c>
      <c r="G4867" s="1" t="s">
        <v>5018</v>
      </c>
      <c r="H4867" s="1">
        <v>0.1</v>
      </c>
      <c r="I4867" s="1">
        <v>0.1</v>
      </c>
      <c r="J4867" s="1">
        <v>0.59145417438940384</v>
      </c>
      <c r="K4867" s="1" t="s">
        <v>181</v>
      </c>
    </row>
    <row r="4868" spans="1:11" x14ac:dyDescent="0.25">
      <c r="A4868" s="1" t="s">
        <v>15203</v>
      </c>
      <c r="B4868" s="1" t="s">
        <v>15204</v>
      </c>
      <c r="D4868" s="1" t="s">
        <v>15205</v>
      </c>
      <c r="E4868" s="1" t="s">
        <v>209</v>
      </c>
      <c r="F4868" s="1" t="s">
        <v>5017</v>
      </c>
      <c r="G4868" s="1" t="s">
        <v>5018</v>
      </c>
      <c r="H4868" s="1">
        <v>0.1</v>
      </c>
      <c r="I4868" s="1">
        <v>0.1</v>
      </c>
      <c r="J4868" s="1">
        <v>0.77584719018765658</v>
      </c>
      <c r="K4868" s="1" t="s">
        <v>181</v>
      </c>
    </row>
    <row r="4869" spans="1:11" x14ac:dyDescent="0.25">
      <c r="A4869" s="1" t="s">
        <v>15206</v>
      </c>
      <c r="B4869" s="1" t="s">
        <v>15207</v>
      </c>
      <c r="D4869" s="1" t="s">
        <v>15208</v>
      </c>
      <c r="E4869" s="1" t="s">
        <v>209</v>
      </c>
      <c r="F4869" s="1" t="s">
        <v>5017</v>
      </c>
      <c r="G4869" s="1" t="s">
        <v>5018</v>
      </c>
      <c r="H4869" s="1">
        <v>0.1</v>
      </c>
      <c r="I4869" s="1">
        <v>0.1</v>
      </c>
      <c r="J4869" s="1">
        <v>0.60722563959332443</v>
      </c>
      <c r="K4869" s="1" t="s">
        <v>181</v>
      </c>
    </row>
    <row r="4870" spans="1:11" x14ac:dyDescent="0.25">
      <c r="A4870" s="1" t="s">
        <v>15209</v>
      </c>
      <c r="B4870" s="1" t="s">
        <v>15210</v>
      </c>
      <c r="D4870" s="1" t="s">
        <v>15211</v>
      </c>
      <c r="E4870" s="1" t="s">
        <v>209</v>
      </c>
      <c r="F4870" s="1" t="s">
        <v>5017</v>
      </c>
      <c r="G4870" s="1" t="s">
        <v>5018</v>
      </c>
      <c r="H4870" s="1">
        <v>0.1</v>
      </c>
      <c r="I4870" s="1">
        <v>0.1</v>
      </c>
      <c r="J4870" s="1">
        <v>0.81651060178800439</v>
      </c>
      <c r="K4870" s="1" t="s">
        <v>181</v>
      </c>
    </row>
    <row r="4871" spans="1:11" x14ac:dyDescent="0.25">
      <c r="A4871" s="1" t="s">
        <v>15212</v>
      </c>
      <c r="B4871" s="1" t="s">
        <v>15213</v>
      </c>
      <c r="D4871" s="1" t="s">
        <v>15214</v>
      </c>
      <c r="E4871" s="1" t="s">
        <v>209</v>
      </c>
      <c r="F4871" s="1" t="s">
        <v>5017</v>
      </c>
      <c r="G4871" s="1" t="s">
        <v>5018</v>
      </c>
      <c r="H4871" s="1">
        <v>0.1</v>
      </c>
      <c r="I4871" s="1">
        <v>0.1</v>
      </c>
      <c r="J4871" s="1">
        <v>0.91399507015910575</v>
      </c>
      <c r="K4871" s="1" t="s">
        <v>181</v>
      </c>
    </row>
    <row r="4872" spans="1:11" x14ac:dyDescent="0.25">
      <c r="A4872" s="1" t="s">
        <v>15215</v>
      </c>
      <c r="B4872" s="1" t="s">
        <v>15216</v>
      </c>
      <c r="D4872" s="1" t="s">
        <v>15217</v>
      </c>
      <c r="E4872" s="1" t="s">
        <v>209</v>
      </c>
      <c r="F4872" s="1" t="s">
        <v>5017</v>
      </c>
      <c r="G4872" s="1" t="s">
        <v>5018</v>
      </c>
      <c r="H4872" s="1">
        <v>0.1</v>
      </c>
      <c r="I4872" s="1">
        <v>0.1</v>
      </c>
      <c r="J4872" s="1">
        <v>0.80514335210065335</v>
      </c>
      <c r="K4872" s="1" t="s">
        <v>181</v>
      </c>
    </row>
    <row r="4873" spans="1:11" x14ac:dyDescent="0.25">
      <c r="A4873" s="1" t="s">
        <v>15218</v>
      </c>
      <c r="B4873" s="1" t="s">
        <v>15219</v>
      </c>
      <c r="D4873" s="1" t="s">
        <v>15220</v>
      </c>
      <c r="E4873" s="1" t="s">
        <v>209</v>
      </c>
      <c r="F4873" s="1" t="s">
        <v>5017</v>
      </c>
      <c r="G4873" s="1" t="s">
        <v>5018</v>
      </c>
      <c r="H4873" s="1">
        <v>0.1</v>
      </c>
      <c r="I4873" s="1">
        <v>0.1</v>
      </c>
      <c r="J4873" s="1">
        <v>0.77548364929681057</v>
      </c>
      <c r="K4873" s="1" t="s">
        <v>181</v>
      </c>
    </row>
    <row r="4874" spans="1:11" x14ac:dyDescent="0.25">
      <c r="A4874" s="1" t="s">
        <v>15221</v>
      </c>
      <c r="B4874" s="1" t="s">
        <v>15222</v>
      </c>
      <c r="D4874" s="1" t="s">
        <v>15223</v>
      </c>
      <c r="E4874" s="1" t="s">
        <v>209</v>
      </c>
      <c r="F4874" s="1" t="s">
        <v>5017</v>
      </c>
      <c r="G4874" s="1" t="s">
        <v>5018</v>
      </c>
      <c r="H4874" s="1">
        <v>0.1</v>
      </c>
      <c r="I4874" s="1">
        <v>0.1</v>
      </c>
      <c r="J4874" s="1">
        <v>0.73265745594454978</v>
      </c>
      <c r="K4874" s="1" t="s">
        <v>181</v>
      </c>
    </row>
    <row r="4875" spans="1:11" x14ac:dyDescent="0.25">
      <c r="A4875" s="1" t="s">
        <v>15224</v>
      </c>
      <c r="B4875" s="1" t="s">
        <v>15225</v>
      </c>
      <c r="D4875" s="1" t="s">
        <v>15226</v>
      </c>
      <c r="E4875" s="1" t="s">
        <v>209</v>
      </c>
      <c r="F4875" s="1" t="s">
        <v>5017</v>
      </c>
      <c r="G4875" s="1" t="s">
        <v>5018</v>
      </c>
      <c r="H4875" s="1">
        <v>0.1</v>
      </c>
      <c r="I4875" s="1">
        <v>0.1</v>
      </c>
      <c r="J4875" s="1">
        <v>0.85000363906766452</v>
      </c>
      <c r="K4875" s="1" t="s">
        <v>181</v>
      </c>
    </row>
    <row r="4876" spans="1:11" x14ac:dyDescent="0.25">
      <c r="A4876" s="1" t="s">
        <v>15227</v>
      </c>
      <c r="B4876" s="1" t="s">
        <v>15228</v>
      </c>
      <c r="D4876" s="1" t="s">
        <v>15229</v>
      </c>
      <c r="E4876" s="1" t="s">
        <v>209</v>
      </c>
      <c r="F4876" s="1" t="s">
        <v>5017</v>
      </c>
      <c r="G4876" s="1" t="s">
        <v>5018</v>
      </c>
      <c r="H4876" s="1">
        <v>0.1</v>
      </c>
      <c r="I4876" s="1">
        <v>0.1</v>
      </c>
      <c r="J4876" s="1">
        <v>0.60883136735158949</v>
      </c>
      <c r="K4876" s="1" t="s">
        <v>181</v>
      </c>
    </row>
    <row r="4877" spans="1:11" x14ac:dyDescent="0.25">
      <c r="A4877" s="1" t="s">
        <v>15230</v>
      </c>
      <c r="B4877" s="1" t="s">
        <v>15231</v>
      </c>
      <c r="D4877" s="1" t="s">
        <v>15232</v>
      </c>
      <c r="E4877" s="1" t="s">
        <v>209</v>
      </c>
      <c r="F4877" s="1" t="s">
        <v>5017</v>
      </c>
      <c r="G4877" s="1" t="s">
        <v>5018</v>
      </c>
      <c r="H4877" s="1">
        <v>0.1</v>
      </c>
      <c r="I4877" s="1">
        <v>0.1</v>
      </c>
      <c r="J4877" s="1">
        <v>0.55367817264967212</v>
      </c>
      <c r="K4877" s="1" t="s">
        <v>181</v>
      </c>
    </row>
    <row r="4878" spans="1:11" x14ac:dyDescent="0.25">
      <c r="A4878" s="1" t="s">
        <v>15233</v>
      </c>
      <c r="B4878" s="1" t="s">
        <v>15234</v>
      </c>
      <c r="D4878" s="1" t="s">
        <v>15235</v>
      </c>
      <c r="E4878" s="1" t="s">
        <v>209</v>
      </c>
      <c r="F4878" s="1" t="s">
        <v>5017</v>
      </c>
      <c r="G4878" s="1" t="s">
        <v>5018</v>
      </c>
      <c r="H4878" s="1">
        <v>0.1</v>
      </c>
      <c r="I4878" s="1">
        <v>0.1</v>
      </c>
      <c r="J4878" s="1">
        <v>0.56701823630825199</v>
      </c>
      <c r="K4878" s="1" t="s">
        <v>181</v>
      </c>
    </row>
    <row r="4879" spans="1:11" x14ac:dyDescent="0.25">
      <c r="A4879" s="1" t="s">
        <v>15236</v>
      </c>
      <c r="B4879" s="1" t="s">
        <v>15237</v>
      </c>
      <c r="D4879" s="1" t="s">
        <v>15238</v>
      </c>
      <c r="E4879" s="1" t="s">
        <v>209</v>
      </c>
      <c r="F4879" s="1" t="s">
        <v>5017</v>
      </c>
      <c r="G4879" s="1" t="s">
        <v>5018</v>
      </c>
      <c r="H4879" s="1">
        <v>0.1</v>
      </c>
      <c r="I4879" s="1">
        <v>0.1</v>
      </c>
      <c r="J4879" s="1">
        <v>0.88552835181556644</v>
      </c>
      <c r="K4879" s="1" t="s">
        <v>181</v>
      </c>
    </row>
    <row r="4880" spans="1:11" x14ac:dyDescent="0.25">
      <c r="A4880" s="1" t="s">
        <v>15239</v>
      </c>
      <c r="B4880" s="1" t="s">
        <v>15240</v>
      </c>
      <c r="D4880" s="1" t="s">
        <v>15241</v>
      </c>
      <c r="E4880" s="1" t="s">
        <v>209</v>
      </c>
      <c r="F4880" s="1" t="s">
        <v>5017</v>
      </c>
      <c r="G4880" s="1" t="s">
        <v>5018</v>
      </c>
      <c r="H4880" s="1">
        <v>0.1</v>
      </c>
      <c r="I4880" s="1">
        <v>0.1</v>
      </c>
      <c r="J4880" s="1">
        <v>0.82066061144413349</v>
      </c>
      <c r="K4880" s="1" t="s">
        <v>181</v>
      </c>
    </row>
    <row r="4881" spans="1:11" x14ac:dyDescent="0.25">
      <c r="A4881" s="1" t="s">
        <v>15242</v>
      </c>
      <c r="B4881" s="1" t="s">
        <v>15243</v>
      </c>
      <c r="D4881" s="1" t="s">
        <v>15244</v>
      </c>
      <c r="E4881" s="1" t="s">
        <v>209</v>
      </c>
      <c r="F4881" s="1" t="s">
        <v>5017</v>
      </c>
      <c r="G4881" s="1" t="s">
        <v>5018</v>
      </c>
      <c r="H4881" s="1">
        <v>0.1</v>
      </c>
      <c r="I4881" s="1">
        <v>0.1</v>
      </c>
      <c r="J4881" s="1">
        <v>0.44397373479621172</v>
      </c>
      <c r="K4881" s="1" t="s">
        <v>181</v>
      </c>
    </row>
    <row r="4882" spans="1:11" x14ac:dyDescent="0.25">
      <c r="A4882" s="1" t="s">
        <v>15245</v>
      </c>
      <c r="B4882" s="1" t="s">
        <v>15246</v>
      </c>
      <c r="D4882" s="1" t="s">
        <v>15247</v>
      </c>
      <c r="E4882" s="1" t="s">
        <v>209</v>
      </c>
      <c r="F4882" s="1" t="s">
        <v>5017</v>
      </c>
      <c r="G4882" s="1" t="s">
        <v>5018</v>
      </c>
      <c r="H4882" s="1">
        <v>0.1</v>
      </c>
      <c r="I4882" s="1">
        <v>0.1</v>
      </c>
      <c r="J4882" s="1">
        <v>0.80369271196050029</v>
      </c>
      <c r="K4882" s="1" t="s">
        <v>181</v>
      </c>
    </row>
    <row r="4883" spans="1:11" x14ac:dyDescent="0.25">
      <c r="A4883" s="1" t="s">
        <v>15248</v>
      </c>
      <c r="B4883" s="1" t="s">
        <v>15249</v>
      </c>
      <c r="D4883" s="1" t="s">
        <v>15250</v>
      </c>
      <c r="E4883" s="1" t="s">
        <v>209</v>
      </c>
      <c r="F4883" s="1" t="s">
        <v>5017</v>
      </c>
      <c r="G4883" s="1" t="s">
        <v>5018</v>
      </c>
      <c r="H4883" s="1">
        <v>0.1</v>
      </c>
      <c r="I4883" s="1">
        <v>0.1</v>
      </c>
      <c r="J4883" s="1">
        <v>0.46219958106493314</v>
      </c>
      <c r="K4883" s="1" t="s">
        <v>181</v>
      </c>
    </row>
    <row r="4884" spans="1:11" x14ac:dyDescent="0.25">
      <c r="A4884" s="1" t="s">
        <v>15251</v>
      </c>
      <c r="B4884" s="1" t="s">
        <v>15252</v>
      </c>
      <c r="D4884" s="1" t="s">
        <v>15253</v>
      </c>
      <c r="E4884" s="1" t="s">
        <v>209</v>
      </c>
      <c r="F4884" s="1" t="s">
        <v>5017</v>
      </c>
      <c r="G4884" s="1" t="s">
        <v>5018</v>
      </c>
      <c r="H4884" s="1">
        <v>0.1</v>
      </c>
      <c r="I4884" s="1">
        <v>0.1</v>
      </c>
      <c r="J4884" s="1">
        <v>0.58031622317713005</v>
      </c>
      <c r="K4884" s="1" t="s">
        <v>181</v>
      </c>
    </row>
    <row r="4885" spans="1:11" x14ac:dyDescent="0.25">
      <c r="A4885" s="1" t="s">
        <v>15254</v>
      </c>
      <c r="B4885" s="1" t="s">
        <v>15255</v>
      </c>
      <c r="D4885" s="1" t="s">
        <v>15256</v>
      </c>
      <c r="E4885" s="1" t="s">
        <v>209</v>
      </c>
      <c r="F4885" s="1" t="s">
        <v>5017</v>
      </c>
      <c r="G4885" s="1" t="s">
        <v>5018</v>
      </c>
      <c r="H4885" s="1">
        <v>0.1</v>
      </c>
      <c r="I4885" s="1">
        <v>0.1</v>
      </c>
      <c r="J4885" s="1">
        <v>1.1120605322646016</v>
      </c>
      <c r="K4885" s="1" t="s">
        <v>181</v>
      </c>
    </row>
    <row r="4886" spans="1:11" x14ac:dyDescent="0.25">
      <c r="A4886" s="1" t="s">
        <v>15257</v>
      </c>
      <c r="B4886" s="1" t="s">
        <v>15258</v>
      </c>
      <c r="D4886" s="1" t="s">
        <v>15259</v>
      </c>
      <c r="E4886" s="1" t="s">
        <v>209</v>
      </c>
      <c r="F4886" s="1" t="s">
        <v>5017</v>
      </c>
      <c r="G4886" s="1" t="s">
        <v>5018</v>
      </c>
      <c r="H4886" s="1">
        <v>0.1</v>
      </c>
      <c r="I4886" s="1">
        <v>0.1</v>
      </c>
      <c r="J4886" s="1">
        <v>1.0531326703828325</v>
      </c>
      <c r="K4886" s="1" t="s">
        <v>181</v>
      </c>
    </row>
    <row r="4887" spans="1:11" x14ac:dyDescent="0.25">
      <c r="A4887" s="1" t="s">
        <v>15260</v>
      </c>
      <c r="B4887" s="1" t="s">
        <v>15261</v>
      </c>
      <c r="D4887" s="1" t="s">
        <v>15262</v>
      </c>
      <c r="E4887" s="1" t="s">
        <v>209</v>
      </c>
      <c r="F4887" s="1" t="s">
        <v>5017</v>
      </c>
      <c r="G4887" s="1" t="s">
        <v>5018</v>
      </c>
      <c r="H4887" s="1">
        <v>0.1</v>
      </c>
      <c r="I4887" s="1">
        <v>0.1</v>
      </c>
      <c r="J4887" s="1">
        <v>0.82092132706952226</v>
      </c>
      <c r="K4887" s="1" t="s">
        <v>181</v>
      </c>
    </row>
    <row r="4888" spans="1:11" x14ac:dyDescent="0.25">
      <c r="A4888" s="1" t="s">
        <v>15263</v>
      </c>
      <c r="B4888" s="1" t="s">
        <v>15264</v>
      </c>
      <c r="D4888" s="1" t="s">
        <v>15265</v>
      </c>
      <c r="E4888" s="1" t="s">
        <v>209</v>
      </c>
      <c r="F4888" s="1" t="s">
        <v>5017</v>
      </c>
      <c r="G4888" s="1" t="s">
        <v>5018</v>
      </c>
      <c r="H4888" s="1">
        <v>0.1</v>
      </c>
      <c r="I4888" s="1">
        <v>0.1</v>
      </c>
      <c r="J4888" s="1">
        <v>0.37969117856736884</v>
      </c>
      <c r="K4888" s="1" t="s">
        <v>181</v>
      </c>
    </row>
    <row r="4889" spans="1:11" x14ac:dyDescent="0.25">
      <c r="A4889" s="1" t="s">
        <v>15266</v>
      </c>
      <c r="B4889" s="1" t="s">
        <v>15267</v>
      </c>
      <c r="D4889" s="1" t="s">
        <v>15268</v>
      </c>
      <c r="E4889" s="1" t="s">
        <v>209</v>
      </c>
      <c r="F4889" s="1" t="s">
        <v>5017</v>
      </c>
      <c r="G4889" s="1" t="s">
        <v>5018</v>
      </c>
      <c r="H4889" s="1">
        <v>0.1</v>
      </c>
      <c r="I4889" s="1">
        <v>0.1</v>
      </c>
      <c r="J4889" s="1">
        <v>0.61462789980335919</v>
      </c>
      <c r="K4889" s="1" t="s">
        <v>181</v>
      </c>
    </row>
    <row r="4890" spans="1:11" x14ac:dyDescent="0.25">
      <c r="A4890" s="1" t="s">
        <v>15269</v>
      </c>
      <c r="B4890" s="1" t="s">
        <v>15270</v>
      </c>
      <c r="D4890" s="1" t="s">
        <v>15271</v>
      </c>
      <c r="E4890" s="1" t="s">
        <v>209</v>
      </c>
      <c r="F4890" s="1" t="s">
        <v>5017</v>
      </c>
      <c r="G4890" s="1" t="s">
        <v>5018</v>
      </c>
      <c r="H4890" s="1">
        <v>0.1</v>
      </c>
      <c r="I4890" s="1">
        <v>0.1</v>
      </c>
      <c r="J4890" s="1">
        <v>0.70650347268148439</v>
      </c>
      <c r="K4890" s="1" t="s">
        <v>181</v>
      </c>
    </row>
    <row r="4891" spans="1:11" x14ac:dyDescent="0.25">
      <c r="A4891" s="1" t="s">
        <v>15272</v>
      </c>
      <c r="B4891" s="1" t="s">
        <v>15273</v>
      </c>
      <c r="D4891" s="1" t="s">
        <v>15274</v>
      </c>
      <c r="E4891" s="1" t="s">
        <v>209</v>
      </c>
      <c r="F4891" s="1" t="s">
        <v>5017</v>
      </c>
      <c r="G4891" s="1" t="s">
        <v>5018</v>
      </c>
      <c r="H4891" s="1">
        <v>0.1</v>
      </c>
      <c r="I4891" s="1">
        <v>0.1</v>
      </c>
      <c r="J4891" s="1">
        <v>0.84307486270777132</v>
      </c>
      <c r="K4891" s="1" t="s">
        <v>181</v>
      </c>
    </row>
    <row r="4892" spans="1:11" x14ac:dyDescent="0.25">
      <c r="A4892" s="1" t="s">
        <v>15275</v>
      </c>
      <c r="B4892" s="1" t="s">
        <v>15276</v>
      </c>
      <c r="D4892" s="1" t="s">
        <v>15277</v>
      </c>
      <c r="E4892" s="1" t="s">
        <v>209</v>
      </c>
      <c r="F4892" s="1" t="s">
        <v>5017</v>
      </c>
      <c r="G4892" s="1" t="s">
        <v>5018</v>
      </c>
      <c r="H4892" s="1">
        <v>0.1</v>
      </c>
      <c r="I4892" s="1">
        <v>0.1</v>
      </c>
      <c r="J4892" s="1">
        <v>0.79229740019508821</v>
      </c>
      <c r="K4892" s="1" t="s">
        <v>181</v>
      </c>
    </row>
    <row r="4893" spans="1:11" x14ac:dyDescent="0.25">
      <c r="A4893" s="1" t="s">
        <v>15278</v>
      </c>
      <c r="B4893" s="1" t="s">
        <v>15279</v>
      </c>
      <c r="D4893" s="1" t="s">
        <v>15280</v>
      </c>
      <c r="E4893" s="1" t="s">
        <v>209</v>
      </c>
      <c r="F4893" s="1" t="s">
        <v>5017</v>
      </c>
      <c r="G4893" s="1" t="s">
        <v>5018</v>
      </c>
      <c r="H4893" s="1">
        <v>0.1</v>
      </c>
      <c r="I4893" s="1">
        <v>0.1</v>
      </c>
      <c r="J4893" s="1">
        <v>0.91583062179559416</v>
      </c>
      <c r="K4893" s="1" t="s">
        <v>181</v>
      </c>
    </row>
    <row r="4894" spans="1:11" x14ac:dyDescent="0.25">
      <c r="A4894" s="1" t="s">
        <v>15281</v>
      </c>
      <c r="B4894" s="1" t="s">
        <v>15282</v>
      </c>
      <c r="D4894" s="1" t="s">
        <v>15283</v>
      </c>
      <c r="E4894" s="1" t="s">
        <v>209</v>
      </c>
      <c r="F4894" s="1" t="s">
        <v>5017</v>
      </c>
      <c r="G4894" s="1" t="s">
        <v>5018</v>
      </c>
      <c r="H4894" s="1">
        <v>0.1</v>
      </c>
      <c r="I4894" s="1">
        <v>0.1</v>
      </c>
      <c r="J4894" s="1">
        <v>0.78695644047632363</v>
      </c>
      <c r="K4894" s="1" t="s">
        <v>181</v>
      </c>
    </row>
    <row r="4895" spans="1:11" x14ac:dyDescent="0.25">
      <c r="A4895" s="1" t="s">
        <v>15284</v>
      </c>
      <c r="B4895" s="1" t="s">
        <v>15285</v>
      </c>
      <c r="D4895" s="1" t="s">
        <v>15286</v>
      </c>
      <c r="E4895" s="1" t="s">
        <v>209</v>
      </c>
      <c r="F4895" s="1" t="s">
        <v>5017</v>
      </c>
      <c r="G4895" s="1" t="s">
        <v>5018</v>
      </c>
      <c r="H4895" s="1">
        <v>0.1</v>
      </c>
      <c r="I4895" s="1">
        <v>0.1</v>
      </c>
      <c r="J4895" s="1">
        <v>0.84507765550486325</v>
      </c>
      <c r="K4895" s="1" t="s">
        <v>181</v>
      </c>
    </row>
    <row r="4896" spans="1:11" x14ac:dyDescent="0.25">
      <c r="A4896" s="1" t="s">
        <v>15287</v>
      </c>
      <c r="B4896" s="1" t="s">
        <v>15288</v>
      </c>
      <c r="D4896" s="1" t="s">
        <v>15289</v>
      </c>
      <c r="E4896" s="1" t="s">
        <v>209</v>
      </c>
      <c r="F4896" s="1" t="s">
        <v>5017</v>
      </c>
      <c r="G4896" s="1" t="s">
        <v>5018</v>
      </c>
      <c r="H4896" s="1">
        <v>0.1</v>
      </c>
      <c r="I4896" s="1">
        <v>0.1</v>
      </c>
      <c r="J4896" s="1">
        <v>0.55373874313304394</v>
      </c>
      <c r="K4896" s="1" t="s">
        <v>181</v>
      </c>
    </row>
    <row r="4897" spans="1:11" x14ac:dyDescent="0.25">
      <c r="A4897" s="1" t="s">
        <v>15290</v>
      </c>
      <c r="B4897" s="1" t="s">
        <v>15291</v>
      </c>
      <c r="D4897" s="1" t="s">
        <v>15292</v>
      </c>
      <c r="E4897" s="1" t="s">
        <v>209</v>
      </c>
      <c r="F4897" s="1" t="s">
        <v>5017</v>
      </c>
      <c r="G4897" s="1" t="s">
        <v>5018</v>
      </c>
      <c r="H4897" s="1">
        <v>0.1</v>
      </c>
      <c r="I4897" s="1">
        <v>0.1</v>
      </c>
      <c r="J4897" s="1">
        <v>0.89793044807259226</v>
      </c>
      <c r="K4897" s="1" t="s">
        <v>181</v>
      </c>
    </row>
    <row r="4898" spans="1:11" x14ac:dyDescent="0.25">
      <c r="A4898" s="1" t="s">
        <v>15293</v>
      </c>
      <c r="B4898" s="1" t="s">
        <v>15294</v>
      </c>
      <c r="D4898" s="1" t="s">
        <v>15295</v>
      </c>
      <c r="E4898" s="1" t="s">
        <v>209</v>
      </c>
      <c r="F4898" s="1" t="s">
        <v>5017</v>
      </c>
      <c r="G4898" s="1" t="s">
        <v>5018</v>
      </c>
      <c r="H4898" s="1">
        <v>0.1</v>
      </c>
      <c r="I4898" s="1">
        <v>0.1</v>
      </c>
      <c r="J4898" s="1">
        <v>0.51997621347362277</v>
      </c>
      <c r="K4898" s="1" t="s">
        <v>181</v>
      </c>
    </row>
    <row r="4899" spans="1:11" x14ac:dyDescent="0.25">
      <c r="A4899" s="1" t="s">
        <v>15296</v>
      </c>
      <c r="B4899" s="1" t="s">
        <v>15297</v>
      </c>
      <c r="D4899" s="1" t="s">
        <v>15298</v>
      </c>
      <c r="E4899" s="1" t="s">
        <v>209</v>
      </c>
      <c r="F4899" s="1" t="s">
        <v>5017</v>
      </c>
      <c r="G4899" s="1" t="s">
        <v>5018</v>
      </c>
      <c r="H4899" s="1">
        <v>0.1</v>
      </c>
      <c r="I4899" s="1">
        <v>0.1</v>
      </c>
      <c r="J4899" s="1">
        <v>0.73336978726012814</v>
      </c>
      <c r="K4899" s="1" t="s">
        <v>181</v>
      </c>
    </row>
    <row r="4900" spans="1:11" x14ac:dyDescent="0.25">
      <c r="A4900" s="1" t="s">
        <v>15299</v>
      </c>
      <c r="B4900" s="1" t="s">
        <v>15300</v>
      </c>
      <c r="D4900" s="1" t="s">
        <v>15301</v>
      </c>
      <c r="E4900" s="1" t="s">
        <v>209</v>
      </c>
      <c r="F4900" s="1" t="s">
        <v>5017</v>
      </c>
      <c r="G4900" s="1" t="s">
        <v>5018</v>
      </c>
      <c r="H4900" s="1">
        <v>0.1</v>
      </c>
      <c r="I4900" s="1">
        <v>0.1</v>
      </c>
      <c r="J4900" s="1">
        <v>0.82940468570703008</v>
      </c>
      <c r="K4900" s="1" t="s">
        <v>181</v>
      </c>
    </row>
    <row r="4901" spans="1:11" x14ac:dyDescent="0.25">
      <c r="A4901" s="1" t="s">
        <v>15302</v>
      </c>
      <c r="B4901" s="1" t="s">
        <v>15303</v>
      </c>
      <c r="D4901" s="1" t="s">
        <v>15304</v>
      </c>
      <c r="E4901" s="1" t="s">
        <v>209</v>
      </c>
      <c r="F4901" s="1" t="s">
        <v>5017</v>
      </c>
      <c r="G4901" s="1" t="s">
        <v>5018</v>
      </c>
      <c r="H4901" s="1">
        <v>0.1</v>
      </c>
      <c r="I4901" s="1">
        <v>0.1</v>
      </c>
      <c r="J4901" s="1">
        <v>0.7647969831735153</v>
      </c>
      <c r="K4901" s="1" t="s">
        <v>181</v>
      </c>
    </row>
    <row r="4902" spans="1:11" x14ac:dyDescent="0.25">
      <c r="A4902" s="1" t="s">
        <v>15305</v>
      </c>
      <c r="B4902" s="1" t="s">
        <v>15306</v>
      </c>
      <c r="D4902" s="1" t="s">
        <v>15307</v>
      </c>
      <c r="E4902" s="1" t="s">
        <v>209</v>
      </c>
      <c r="F4902" s="1" t="s">
        <v>5017</v>
      </c>
      <c r="G4902" s="1" t="s">
        <v>5018</v>
      </c>
      <c r="H4902" s="1">
        <v>0.1</v>
      </c>
      <c r="I4902" s="1">
        <v>0.1</v>
      </c>
      <c r="J4902" s="1">
        <v>0.69481015849090699</v>
      </c>
      <c r="K4902" s="1" t="s">
        <v>181</v>
      </c>
    </row>
    <row r="4903" spans="1:11" x14ac:dyDescent="0.25">
      <c r="A4903" s="1" t="s">
        <v>15308</v>
      </c>
      <c r="B4903" s="1" t="s">
        <v>15309</v>
      </c>
      <c r="D4903" s="1" t="s">
        <v>15310</v>
      </c>
      <c r="E4903" s="1" t="s">
        <v>209</v>
      </c>
      <c r="F4903" s="1" t="s">
        <v>5017</v>
      </c>
      <c r="G4903" s="1" t="s">
        <v>5018</v>
      </c>
      <c r="H4903" s="1">
        <v>0.1</v>
      </c>
      <c r="I4903" s="1">
        <v>0.1</v>
      </c>
      <c r="J4903" s="1">
        <v>0.50303547576621521</v>
      </c>
      <c r="K4903" s="1" t="s">
        <v>181</v>
      </c>
    </row>
    <row r="4904" spans="1:11" x14ac:dyDescent="0.25">
      <c r="A4904" s="1" t="s">
        <v>15311</v>
      </c>
      <c r="B4904" s="1" t="s">
        <v>15312</v>
      </c>
      <c r="D4904" s="1" t="s">
        <v>15313</v>
      </c>
      <c r="E4904" s="1" t="s">
        <v>209</v>
      </c>
      <c r="F4904" s="1" t="s">
        <v>5017</v>
      </c>
      <c r="G4904" s="1" t="s">
        <v>5018</v>
      </c>
      <c r="H4904" s="1">
        <v>0.1</v>
      </c>
      <c r="I4904" s="1">
        <v>0.1</v>
      </c>
      <c r="J4904" s="1">
        <v>0.77775900908249718</v>
      </c>
      <c r="K4904" s="1" t="s">
        <v>181</v>
      </c>
    </row>
    <row r="4905" spans="1:11" x14ac:dyDescent="0.25">
      <c r="A4905" s="1" t="s">
        <v>15314</v>
      </c>
      <c r="B4905" s="1" t="s">
        <v>15315</v>
      </c>
      <c r="D4905" s="1" t="s">
        <v>15316</v>
      </c>
      <c r="E4905" s="1" t="s">
        <v>209</v>
      </c>
      <c r="F4905" s="1" t="s">
        <v>5017</v>
      </c>
      <c r="G4905" s="1" t="s">
        <v>5018</v>
      </c>
      <c r="H4905" s="1">
        <v>0.1</v>
      </c>
      <c r="I4905" s="1">
        <v>0.1</v>
      </c>
      <c r="J4905" s="1">
        <v>0.61839615660019143</v>
      </c>
      <c r="K4905" s="1" t="s">
        <v>181</v>
      </c>
    </row>
    <row r="4906" spans="1:11" x14ac:dyDescent="0.25">
      <c r="A4906" s="1" t="s">
        <v>15317</v>
      </c>
      <c r="B4906" s="1" t="s">
        <v>15318</v>
      </c>
      <c r="D4906" s="1" t="s">
        <v>15319</v>
      </c>
      <c r="E4906" s="1" t="s">
        <v>209</v>
      </c>
      <c r="F4906" s="1" t="s">
        <v>5017</v>
      </c>
      <c r="G4906" s="1" t="s">
        <v>5018</v>
      </c>
      <c r="H4906" s="1">
        <v>0.1</v>
      </c>
      <c r="I4906" s="1">
        <v>0.1</v>
      </c>
      <c r="J4906" s="1">
        <v>0.80033208687822088</v>
      </c>
      <c r="K4906" s="1" t="s">
        <v>181</v>
      </c>
    </row>
    <row r="4907" spans="1:11" x14ac:dyDescent="0.25">
      <c r="A4907" s="1" t="s">
        <v>15320</v>
      </c>
      <c r="B4907" s="1" t="s">
        <v>15321</v>
      </c>
      <c r="D4907" s="1" t="s">
        <v>15322</v>
      </c>
      <c r="E4907" s="1" t="s">
        <v>209</v>
      </c>
      <c r="F4907" s="1" t="s">
        <v>5017</v>
      </c>
      <c r="G4907" s="1" t="s">
        <v>5018</v>
      </c>
      <c r="H4907" s="1">
        <v>0.1</v>
      </c>
      <c r="I4907" s="1">
        <v>0.1</v>
      </c>
      <c r="J4907" s="1">
        <v>0.70201038169146379</v>
      </c>
      <c r="K4907" s="1" t="s">
        <v>181</v>
      </c>
    </row>
    <row r="4908" spans="1:11" x14ac:dyDescent="0.25">
      <c r="A4908" s="1" t="s">
        <v>15323</v>
      </c>
      <c r="B4908" s="1" t="s">
        <v>15324</v>
      </c>
      <c r="D4908" s="1" t="s">
        <v>15325</v>
      </c>
      <c r="E4908" s="1" t="s">
        <v>209</v>
      </c>
      <c r="F4908" s="1" t="s">
        <v>5017</v>
      </c>
      <c r="G4908" s="1" t="s">
        <v>5018</v>
      </c>
      <c r="H4908" s="1">
        <v>0.1</v>
      </c>
      <c r="I4908" s="1">
        <v>0.1</v>
      </c>
      <c r="J4908" s="1">
        <v>0.41648063502211985</v>
      </c>
      <c r="K4908" s="1" t="s">
        <v>181</v>
      </c>
    </row>
    <row r="4909" spans="1:11" x14ac:dyDescent="0.25">
      <c r="A4909" s="1" t="s">
        <v>15326</v>
      </c>
      <c r="B4909" s="1" t="s">
        <v>15327</v>
      </c>
      <c r="D4909" s="1" t="s">
        <v>15328</v>
      </c>
      <c r="E4909" s="1" t="s">
        <v>209</v>
      </c>
      <c r="F4909" s="1" t="s">
        <v>5017</v>
      </c>
      <c r="G4909" s="1" t="s">
        <v>5018</v>
      </c>
      <c r="H4909" s="1">
        <v>0.1</v>
      </c>
      <c r="I4909" s="1">
        <v>0.1</v>
      </c>
      <c r="J4909" s="1">
        <v>0.71472630323144815</v>
      </c>
      <c r="K4909" s="1" t="s">
        <v>181</v>
      </c>
    </row>
    <row r="4910" spans="1:11" x14ac:dyDescent="0.25">
      <c r="A4910" s="1" t="s">
        <v>15329</v>
      </c>
      <c r="B4910" s="1" t="s">
        <v>15330</v>
      </c>
      <c r="D4910" s="1" t="s">
        <v>15331</v>
      </c>
      <c r="E4910" s="1" t="s">
        <v>209</v>
      </c>
      <c r="F4910" s="1" t="s">
        <v>5017</v>
      </c>
      <c r="G4910" s="1" t="s">
        <v>5018</v>
      </c>
      <c r="H4910" s="1">
        <v>0.1</v>
      </c>
      <c r="I4910" s="1">
        <v>0.1</v>
      </c>
      <c r="J4910" s="1">
        <v>0.55195793279719574</v>
      </c>
      <c r="K4910" s="1" t="s">
        <v>181</v>
      </c>
    </row>
    <row r="4911" spans="1:11" x14ac:dyDescent="0.25">
      <c r="A4911" s="1" t="s">
        <v>15332</v>
      </c>
      <c r="B4911" s="1" t="s">
        <v>15333</v>
      </c>
      <c r="D4911" s="1" t="s">
        <v>15334</v>
      </c>
      <c r="E4911" s="1" t="s">
        <v>209</v>
      </c>
      <c r="F4911" s="1" t="s">
        <v>5017</v>
      </c>
      <c r="G4911" s="1" t="s">
        <v>5018</v>
      </c>
      <c r="H4911" s="1">
        <v>0.1</v>
      </c>
      <c r="I4911" s="1">
        <v>0.1</v>
      </c>
      <c r="J4911" s="1">
        <v>0.51696244665723001</v>
      </c>
      <c r="K4911" s="1" t="s">
        <v>181</v>
      </c>
    </row>
    <row r="4912" spans="1:11" x14ac:dyDescent="0.25">
      <c r="A4912" s="1" t="s">
        <v>15335</v>
      </c>
      <c r="B4912" s="1" t="s">
        <v>15336</v>
      </c>
      <c r="D4912" s="1" t="s">
        <v>15337</v>
      </c>
      <c r="E4912" s="1" t="s">
        <v>209</v>
      </c>
      <c r="F4912" s="1" t="s">
        <v>5017</v>
      </c>
      <c r="G4912" s="1" t="s">
        <v>5018</v>
      </c>
      <c r="H4912" s="1">
        <v>0.1</v>
      </c>
      <c r="I4912" s="1">
        <v>0.1</v>
      </c>
      <c r="J4912" s="1">
        <v>0.54797654050060418</v>
      </c>
      <c r="K4912" s="1" t="s">
        <v>181</v>
      </c>
    </row>
    <row r="4913" spans="1:11" x14ac:dyDescent="0.25">
      <c r="A4913" s="1" t="s">
        <v>15338</v>
      </c>
      <c r="B4913" s="1" t="s">
        <v>15339</v>
      </c>
      <c r="D4913" s="1" t="s">
        <v>15340</v>
      </c>
      <c r="E4913" s="1" t="s">
        <v>209</v>
      </c>
      <c r="F4913" s="1" t="s">
        <v>5017</v>
      </c>
      <c r="G4913" s="1" t="s">
        <v>5018</v>
      </c>
      <c r="H4913" s="1">
        <v>0.1</v>
      </c>
      <c r="I4913" s="1">
        <v>0.1</v>
      </c>
      <c r="J4913" s="1">
        <v>0.55648100507628895</v>
      </c>
      <c r="K4913" s="1" t="s">
        <v>181</v>
      </c>
    </row>
    <row r="4914" spans="1:11" x14ac:dyDescent="0.25">
      <c r="A4914" s="1" t="s">
        <v>15341</v>
      </c>
      <c r="B4914" s="1" t="s">
        <v>15342</v>
      </c>
      <c r="D4914" s="1" t="s">
        <v>15343</v>
      </c>
      <c r="E4914" s="1" t="s">
        <v>209</v>
      </c>
      <c r="F4914" s="1" t="s">
        <v>5017</v>
      </c>
      <c r="G4914" s="1" t="s">
        <v>5018</v>
      </c>
      <c r="H4914" s="1">
        <v>0.1</v>
      </c>
      <c r="I4914" s="1">
        <v>0.1</v>
      </c>
      <c r="J4914" s="1">
        <v>0.61546511725056985</v>
      </c>
      <c r="K4914" s="1" t="s">
        <v>181</v>
      </c>
    </row>
    <row r="4915" spans="1:11" x14ac:dyDescent="0.25">
      <c r="A4915" s="1" t="s">
        <v>15344</v>
      </c>
      <c r="B4915" s="1" t="s">
        <v>15345</v>
      </c>
      <c r="D4915" s="1" t="s">
        <v>15346</v>
      </c>
      <c r="E4915" s="1" t="s">
        <v>209</v>
      </c>
      <c r="F4915" s="1" t="s">
        <v>5017</v>
      </c>
      <c r="G4915" s="1" t="s">
        <v>5018</v>
      </c>
      <c r="H4915" s="1">
        <v>0.1</v>
      </c>
      <c r="I4915" s="1">
        <v>0.1</v>
      </c>
      <c r="J4915" s="1">
        <v>0.52969504346319063</v>
      </c>
      <c r="K4915" s="1" t="s">
        <v>181</v>
      </c>
    </row>
    <row r="4916" spans="1:11" x14ac:dyDescent="0.25">
      <c r="A4916" s="1" t="s">
        <v>15347</v>
      </c>
      <c r="B4916" s="1" t="s">
        <v>15348</v>
      </c>
      <c r="D4916" s="1" t="s">
        <v>15349</v>
      </c>
      <c r="E4916" s="1" t="s">
        <v>209</v>
      </c>
      <c r="F4916" s="1" t="s">
        <v>5017</v>
      </c>
      <c r="G4916" s="1" t="s">
        <v>5018</v>
      </c>
      <c r="H4916" s="1">
        <v>0.1</v>
      </c>
      <c r="I4916" s="1">
        <v>0.1</v>
      </c>
      <c r="J4916" s="1">
        <v>0.70386270154639452</v>
      </c>
      <c r="K4916" s="1" t="s">
        <v>181</v>
      </c>
    </row>
    <row r="4917" spans="1:11" x14ac:dyDescent="0.25">
      <c r="A4917" s="1" t="s">
        <v>15350</v>
      </c>
      <c r="B4917" s="1" t="s">
        <v>15351</v>
      </c>
      <c r="D4917" s="1" t="s">
        <v>15352</v>
      </c>
      <c r="E4917" s="1" t="s">
        <v>209</v>
      </c>
      <c r="F4917" s="1" t="s">
        <v>5017</v>
      </c>
      <c r="G4917" s="1" t="s">
        <v>5018</v>
      </c>
      <c r="H4917" s="1">
        <v>0.1</v>
      </c>
      <c r="I4917" s="1">
        <v>0.1</v>
      </c>
      <c r="J4917" s="1">
        <v>0.82409030456521071</v>
      </c>
      <c r="K4917" s="1" t="s">
        <v>181</v>
      </c>
    </row>
    <row r="4918" spans="1:11" x14ac:dyDescent="0.25">
      <c r="A4918" s="1" t="s">
        <v>15353</v>
      </c>
      <c r="B4918" s="1" t="s">
        <v>15354</v>
      </c>
      <c r="D4918" s="1" t="s">
        <v>15355</v>
      </c>
      <c r="E4918" s="1" t="s">
        <v>209</v>
      </c>
      <c r="F4918" s="1" t="s">
        <v>5017</v>
      </c>
      <c r="G4918" s="1" t="s">
        <v>5018</v>
      </c>
      <c r="H4918" s="1">
        <v>0.1</v>
      </c>
      <c r="I4918" s="1">
        <v>0.1</v>
      </c>
      <c r="J4918" s="1">
        <v>0.48453995912875147</v>
      </c>
      <c r="K4918" s="1" t="s">
        <v>181</v>
      </c>
    </row>
    <row r="4919" spans="1:11" x14ac:dyDescent="0.25">
      <c r="A4919" s="1" t="s">
        <v>15356</v>
      </c>
      <c r="B4919" s="1" t="s">
        <v>15357</v>
      </c>
      <c r="D4919" s="1" t="s">
        <v>15358</v>
      </c>
      <c r="E4919" s="1" t="s">
        <v>209</v>
      </c>
      <c r="F4919" s="1" t="s">
        <v>5017</v>
      </c>
      <c r="G4919" s="1" t="s">
        <v>5018</v>
      </c>
      <c r="H4919" s="1">
        <v>0.1</v>
      </c>
      <c r="I4919" s="1">
        <v>0.1</v>
      </c>
      <c r="J4919" s="1">
        <v>0.78300378575825968</v>
      </c>
      <c r="K4919" s="1" t="s">
        <v>181</v>
      </c>
    </row>
    <row r="4920" spans="1:11" x14ac:dyDescent="0.25">
      <c r="A4920" s="1" t="s">
        <v>15359</v>
      </c>
      <c r="B4920" s="1" t="s">
        <v>15360</v>
      </c>
      <c r="D4920" s="1" t="s">
        <v>15361</v>
      </c>
      <c r="E4920" s="1" t="s">
        <v>209</v>
      </c>
      <c r="F4920" s="1" t="s">
        <v>5017</v>
      </c>
      <c r="G4920" s="1" t="s">
        <v>5018</v>
      </c>
      <c r="H4920" s="1">
        <v>0.1</v>
      </c>
      <c r="I4920" s="1">
        <v>0.1</v>
      </c>
      <c r="J4920" s="1">
        <v>0.80074789660727841</v>
      </c>
      <c r="K4920" s="1" t="s">
        <v>181</v>
      </c>
    </row>
    <row r="4921" spans="1:11" x14ac:dyDescent="0.25">
      <c r="A4921" s="1" t="s">
        <v>15362</v>
      </c>
      <c r="B4921" s="1" t="s">
        <v>15363</v>
      </c>
      <c r="D4921" s="1" t="s">
        <v>15364</v>
      </c>
      <c r="E4921" s="1" t="s">
        <v>209</v>
      </c>
      <c r="F4921" s="1" t="s">
        <v>5017</v>
      </c>
      <c r="G4921" s="1" t="s">
        <v>5018</v>
      </c>
      <c r="H4921" s="1">
        <v>0.1</v>
      </c>
      <c r="I4921" s="1">
        <v>0.1</v>
      </c>
      <c r="J4921" s="1">
        <v>0.64270372148772137</v>
      </c>
      <c r="K4921" s="1" t="s">
        <v>181</v>
      </c>
    </row>
    <row r="4922" spans="1:11" x14ac:dyDescent="0.25">
      <c r="A4922" s="1" t="s">
        <v>15365</v>
      </c>
      <c r="B4922" s="1" t="s">
        <v>15366</v>
      </c>
      <c r="D4922" s="1" t="s">
        <v>15367</v>
      </c>
      <c r="E4922" s="1" t="s">
        <v>209</v>
      </c>
      <c r="F4922" s="1" t="s">
        <v>5017</v>
      </c>
      <c r="G4922" s="1" t="s">
        <v>5018</v>
      </c>
      <c r="H4922" s="1">
        <v>0.1</v>
      </c>
      <c r="I4922" s="1">
        <v>0.1</v>
      </c>
      <c r="J4922" s="1">
        <v>0.59942147987644501</v>
      </c>
      <c r="K4922" s="1" t="s">
        <v>181</v>
      </c>
    </row>
    <row r="4923" spans="1:11" x14ac:dyDescent="0.25">
      <c r="A4923" s="1" t="s">
        <v>15368</v>
      </c>
      <c r="B4923" s="1" t="s">
        <v>15369</v>
      </c>
      <c r="D4923" s="1" t="s">
        <v>15370</v>
      </c>
      <c r="E4923" s="1" t="s">
        <v>209</v>
      </c>
      <c r="F4923" s="1" t="s">
        <v>5017</v>
      </c>
      <c r="G4923" s="1" t="s">
        <v>5018</v>
      </c>
      <c r="H4923" s="1">
        <v>0.1</v>
      </c>
      <c r="I4923" s="1">
        <v>0.1</v>
      </c>
      <c r="J4923" s="1">
        <v>0.53326196085748967</v>
      </c>
      <c r="K4923" s="1" t="s">
        <v>181</v>
      </c>
    </row>
    <row r="4924" spans="1:11" x14ac:dyDescent="0.25">
      <c r="A4924" s="1" t="s">
        <v>15371</v>
      </c>
      <c r="B4924" s="1" t="s">
        <v>15372</v>
      </c>
      <c r="D4924" s="1" t="s">
        <v>15373</v>
      </c>
      <c r="E4924" s="1" t="s">
        <v>209</v>
      </c>
      <c r="F4924" s="1" t="s">
        <v>5017</v>
      </c>
      <c r="G4924" s="1" t="s">
        <v>5018</v>
      </c>
      <c r="H4924" s="1">
        <v>0.1</v>
      </c>
      <c r="I4924" s="1">
        <v>0.1</v>
      </c>
      <c r="J4924" s="1">
        <v>0.86830235773704767</v>
      </c>
      <c r="K4924" s="1" t="s">
        <v>181</v>
      </c>
    </row>
    <row r="4925" spans="1:11" x14ac:dyDescent="0.25">
      <c r="A4925" s="1" t="s">
        <v>15374</v>
      </c>
      <c r="B4925" s="1" t="s">
        <v>15375</v>
      </c>
      <c r="D4925" s="1" t="s">
        <v>15376</v>
      </c>
      <c r="E4925" s="1" t="s">
        <v>209</v>
      </c>
      <c r="F4925" s="1" t="s">
        <v>5017</v>
      </c>
      <c r="G4925" s="1" t="s">
        <v>5018</v>
      </c>
      <c r="H4925" s="1">
        <v>0.1</v>
      </c>
      <c r="I4925" s="1">
        <v>0.1</v>
      </c>
      <c r="J4925" s="1">
        <v>0.85656812008841254</v>
      </c>
      <c r="K4925" s="1" t="s">
        <v>181</v>
      </c>
    </row>
    <row r="4926" spans="1:11" x14ac:dyDescent="0.25">
      <c r="A4926" s="1" t="s">
        <v>15377</v>
      </c>
      <c r="B4926" s="1" t="s">
        <v>15378</v>
      </c>
      <c r="D4926" s="1" t="s">
        <v>15379</v>
      </c>
      <c r="E4926" s="1" t="s">
        <v>209</v>
      </c>
      <c r="F4926" s="1" t="s">
        <v>5017</v>
      </c>
      <c r="G4926" s="1" t="s">
        <v>5018</v>
      </c>
      <c r="H4926" s="1">
        <v>0.1</v>
      </c>
      <c r="I4926" s="1">
        <v>0.1</v>
      </c>
      <c r="J4926" s="1">
        <v>0.75871453276764067</v>
      </c>
      <c r="K4926" s="1" t="s">
        <v>181</v>
      </c>
    </row>
    <row r="4927" spans="1:11" x14ac:dyDescent="0.25">
      <c r="A4927" s="1" t="s">
        <v>15380</v>
      </c>
      <c r="B4927" s="1" t="s">
        <v>15381</v>
      </c>
      <c r="D4927" s="1" t="s">
        <v>15382</v>
      </c>
      <c r="E4927" s="1" t="s">
        <v>209</v>
      </c>
      <c r="F4927" s="1" t="s">
        <v>5017</v>
      </c>
      <c r="G4927" s="1" t="s">
        <v>5018</v>
      </c>
      <c r="H4927" s="1">
        <v>0.1</v>
      </c>
      <c r="I4927" s="1">
        <v>0.1</v>
      </c>
      <c r="J4927" s="1">
        <v>0.58362768107465179</v>
      </c>
      <c r="K4927" s="1" t="s">
        <v>181</v>
      </c>
    </row>
    <row r="4928" spans="1:11" x14ac:dyDescent="0.25">
      <c r="A4928" s="1" t="s">
        <v>15383</v>
      </c>
      <c r="B4928" s="1" t="s">
        <v>15384</v>
      </c>
      <c r="D4928" s="1" t="s">
        <v>15385</v>
      </c>
      <c r="E4928" s="1" t="s">
        <v>209</v>
      </c>
      <c r="F4928" s="1" t="s">
        <v>5017</v>
      </c>
      <c r="G4928" s="1" t="s">
        <v>5018</v>
      </c>
      <c r="H4928" s="1">
        <v>0.1</v>
      </c>
      <c r="I4928" s="1">
        <v>0.1</v>
      </c>
      <c r="J4928" s="1">
        <v>0.52091363736987972</v>
      </c>
      <c r="K4928" s="1" t="s">
        <v>181</v>
      </c>
    </row>
    <row r="4929" spans="1:11" x14ac:dyDescent="0.25">
      <c r="A4929" s="1" t="s">
        <v>15386</v>
      </c>
      <c r="B4929" s="1" t="s">
        <v>15387</v>
      </c>
      <c r="D4929" s="1" t="s">
        <v>15388</v>
      </c>
      <c r="E4929" s="1" t="s">
        <v>209</v>
      </c>
      <c r="F4929" s="1" t="s">
        <v>5017</v>
      </c>
      <c r="G4929" s="1" t="s">
        <v>5018</v>
      </c>
      <c r="H4929" s="1">
        <v>0.1</v>
      </c>
      <c r="I4929" s="1">
        <v>0.1</v>
      </c>
      <c r="J4929" s="1">
        <v>0.63094878377426111</v>
      </c>
      <c r="K4929" s="1" t="s">
        <v>181</v>
      </c>
    </row>
    <row r="4930" spans="1:11" x14ac:dyDescent="0.25">
      <c r="A4930" s="1" t="s">
        <v>15389</v>
      </c>
      <c r="B4930" s="1" t="s">
        <v>15390</v>
      </c>
      <c r="D4930" s="1" t="s">
        <v>15391</v>
      </c>
      <c r="E4930" s="1" t="s">
        <v>209</v>
      </c>
      <c r="F4930" s="1" t="s">
        <v>5017</v>
      </c>
      <c r="G4930" s="1" t="s">
        <v>5018</v>
      </c>
      <c r="H4930" s="1">
        <v>0.1</v>
      </c>
      <c r="I4930" s="1">
        <v>0.1</v>
      </c>
      <c r="J4930" s="1">
        <v>0.72527021241022294</v>
      </c>
      <c r="K4930" s="1" t="s">
        <v>181</v>
      </c>
    </row>
    <row r="4931" spans="1:11" x14ac:dyDescent="0.25">
      <c r="A4931" s="1" t="s">
        <v>15392</v>
      </c>
      <c r="B4931" s="1" t="s">
        <v>15393</v>
      </c>
      <c r="D4931" s="1" t="s">
        <v>15394</v>
      </c>
      <c r="E4931" s="1" t="s">
        <v>209</v>
      </c>
      <c r="F4931" s="1" t="s">
        <v>5017</v>
      </c>
      <c r="G4931" s="1" t="s">
        <v>5018</v>
      </c>
      <c r="H4931" s="1">
        <v>0.1</v>
      </c>
      <c r="I4931" s="1">
        <v>0.1</v>
      </c>
      <c r="J4931" s="1">
        <v>1.1275072129192376</v>
      </c>
      <c r="K4931" s="1" t="s">
        <v>181</v>
      </c>
    </row>
    <row r="4932" spans="1:11" x14ac:dyDescent="0.25">
      <c r="A4932" s="1" t="s">
        <v>15395</v>
      </c>
      <c r="B4932" s="1" t="s">
        <v>15396</v>
      </c>
      <c r="D4932" s="1" t="s">
        <v>15397</v>
      </c>
      <c r="E4932" s="1" t="s">
        <v>209</v>
      </c>
      <c r="F4932" s="1" t="s">
        <v>5017</v>
      </c>
      <c r="G4932" s="1" t="s">
        <v>5018</v>
      </c>
      <c r="H4932" s="1">
        <v>0.1</v>
      </c>
      <c r="I4932" s="1">
        <v>0.1</v>
      </c>
      <c r="J4932" s="1">
        <v>0.76567380376590455</v>
      </c>
      <c r="K4932" s="1" t="s">
        <v>181</v>
      </c>
    </row>
    <row r="4933" spans="1:11" x14ac:dyDescent="0.25">
      <c r="A4933" s="1" t="s">
        <v>15398</v>
      </c>
      <c r="B4933" s="1" t="s">
        <v>15399</v>
      </c>
      <c r="D4933" s="1" t="s">
        <v>15400</v>
      </c>
      <c r="E4933" s="1" t="s">
        <v>209</v>
      </c>
      <c r="F4933" s="1" t="s">
        <v>5017</v>
      </c>
      <c r="G4933" s="1" t="s">
        <v>5018</v>
      </c>
      <c r="H4933" s="1">
        <v>0.1</v>
      </c>
      <c r="I4933" s="1">
        <v>0.1</v>
      </c>
      <c r="J4933" s="1">
        <v>0.75241552424788827</v>
      </c>
      <c r="K4933" s="1" t="s">
        <v>181</v>
      </c>
    </row>
    <row r="4934" spans="1:11" x14ac:dyDescent="0.25">
      <c r="A4934" s="1" t="s">
        <v>15401</v>
      </c>
      <c r="B4934" s="1" t="s">
        <v>15402</v>
      </c>
      <c r="D4934" s="1" t="s">
        <v>15403</v>
      </c>
      <c r="E4934" s="1" t="s">
        <v>209</v>
      </c>
      <c r="F4934" s="1" t="s">
        <v>5017</v>
      </c>
      <c r="G4934" s="1" t="s">
        <v>5018</v>
      </c>
      <c r="H4934" s="1">
        <v>0.1</v>
      </c>
      <c r="I4934" s="1">
        <v>0.1</v>
      </c>
      <c r="J4934" s="1">
        <v>1.077477034173969</v>
      </c>
      <c r="K4934" s="1" t="s">
        <v>181</v>
      </c>
    </row>
    <row r="4935" spans="1:11" x14ac:dyDescent="0.25">
      <c r="A4935" s="1" t="s">
        <v>15404</v>
      </c>
      <c r="B4935" s="1" t="s">
        <v>15405</v>
      </c>
      <c r="D4935" s="1" t="s">
        <v>15406</v>
      </c>
      <c r="E4935" s="1" t="s">
        <v>209</v>
      </c>
      <c r="F4935" s="1" t="s">
        <v>5017</v>
      </c>
      <c r="G4935" s="1" t="s">
        <v>5018</v>
      </c>
      <c r="H4935" s="1">
        <v>0.1</v>
      </c>
      <c r="I4935" s="1">
        <v>0.1</v>
      </c>
      <c r="J4935" s="1">
        <v>1.0913822388663894</v>
      </c>
      <c r="K4935" s="1" t="s">
        <v>181</v>
      </c>
    </row>
    <row r="4936" spans="1:11" x14ac:dyDescent="0.25">
      <c r="A4936" s="1" t="s">
        <v>15407</v>
      </c>
      <c r="B4936" s="1" t="s">
        <v>15408</v>
      </c>
      <c r="D4936" s="1" t="s">
        <v>15409</v>
      </c>
      <c r="E4936" s="1" t="s">
        <v>209</v>
      </c>
      <c r="F4936" s="1" t="s">
        <v>5017</v>
      </c>
      <c r="G4936" s="1" t="s">
        <v>5018</v>
      </c>
      <c r="H4936" s="1">
        <v>0.1</v>
      </c>
      <c r="I4936" s="1">
        <v>0.1</v>
      </c>
      <c r="J4936" s="1">
        <v>0.65840467665815294</v>
      </c>
      <c r="K4936" s="1" t="s">
        <v>181</v>
      </c>
    </row>
    <row r="4937" spans="1:11" x14ac:dyDescent="0.25">
      <c r="A4937" s="1" t="s">
        <v>15410</v>
      </c>
      <c r="B4937" s="1" t="s">
        <v>15411</v>
      </c>
      <c r="D4937" s="1" t="s">
        <v>15412</v>
      </c>
      <c r="E4937" s="1" t="s">
        <v>209</v>
      </c>
      <c r="F4937" s="1" t="s">
        <v>5017</v>
      </c>
      <c r="G4937" s="1" t="s">
        <v>5018</v>
      </c>
      <c r="H4937" s="1">
        <v>0.1</v>
      </c>
      <c r="I4937" s="1">
        <v>0.1</v>
      </c>
      <c r="J4937" s="1">
        <v>0.70531474439971142</v>
      </c>
      <c r="K4937" s="1" t="s">
        <v>181</v>
      </c>
    </row>
    <row r="4938" spans="1:11" x14ac:dyDescent="0.25">
      <c r="A4938" s="1" t="s">
        <v>15413</v>
      </c>
      <c r="B4938" s="1" t="s">
        <v>15414</v>
      </c>
      <c r="D4938" s="1" t="s">
        <v>15415</v>
      </c>
      <c r="E4938" s="1" t="s">
        <v>209</v>
      </c>
      <c r="F4938" s="1" t="s">
        <v>5017</v>
      </c>
      <c r="G4938" s="1" t="s">
        <v>5018</v>
      </c>
      <c r="H4938" s="1">
        <v>0.1</v>
      </c>
      <c r="I4938" s="1">
        <v>0.1</v>
      </c>
      <c r="J4938" s="1">
        <v>0.70309686501724966</v>
      </c>
      <c r="K4938" s="1" t="s">
        <v>181</v>
      </c>
    </row>
    <row r="4939" spans="1:11" x14ac:dyDescent="0.25">
      <c r="A4939" s="1" t="s">
        <v>15416</v>
      </c>
      <c r="B4939" s="1" t="s">
        <v>15417</v>
      </c>
      <c r="D4939" s="1" t="s">
        <v>15418</v>
      </c>
      <c r="E4939" s="1" t="s">
        <v>209</v>
      </c>
      <c r="F4939" s="1" t="s">
        <v>5017</v>
      </c>
      <c r="G4939" s="1" t="s">
        <v>5018</v>
      </c>
      <c r="H4939" s="1">
        <v>0.1</v>
      </c>
      <c r="I4939" s="1">
        <v>0.1</v>
      </c>
      <c r="J4939" s="1">
        <v>0.78470986057304537</v>
      </c>
      <c r="K4939" s="1" t="s">
        <v>181</v>
      </c>
    </row>
    <row r="4940" spans="1:11" x14ac:dyDescent="0.25">
      <c r="A4940" s="1" t="s">
        <v>15419</v>
      </c>
      <c r="B4940" s="1" t="s">
        <v>15420</v>
      </c>
      <c r="D4940" s="1" t="s">
        <v>15421</v>
      </c>
      <c r="E4940" s="1" t="s">
        <v>209</v>
      </c>
      <c r="F4940" s="1" t="s">
        <v>5017</v>
      </c>
      <c r="G4940" s="1" t="s">
        <v>5018</v>
      </c>
      <c r="H4940" s="1">
        <v>0.1</v>
      </c>
      <c r="I4940" s="1">
        <v>0.1</v>
      </c>
      <c r="J4940" s="1">
        <v>0.7440357765879676</v>
      </c>
      <c r="K4940" s="1" t="s">
        <v>181</v>
      </c>
    </row>
    <row r="4941" spans="1:11" x14ac:dyDescent="0.25">
      <c r="A4941" s="1" t="s">
        <v>15422</v>
      </c>
      <c r="B4941" s="1" t="s">
        <v>15423</v>
      </c>
      <c r="D4941" s="1" t="s">
        <v>15424</v>
      </c>
      <c r="E4941" s="1" t="s">
        <v>209</v>
      </c>
      <c r="F4941" s="1" t="s">
        <v>5017</v>
      </c>
      <c r="G4941" s="1" t="s">
        <v>5018</v>
      </c>
      <c r="H4941" s="1">
        <v>0.1</v>
      </c>
      <c r="I4941" s="1">
        <v>0.1</v>
      </c>
      <c r="J4941" s="1">
        <v>0.72471158297279792</v>
      </c>
      <c r="K4941" s="1" t="s">
        <v>181</v>
      </c>
    </row>
    <row r="4942" spans="1:11" x14ac:dyDescent="0.25">
      <c r="A4942" s="1" t="s">
        <v>15425</v>
      </c>
      <c r="B4942" s="1" t="s">
        <v>15426</v>
      </c>
      <c r="D4942" s="1" t="s">
        <v>15427</v>
      </c>
      <c r="E4942" s="1" t="s">
        <v>209</v>
      </c>
      <c r="F4942" s="1" t="s">
        <v>5017</v>
      </c>
      <c r="G4942" s="1" t="s">
        <v>5018</v>
      </c>
      <c r="H4942" s="1">
        <v>0.1</v>
      </c>
      <c r="I4942" s="1">
        <v>0.1</v>
      </c>
      <c r="J4942" s="1">
        <v>0.70444491710727553</v>
      </c>
      <c r="K4942" s="1" t="s">
        <v>181</v>
      </c>
    </row>
    <row r="4943" spans="1:11" x14ac:dyDescent="0.25">
      <c r="A4943" s="1" t="s">
        <v>15428</v>
      </c>
      <c r="B4943" s="1" t="s">
        <v>15429</v>
      </c>
      <c r="D4943" s="1" t="s">
        <v>15430</v>
      </c>
      <c r="E4943" s="1" t="s">
        <v>209</v>
      </c>
      <c r="F4943" s="1" t="s">
        <v>5017</v>
      </c>
      <c r="G4943" s="1" t="s">
        <v>5018</v>
      </c>
      <c r="H4943" s="1">
        <v>0.1</v>
      </c>
      <c r="I4943" s="1">
        <v>0.1</v>
      </c>
      <c r="J4943" s="1">
        <v>0.6559356740941602</v>
      </c>
      <c r="K4943" s="1" t="s">
        <v>181</v>
      </c>
    </row>
    <row r="4944" spans="1:11" x14ac:dyDescent="0.25">
      <c r="A4944" s="1" t="s">
        <v>15431</v>
      </c>
      <c r="B4944" s="1" t="s">
        <v>15432</v>
      </c>
      <c r="D4944" s="1" t="s">
        <v>15433</v>
      </c>
      <c r="E4944" s="1" t="s">
        <v>209</v>
      </c>
      <c r="F4944" s="1" t="s">
        <v>5017</v>
      </c>
      <c r="G4944" s="1" t="s">
        <v>5018</v>
      </c>
      <c r="H4944" s="1">
        <v>0.1</v>
      </c>
      <c r="I4944" s="1">
        <v>0.1</v>
      </c>
      <c r="J4944" s="1">
        <v>1.0105414408520363</v>
      </c>
      <c r="K4944" s="1" t="s">
        <v>181</v>
      </c>
    </row>
    <row r="4945" spans="1:11" x14ac:dyDescent="0.25">
      <c r="A4945" s="1" t="s">
        <v>15434</v>
      </c>
      <c r="B4945" s="1" t="s">
        <v>15435</v>
      </c>
      <c r="D4945" s="1" t="s">
        <v>15436</v>
      </c>
      <c r="E4945" s="1" t="s">
        <v>209</v>
      </c>
      <c r="F4945" s="1" t="s">
        <v>5017</v>
      </c>
      <c r="G4945" s="1" t="s">
        <v>5018</v>
      </c>
      <c r="H4945" s="1">
        <v>0.1</v>
      </c>
      <c r="I4945" s="1">
        <v>0.1</v>
      </c>
      <c r="J4945" s="1">
        <v>0.92811951504968604</v>
      </c>
      <c r="K4945" s="1" t="s">
        <v>181</v>
      </c>
    </row>
    <row r="4946" spans="1:11" x14ac:dyDescent="0.25">
      <c r="A4946" s="1" t="s">
        <v>15437</v>
      </c>
      <c r="B4946" s="1" t="s">
        <v>15438</v>
      </c>
      <c r="D4946" s="1" t="s">
        <v>15439</v>
      </c>
      <c r="E4946" s="1" t="s">
        <v>209</v>
      </c>
      <c r="F4946" s="1" t="s">
        <v>5017</v>
      </c>
      <c r="G4946" s="1" t="s">
        <v>5018</v>
      </c>
      <c r="H4946" s="1">
        <v>0.1</v>
      </c>
      <c r="I4946" s="1">
        <v>0.1</v>
      </c>
      <c r="J4946" s="1">
        <v>0.91021702561996753</v>
      </c>
      <c r="K4946" s="1" t="s">
        <v>181</v>
      </c>
    </row>
    <row r="4947" spans="1:11" x14ac:dyDescent="0.25">
      <c r="A4947" s="1" t="s">
        <v>15440</v>
      </c>
      <c r="B4947" s="1" t="s">
        <v>15441</v>
      </c>
      <c r="D4947" s="1" t="s">
        <v>15442</v>
      </c>
      <c r="E4947" s="1" t="s">
        <v>209</v>
      </c>
      <c r="F4947" s="1" t="s">
        <v>5017</v>
      </c>
      <c r="G4947" s="1" t="s">
        <v>5018</v>
      </c>
      <c r="H4947" s="1">
        <v>0.1</v>
      </c>
      <c r="I4947" s="1">
        <v>0.1</v>
      </c>
      <c r="J4947" s="1">
        <v>0.54785345846936961</v>
      </c>
      <c r="K4947" s="1" t="s">
        <v>181</v>
      </c>
    </row>
    <row r="4948" spans="1:11" x14ac:dyDescent="0.25">
      <c r="A4948" s="1" t="s">
        <v>15443</v>
      </c>
      <c r="B4948" s="1" t="s">
        <v>15444</v>
      </c>
      <c r="D4948" s="1" t="s">
        <v>15445</v>
      </c>
      <c r="E4948" s="1" t="s">
        <v>209</v>
      </c>
      <c r="F4948" s="1" t="s">
        <v>5017</v>
      </c>
      <c r="G4948" s="1" t="s">
        <v>5018</v>
      </c>
      <c r="H4948" s="1">
        <v>0.1</v>
      </c>
      <c r="I4948" s="1">
        <v>0.1</v>
      </c>
      <c r="J4948" s="1">
        <v>0.66859731591421945</v>
      </c>
      <c r="K4948" s="1" t="s">
        <v>181</v>
      </c>
    </row>
    <row r="4949" spans="1:11" x14ac:dyDescent="0.25">
      <c r="A4949" s="1" t="s">
        <v>15446</v>
      </c>
      <c r="B4949" s="1" t="s">
        <v>15447</v>
      </c>
      <c r="D4949" s="1" t="s">
        <v>15448</v>
      </c>
      <c r="E4949" s="1" t="s">
        <v>209</v>
      </c>
      <c r="F4949" s="1" t="s">
        <v>5017</v>
      </c>
      <c r="G4949" s="1" t="s">
        <v>5018</v>
      </c>
      <c r="H4949" s="1">
        <v>0.1</v>
      </c>
      <c r="I4949" s="1">
        <v>0.1</v>
      </c>
      <c r="J4949" s="1">
        <v>0.62236067335871303</v>
      </c>
      <c r="K4949" s="1" t="s">
        <v>181</v>
      </c>
    </row>
    <row r="4950" spans="1:11" x14ac:dyDescent="0.25">
      <c r="A4950" s="1" t="s">
        <v>15449</v>
      </c>
      <c r="B4950" s="1" t="s">
        <v>15450</v>
      </c>
      <c r="D4950" s="1" t="s">
        <v>15451</v>
      </c>
      <c r="E4950" s="1" t="s">
        <v>209</v>
      </c>
      <c r="F4950" s="1" t="s">
        <v>5017</v>
      </c>
      <c r="G4950" s="1" t="s">
        <v>5018</v>
      </c>
      <c r="H4950" s="1">
        <v>0.1</v>
      </c>
      <c r="I4950" s="1">
        <v>0.1</v>
      </c>
      <c r="J4950" s="1">
        <v>0.57588506557440255</v>
      </c>
      <c r="K4950" s="1" t="s">
        <v>181</v>
      </c>
    </row>
    <row r="4951" spans="1:11" x14ac:dyDescent="0.25">
      <c r="A4951" s="1" t="s">
        <v>15452</v>
      </c>
      <c r="B4951" s="1" t="s">
        <v>15453</v>
      </c>
      <c r="D4951" s="1" t="s">
        <v>15454</v>
      </c>
      <c r="E4951" s="1" t="s">
        <v>209</v>
      </c>
      <c r="F4951" s="1" t="s">
        <v>5017</v>
      </c>
      <c r="G4951" s="1" t="s">
        <v>5018</v>
      </c>
      <c r="H4951" s="1">
        <v>0.1</v>
      </c>
      <c r="I4951" s="1">
        <v>0.1</v>
      </c>
      <c r="J4951" s="1">
        <v>0.77553498081748695</v>
      </c>
      <c r="K4951" s="1" t="s">
        <v>181</v>
      </c>
    </row>
    <row r="4952" spans="1:11" x14ac:dyDescent="0.25">
      <c r="A4952" s="1" t="s">
        <v>15455</v>
      </c>
      <c r="B4952" s="1" t="s">
        <v>15456</v>
      </c>
      <c r="D4952" s="1" t="s">
        <v>15457</v>
      </c>
      <c r="E4952" s="1" t="s">
        <v>209</v>
      </c>
      <c r="F4952" s="1" t="s">
        <v>5017</v>
      </c>
      <c r="G4952" s="1" t="s">
        <v>5018</v>
      </c>
      <c r="H4952" s="1">
        <v>0.1</v>
      </c>
      <c r="I4952" s="1">
        <v>0.1</v>
      </c>
      <c r="J4952" s="1">
        <v>0.67859699561703313</v>
      </c>
      <c r="K4952" s="1" t="s">
        <v>181</v>
      </c>
    </row>
    <row r="4953" spans="1:11" x14ac:dyDescent="0.25">
      <c r="A4953" s="1" t="s">
        <v>15458</v>
      </c>
      <c r="B4953" s="1" t="s">
        <v>15459</v>
      </c>
      <c r="D4953" s="1" t="s">
        <v>15460</v>
      </c>
      <c r="E4953" s="1" t="s">
        <v>209</v>
      </c>
      <c r="F4953" s="1" t="s">
        <v>5017</v>
      </c>
      <c r="G4953" s="1" t="s">
        <v>5018</v>
      </c>
      <c r="H4953" s="1">
        <v>0.1</v>
      </c>
      <c r="I4953" s="1">
        <v>0.1</v>
      </c>
      <c r="J4953" s="1">
        <v>0.77778709095224152</v>
      </c>
      <c r="K4953" s="1" t="s">
        <v>181</v>
      </c>
    </row>
    <row r="4954" spans="1:11" x14ac:dyDescent="0.25">
      <c r="A4954" s="1" t="s">
        <v>15461</v>
      </c>
      <c r="B4954" s="1" t="s">
        <v>15462</v>
      </c>
      <c r="D4954" s="1" t="s">
        <v>15463</v>
      </c>
      <c r="E4954" s="1" t="s">
        <v>209</v>
      </c>
      <c r="F4954" s="1" t="s">
        <v>5017</v>
      </c>
      <c r="G4954" s="1" t="s">
        <v>5018</v>
      </c>
      <c r="H4954" s="1">
        <v>0.1</v>
      </c>
      <c r="I4954" s="1">
        <v>0.1</v>
      </c>
      <c r="J4954" s="1">
        <v>0.46916686796173773</v>
      </c>
      <c r="K4954" s="1" t="s">
        <v>181</v>
      </c>
    </row>
    <row r="4955" spans="1:11" x14ac:dyDescent="0.25">
      <c r="A4955" s="1" t="s">
        <v>15464</v>
      </c>
      <c r="B4955" s="1" t="s">
        <v>15465</v>
      </c>
      <c r="D4955" s="1" t="s">
        <v>15466</v>
      </c>
      <c r="E4955" s="1" t="s">
        <v>209</v>
      </c>
      <c r="F4955" s="1" t="s">
        <v>5017</v>
      </c>
      <c r="G4955" s="1" t="s">
        <v>5018</v>
      </c>
      <c r="H4955" s="1">
        <v>0.1</v>
      </c>
      <c r="I4955" s="1">
        <v>0.1</v>
      </c>
      <c r="J4955" s="1">
        <v>0.60394623209176201</v>
      </c>
      <c r="K4955" s="1" t="s">
        <v>181</v>
      </c>
    </row>
    <row r="4956" spans="1:11" x14ac:dyDescent="0.25">
      <c r="A4956" s="1" t="s">
        <v>15467</v>
      </c>
      <c r="B4956" s="1" t="s">
        <v>15468</v>
      </c>
      <c r="D4956" s="1" t="s">
        <v>15469</v>
      </c>
      <c r="E4956" s="1" t="s">
        <v>209</v>
      </c>
      <c r="F4956" s="1" t="s">
        <v>5017</v>
      </c>
      <c r="G4956" s="1" t="s">
        <v>5018</v>
      </c>
      <c r="H4956" s="1">
        <v>0.1</v>
      </c>
      <c r="I4956" s="1">
        <v>0.1</v>
      </c>
      <c r="J4956" s="1">
        <v>0.68225220421776689</v>
      </c>
      <c r="K4956" s="1" t="s">
        <v>181</v>
      </c>
    </row>
    <row r="4957" spans="1:11" x14ac:dyDescent="0.25">
      <c r="A4957" s="1" t="s">
        <v>15470</v>
      </c>
      <c r="B4957" s="1" t="s">
        <v>15471</v>
      </c>
      <c r="D4957" s="1" t="s">
        <v>15472</v>
      </c>
      <c r="E4957" s="1" t="s">
        <v>209</v>
      </c>
      <c r="F4957" s="1" t="s">
        <v>5017</v>
      </c>
      <c r="G4957" s="1" t="s">
        <v>5018</v>
      </c>
      <c r="H4957" s="1">
        <v>0.1</v>
      </c>
      <c r="I4957" s="1">
        <v>0.1</v>
      </c>
      <c r="J4957" s="1">
        <v>0.84406723085975888</v>
      </c>
      <c r="K4957" s="1" t="s">
        <v>181</v>
      </c>
    </row>
    <row r="4958" spans="1:11" x14ac:dyDescent="0.25">
      <c r="A4958" s="1" t="s">
        <v>15473</v>
      </c>
      <c r="B4958" s="1" t="s">
        <v>15474</v>
      </c>
      <c r="D4958" s="1" t="s">
        <v>15475</v>
      </c>
      <c r="E4958" s="1" t="s">
        <v>209</v>
      </c>
      <c r="F4958" s="1" t="s">
        <v>5017</v>
      </c>
      <c r="G4958" s="1" t="s">
        <v>5018</v>
      </c>
      <c r="H4958" s="1">
        <v>0.1</v>
      </c>
      <c r="I4958" s="1">
        <v>0.1</v>
      </c>
      <c r="J4958" s="1">
        <v>0.6990115031925096</v>
      </c>
      <c r="K4958" s="1" t="s">
        <v>181</v>
      </c>
    </row>
    <row r="4959" spans="1:11" x14ac:dyDescent="0.25">
      <c r="A4959" s="1" t="s">
        <v>15476</v>
      </c>
      <c r="B4959" s="1" t="s">
        <v>15477</v>
      </c>
      <c r="D4959" s="1" t="s">
        <v>15478</v>
      </c>
      <c r="E4959" s="1" t="s">
        <v>209</v>
      </c>
      <c r="F4959" s="1" t="s">
        <v>5017</v>
      </c>
      <c r="G4959" s="1" t="s">
        <v>5018</v>
      </c>
      <c r="H4959" s="1">
        <v>0.1</v>
      </c>
      <c r="I4959" s="1">
        <v>0.1</v>
      </c>
      <c r="J4959" s="1">
        <v>0.81373509749333883</v>
      </c>
      <c r="K4959" s="1" t="s">
        <v>181</v>
      </c>
    </row>
    <row r="4960" spans="1:11" x14ac:dyDescent="0.25">
      <c r="A4960" s="1" t="s">
        <v>15479</v>
      </c>
      <c r="B4960" s="1" t="s">
        <v>15480</v>
      </c>
      <c r="D4960" s="1" t="s">
        <v>15481</v>
      </c>
      <c r="E4960" s="1" t="s">
        <v>209</v>
      </c>
      <c r="F4960" s="1" t="s">
        <v>5017</v>
      </c>
      <c r="G4960" s="1" t="s">
        <v>5018</v>
      </c>
      <c r="H4960" s="1">
        <v>0.1</v>
      </c>
      <c r="I4960" s="1">
        <v>0.1</v>
      </c>
      <c r="J4960" s="1">
        <v>0.66888065653216033</v>
      </c>
      <c r="K4960" s="1" t="s">
        <v>181</v>
      </c>
    </row>
    <row r="4961" spans="1:11" x14ac:dyDescent="0.25">
      <c r="A4961" s="1" t="s">
        <v>15482</v>
      </c>
      <c r="B4961" s="1" t="s">
        <v>15483</v>
      </c>
      <c r="D4961" s="1" t="s">
        <v>15484</v>
      </c>
      <c r="E4961" s="1" t="s">
        <v>209</v>
      </c>
      <c r="F4961" s="1" t="s">
        <v>5017</v>
      </c>
      <c r="G4961" s="1" t="s">
        <v>5018</v>
      </c>
      <c r="H4961" s="1">
        <v>0.1</v>
      </c>
      <c r="I4961" s="1">
        <v>0.1</v>
      </c>
      <c r="J4961" s="1">
        <v>0.92319690098862395</v>
      </c>
      <c r="K4961" s="1" t="s">
        <v>181</v>
      </c>
    </row>
    <row r="4962" spans="1:11" x14ac:dyDescent="0.25">
      <c r="A4962" s="1" t="s">
        <v>15485</v>
      </c>
      <c r="B4962" s="1" t="s">
        <v>15486</v>
      </c>
      <c r="D4962" s="1" t="s">
        <v>15487</v>
      </c>
      <c r="E4962" s="1" t="s">
        <v>209</v>
      </c>
      <c r="F4962" s="1" t="s">
        <v>5017</v>
      </c>
      <c r="G4962" s="1" t="s">
        <v>5018</v>
      </c>
      <c r="H4962" s="1">
        <v>0.1</v>
      </c>
      <c r="I4962" s="1">
        <v>0.1</v>
      </c>
      <c r="J4962" s="1">
        <v>0.57601289924971455</v>
      </c>
      <c r="K4962" s="1" t="s">
        <v>181</v>
      </c>
    </row>
    <row r="4963" spans="1:11" x14ac:dyDescent="0.25">
      <c r="A4963" s="1" t="s">
        <v>15488</v>
      </c>
      <c r="B4963" s="1" t="s">
        <v>15489</v>
      </c>
      <c r="D4963" s="1" t="s">
        <v>15490</v>
      </c>
      <c r="E4963" s="1" t="s">
        <v>209</v>
      </c>
      <c r="F4963" s="1" t="s">
        <v>5017</v>
      </c>
      <c r="G4963" s="1" t="s">
        <v>5018</v>
      </c>
      <c r="H4963" s="1">
        <v>0.1</v>
      </c>
      <c r="I4963" s="1">
        <v>0.1</v>
      </c>
      <c r="J4963" s="1">
        <v>0.89799071947828912</v>
      </c>
      <c r="K4963" s="1" t="s">
        <v>181</v>
      </c>
    </row>
    <row r="4964" spans="1:11" x14ac:dyDescent="0.25">
      <c r="A4964" s="1" t="s">
        <v>15491</v>
      </c>
      <c r="B4964" s="1" t="s">
        <v>15492</v>
      </c>
      <c r="D4964" s="1" t="s">
        <v>15493</v>
      </c>
      <c r="E4964" s="1" t="s">
        <v>209</v>
      </c>
      <c r="F4964" s="1" t="s">
        <v>5017</v>
      </c>
      <c r="G4964" s="1" t="s">
        <v>5018</v>
      </c>
      <c r="H4964" s="1">
        <v>0.1</v>
      </c>
      <c r="I4964" s="1">
        <v>0.1</v>
      </c>
      <c r="J4964" s="1">
        <v>0.76821929938640821</v>
      </c>
      <c r="K4964" s="1" t="s">
        <v>181</v>
      </c>
    </row>
    <row r="4965" spans="1:11" x14ac:dyDescent="0.25">
      <c r="A4965" s="1" t="s">
        <v>15494</v>
      </c>
      <c r="B4965" s="1" t="s">
        <v>15495</v>
      </c>
      <c r="D4965" s="1" t="s">
        <v>15496</v>
      </c>
      <c r="E4965" s="1" t="s">
        <v>209</v>
      </c>
      <c r="F4965" s="1" t="s">
        <v>5017</v>
      </c>
      <c r="G4965" s="1" t="s">
        <v>5018</v>
      </c>
      <c r="H4965" s="1">
        <v>0.1</v>
      </c>
      <c r="I4965" s="1">
        <v>0.1</v>
      </c>
      <c r="J4965" s="1">
        <v>0.76978270874610288</v>
      </c>
      <c r="K4965" s="1" t="s">
        <v>181</v>
      </c>
    </row>
    <row r="4966" spans="1:11" x14ac:dyDescent="0.25">
      <c r="A4966" s="1" t="s">
        <v>15497</v>
      </c>
      <c r="B4966" s="1" t="s">
        <v>15498</v>
      </c>
      <c r="D4966" s="1" t="s">
        <v>15499</v>
      </c>
      <c r="E4966" s="1" t="s">
        <v>209</v>
      </c>
      <c r="F4966" s="1" t="s">
        <v>5017</v>
      </c>
      <c r="G4966" s="1" t="s">
        <v>5018</v>
      </c>
      <c r="H4966" s="1">
        <v>0.1</v>
      </c>
      <c r="I4966" s="1">
        <v>0.1</v>
      </c>
      <c r="J4966" s="1">
        <v>0.47967170223840133</v>
      </c>
      <c r="K4966" s="1" t="s">
        <v>181</v>
      </c>
    </row>
    <row r="4967" spans="1:11" x14ac:dyDescent="0.25">
      <c r="A4967" s="1" t="s">
        <v>15500</v>
      </c>
      <c r="B4967" s="1" t="s">
        <v>15501</v>
      </c>
      <c r="D4967" s="1" t="s">
        <v>15502</v>
      </c>
      <c r="E4967" s="1" t="s">
        <v>209</v>
      </c>
      <c r="F4967" s="1" t="s">
        <v>5017</v>
      </c>
      <c r="G4967" s="1" t="s">
        <v>5018</v>
      </c>
      <c r="H4967" s="1">
        <v>0.1</v>
      </c>
      <c r="I4967" s="1">
        <v>0.1</v>
      </c>
      <c r="J4967" s="1">
        <v>0.5380533788508054</v>
      </c>
      <c r="K4967" s="1" t="s">
        <v>181</v>
      </c>
    </row>
    <row r="4968" spans="1:11" x14ac:dyDescent="0.25">
      <c r="A4968" s="1" t="s">
        <v>15503</v>
      </c>
      <c r="B4968" s="1" t="s">
        <v>15504</v>
      </c>
      <c r="D4968" s="1" t="s">
        <v>15505</v>
      </c>
      <c r="E4968" s="1" t="s">
        <v>209</v>
      </c>
      <c r="F4968" s="1" t="s">
        <v>5017</v>
      </c>
      <c r="G4968" s="1" t="s">
        <v>5018</v>
      </c>
      <c r="H4968" s="1">
        <v>0.1</v>
      </c>
      <c r="I4968" s="1">
        <v>0.1</v>
      </c>
      <c r="J4968" s="1">
        <v>0.58029968263957088</v>
      </c>
      <c r="K4968" s="1" t="s">
        <v>181</v>
      </c>
    </row>
    <row r="4969" spans="1:11" x14ac:dyDescent="0.25">
      <c r="A4969" s="1" t="s">
        <v>15506</v>
      </c>
      <c r="B4969" s="1" t="s">
        <v>15507</v>
      </c>
      <c r="D4969" s="1" t="s">
        <v>15508</v>
      </c>
      <c r="E4969" s="1" t="s">
        <v>209</v>
      </c>
      <c r="F4969" s="1" t="s">
        <v>5017</v>
      </c>
      <c r="G4969" s="1" t="s">
        <v>5018</v>
      </c>
      <c r="H4969" s="1">
        <v>0.1</v>
      </c>
      <c r="I4969" s="1">
        <v>0.1</v>
      </c>
      <c r="J4969" s="1">
        <v>0.81727661766559279</v>
      </c>
      <c r="K4969" s="1" t="s">
        <v>181</v>
      </c>
    </row>
    <row r="4970" spans="1:11" x14ac:dyDescent="0.25">
      <c r="A4970" s="1" t="s">
        <v>15509</v>
      </c>
      <c r="B4970" s="1" t="s">
        <v>15510</v>
      </c>
      <c r="D4970" s="1" t="s">
        <v>15511</v>
      </c>
      <c r="E4970" s="1" t="s">
        <v>209</v>
      </c>
      <c r="F4970" s="1" t="s">
        <v>5017</v>
      </c>
      <c r="G4970" s="1" t="s">
        <v>5018</v>
      </c>
      <c r="H4970" s="1">
        <v>0.1</v>
      </c>
      <c r="I4970" s="1">
        <v>0.1</v>
      </c>
      <c r="J4970" s="1">
        <v>0.53250165390831417</v>
      </c>
      <c r="K4970" s="1" t="s">
        <v>181</v>
      </c>
    </row>
    <row r="4971" spans="1:11" x14ac:dyDescent="0.25">
      <c r="A4971" s="1" t="s">
        <v>15512</v>
      </c>
      <c r="B4971" s="1" t="s">
        <v>15513</v>
      </c>
      <c r="D4971" s="1" t="s">
        <v>15514</v>
      </c>
      <c r="E4971" s="1" t="s">
        <v>209</v>
      </c>
      <c r="F4971" s="1" t="s">
        <v>5017</v>
      </c>
      <c r="G4971" s="1" t="s">
        <v>5018</v>
      </c>
      <c r="H4971" s="1">
        <v>0.1</v>
      </c>
      <c r="I4971" s="1">
        <v>0.1</v>
      </c>
      <c r="J4971" s="1">
        <v>0.54073077157883065</v>
      </c>
      <c r="K4971" s="1" t="s">
        <v>181</v>
      </c>
    </row>
    <row r="4972" spans="1:11" x14ac:dyDescent="0.25">
      <c r="A4972" s="1" t="s">
        <v>15515</v>
      </c>
      <c r="B4972" s="1" t="s">
        <v>15516</v>
      </c>
      <c r="D4972" s="1" t="s">
        <v>15517</v>
      </c>
      <c r="E4972" s="1" t="s">
        <v>209</v>
      </c>
      <c r="F4972" s="1" t="s">
        <v>5017</v>
      </c>
      <c r="G4972" s="1" t="s">
        <v>5018</v>
      </c>
      <c r="H4972" s="1">
        <v>0.1</v>
      </c>
      <c r="I4972" s="1">
        <v>0.1</v>
      </c>
      <c r="J4972" s="1">
        <v>0.86459297483998876</v>
      </c>
      <c r="K4972" s="1" t="s">
        <v>181</v>
      </c>
    </row>
    <row r="4973" spans="1:11" x14ac:dyDescent="0.25">
      <c r="A4973" s="1" t="s">
        <v>15518</v>
      </c>
      <c r="B4973" s="1" t="s">
        <v>15519</v>
      </c>
      <c r="D4973" s="1" t="s">
        <v>15520</v>
      </c>
      <c r="E4973" s="1" t="s">
        <v>209</v>
      </c>
      <c r="F4973" s="1" t="s">
        <v>5017</v>
      </c>
      <c r="G4973" s="1" t="s">
        <v>5018</v>
      </c>
      <c r="H4973" s="1">
        <v>0.1</v>
      </c>
      <c r="I4973" s="1">
        <v>0.1</v>
      </c>
      <c r="J4973" s="1">
        <v>0.66513881068291336</v>
      </c>
      <c r="K4973" s="1" t="s">
        <v>181</v>
      </c>
    </row>
    <row r="4974" spans="1:11" x14ac:dyDescent="0.25">
      <c r="A4974" s="1" t="s">
        <v>80</v>
      </c>
      <c r="B4974" s="1" t="s">
        <v>15521</v>
      </c>
      <c r="D4974" s="1" t="s">
        <v>15522</v>
      </c>
      <c r="E4974" s="1" t="s">
        <v>209</v>
      </c>
      <c r="F4974" s="1" t="s">
        <v>5017</v>
      </c>
      <c r="G4974" s="1" t="s">
        <v>5018</v>
      </c>
      <c r="H4974" s="1">
        <v>0.1</v>
      </c>
      <c r="I4974" s="1">
        <v>0.1</v>
      </c>
      <c r="J4974" s="1">
        <v>0.97977374367507508</v>
      </c>
      <c r="K4974" s="1" t="s">
        <v>181</v>
      </c>
    </row>
    <row r="4975" spans="1:11" x14ac:dyDescent="0.25">
      <c r="A4975" s="1" t="s">
        <v>15523</v>
      </c>
      <c r="B4975" s="1" t="s">
        <v>15524</v>
      </c>
      <c r="D4975" s="1" t="s">
        <v>15525</v>
      </c>
      <c r="E4975" s="1" t="s">
        <v>209</v>
      </c>
      <c r="F4975" s="1" t="s">
        <v>5017</v>
      </c>
      <c r="G4975" s="1" t="s">
        <v>5018</v>
      </c>
      <c r="H4975" s="1">
        <v>0.1</v>
      </c>
      <c r="I4975" s="1">
        <v>0.1</v>
      </c>
      <c r="J4975" s="1">
        <v>0.67402946610410763</v>
      </c>
      <c r="K4975" s="1" t="s">
        <v>181</v>
      </c>
    </row>
    <row r="4976" spans="1:11" x14ac:dyDescent="0.25">
      <c r="A4976" s="1" t="s">
        <v>15526</v>
      </c>
      <c r="B4976" s="1" t="s">
        <v>15527</v>
      </c>
      <c r="D4976" s="1" t="s">
        <v>15528</v>
      </c>
      <c r="E4976" s="1" t="s">
        <v>209</v>
      </c>
      <c r="F4976" s="1" t="s">
        <v>5017</v>
      </c>
      <c r="G4976" s="1" t="s">
        <v>5018</v>
      </c>
      <c r="H4976" s="1">
        <v>0.1</v>
      </c>
      <c r="I4976" s="1">
        <v>0.1</v>
      </c>
      <c r="J4976" s="1">
        <v>0.42349173730914846</v>
      </c>
      <c r="K4976" s="1" t="s">
        <v>181</v>
      </c>
    </row>
    <row r="4977" spans="1:11" x14ac:dyDescent="0.25">
      <c r="A4977" s="1" t="s">
        <v>15529</v>
      </c>
      <c r="B4977" s="1" t="s">
        <v>15530</v>
      </c>
      <c r="D4977" s="1" t="s">
        <v>15531</v>
      </c>
      <c r="E4977" s="1" t="s">
        <v>209</v>
      </c>
      <c r="F4977" s="1" t="s">
        <v>5017</v>
      </c>
      <c r="G4977" s="1" t="s">
        <v>5018</v>
      </c>
      <c r="H4977" s="1">
        <v>0.1</v>
      </c>
      <c r="I4977" s="1">
        <v>0.1</v>
      </c>
      <c r="J4977" s="1">
        <v>0.59547526919118476</v>
      </c>
      <c r="K4977" s="1" t="s">
        <v>181</v>
      </c>
    </row>
    <row r="4978" spans="1:11" x14ac:dyDescent="0.25">
      <c r="A4978" s="1" t="s">
        <v>15532</v>
      </c>
      <c r="B4978" s="1" t="s">
        <v>15533</v>
      </c>
      <c r="D4978" s="1" t="s">
        <v>15534</v>
      </c>
      <c r="E4978" s="1" t="s">
        <v>209</v>
      </c>
      <c r="F4978" s="1" t="s">
        <v>5017</v>
      </c>
      <c r="G4978" s="1" t="s">
        <v>5018</v>
      </c>
      <c r="H4978" s="1">
        <v>0.1</v>
      </c>
      <c r="I4978" s="1">
        <v>0.1</v>
      </c>
      <c r="J4978" s="1">
        <v>0.55883531623858196</v>
      </c>
      <c r="K4978" s="1" t="s">
        <v>181</v>
      </c>
    </row>
    <row r="4979" spans="1:11" x14ac:dyDescent="0.25">
      <c r="A4979" s="1" t="s">
        <v>15535</v>
      </c>
      <c r="B4979" s="1" t="s">
        <v>15536</v>
      </c>
      <c r="D4979" s="1" t="s">
        <v>15537</v>
      </c>
      <c r="E4979" s="1" t="s">
        <v>209</v>
      </c>
      <c r="F4979" s="1" t="s">
        <v>5017</v>
      </c>
      <c r="G4979" s="1" t="s">
        <v>5018</v>
      </c>
      <c r="H4979" s="1">
        <v>0.1</v>
      </c>
      <c r="I4979" s="1">
        <v>0.1</v>
      </c>
      <c r="J4979" s="1">
        <v>0.77376435867942672</v>
      </c>
      <c r="K4979" s="1" t="s">
        <v>181</v>
      </c>
    </row>
    <row r="4980" spans="1:11" x14ac:dyDescent="0.25">
      <c r="A4980" s="1" t="s">
        <v>15538</v>
      </c>
      <c r="B4980" s="1" t="s">
        <v>15539</v>
      </c>
      <c r="D4980" s="1" t="s">
        <v>15540</v>
      </c>
      <c r="E4980" s="1" t="s">
        <v>209</v>
      </c>
      <c r="F4980" s="1" t="s">
        <v>5017</v>
      </c>
      <c r="G4980" s="1" t="s">
        <v>5018</v>
      </c>
      <c r="H4980" s="1">
        <v>0.1</v>
      </c>
      <c r="I4980" s="1">
        <v>0.1</v>
      </c>
      <c r="J4980" s="1">
        <v>0.86377028516479371</v>
      </c>
      <c r="K4980" s="1" t="s">
        <v>181</v>
      </c>
    </row>
    <row r="4981" spans="1:11" x14ac:dyDescent="0.25">
      <c r="A4981" s="1" t="s">
        <v>15541</v>
      </c>
      <c r="B4981" s="1" t="s">
        <v>15542</v>
      </c>
      <c r="D4981" s="1" t="s">
        <v>15543</v>
      </c>
      <c r="E4981" s="1" t="s">
        <v>209</v>
      </c>
      <c r="F4981" s="1" t="s">
        <v>5017</v>
      </c>
      <c r="G4981" s="1" t="s">
        <v>5018</v>
      </c>
      <c r="H4981" s="1">
        <v>0.1</v>
      </c>
      <c r="I4981" s="1">
        <v>0.1</v>
      </c>
      <c r="J4981" s="1">
        <v>0.85917028183851762</v>
      </c>
      <c r="K4981" s="1" t="s">
        <v>181</v>
      </c>
    </row>
    <row r="4982" spans="1:11" x14ac:dyDescent="0.25">
      <c r="A4982" s="1" t="s">
        <v>15544</v>
      </c>
      <c r="B4982" s="1" t="s">
        <v>15545</v>
      </c>
      <c r="D4982" s="1" t="s">
        <v>15546</v>
      </c>
      <c r="E4982" s="1" t="s">
        <v>209</v>
      </c>
      <c r="F4982" s="1" t="s">
        <v>5017</v>
      </c>
      <c r="G4982" s="1" t="s">
        <v>5018</v>
      </c>
      <c r="H4982" s="1">
        <v>0.1</v>
      </c>
      <c r="I4982" s="1">
        <v>0.1</v>
      </c>
      <c r="J4982" s="1">
        <v>0.8498892113581108</v>
      </c>
      <c r="K4982" s="1" t="s">
        <v>181</v>
      </c>
    </row>
    <row r="4983" spans="1:11" x14ac:dyDescent="0.25">
      <c r="A4983" s="1" t="s">
        <v>15547</v>
      </c>
      <c r="B4983" s="1" t="s">
        <v>15548</v>
      </c>
      <c r="D4983" s="1" t="s">
        <v>15549</v>
      </c>
      <c r="E4983" s="1" t="s">
        <v>209</v>
      </c>
      <c r="F4983" s="1" t="s">
        <v>5017</v>
      </c>
      <c r="G4983" s="1" t="s">
        <v>5018</v>
      </c>
      <c r="H4983" s="1">
        <v>0.1</v>
      </c>
      <c r="I4983" s="1">
        <v>0.1</v>
      </c>
      <c r="J4983" s="1">
        <v>0.74727492134061224</v>
      </c>
      <c r="K4983" s="1" t="s">
        <v>181</v>
      </c>
    </row>
    <row r="4984" spans="1:11" x14ac:dyDescent="0.25">
      <c r="A4984" s="1" t="s">
        <v>15550</v>
      </c>
      <c r="B4984" s="1" t="s">
        <v>15551</v>
      </c>
      <c r="D4984" s="1" t="s">
        <v>15552</v>
      </c>
      <c r="E4984" s="1" t="s">
        <v>209</v>
      </c>
      <c r="F4984" s="1" t="s">
        <v>5017</v>
      </c>
      <c r="G4984" s="1" t="s">
        <v>5018</v>
      </c>
      <c r="H4984" s="1">
        <v>0.1</v>
      </c>
      <c r="I4984" s="1">
        <v>0.1</v>
      </c>
      <c r="J4984" s="1">
        <v>0.84726700203563277</v>
      </c>
      <c r="K4984" s="1" t="s">
        <v>181</v>
      </c>
    </row>
    <row r="4985" spans="1:11" x14ac:dyDescent="0.25">
      <c r="A4985" s="1" t="s">
        <v>15553</v>
      </c>
      <c r="B4985" s="1" t="s">
        <v>15554</v>
      </c>
      <c r="D4985" s="1" t="s">
        <v>15555</v>
      </c>
      <c r="E4985" s="1" t="s">
        <v>209</v>
      </c>
      <c r="F4985" s="1" t="s">
        <v>5017</v>
      </c>
      <c r="G4985" s="1" t="s">
        <v>5018</v>
      </c>
      <c r="H4985" s="1">
        <v>0.1</v>
      </c>
      <c r="I4985" s="1">
        <v>0.1</v>
      </c>
      <c r="J4985" s="1">
        <v>0.8062619734581814</v>
      </c>
      <c r="K4985" s="1" t="s">
        <v>181</v>
      </c>
    </row>
    <row r="4986" spans="1:11" x14ac:dyDescent="0.25">
      <c r="A4986" s="1" t="s">
        <v>15556</v>
      </c>
      <c r="B4986" s="1" t="s">
        <v>15557</v>
      </c>
      <c r="D4986" s="1" t="s">
        <v>15558</v>
      </c>
      <c r="E4986" s="1" t="s">
        <v>209</v>
      </c>
      <c r="F4986" s="1" t="s">
        <v>5017</v>
      </c>
      <c r="G4986" s="1" t="s">
        <v>5018</v>
      </c>
      <c r="H4986" s="1">
        <v>0.1</v>
      </c>
      <c r="I4986" s="1">
        <v>0.1</v>
      </c>
      <c r="J4986" s="1">
        <v>0.59490375128160766</v>
      </c>
      <c r="K4986" s="1" t="s">
        <v>181</v>
      </c>
    </row>
    <row r="4987" spans="1:11" x14ac:dyDescent="0.25">
      <c r="A4987" s="1" t="s">
        <v>15559</v>
      </c>
      <c r="B4987" s="1" t="s">
        <v>15560</v>
      </c>
      <c r="D4987" s="1" t="s">
        <v>15561</v>
      </c>
      <c r="E4987" s="1" t="s">
        <v>209</v>
      </c>
      <c r="F4987" s="1" t="s">
        <v>5017</v>
      </c>
      <c r="G4987" s="1" t="s">
        <v>5018</v>
      </c>
      <c r="H4987" s="1">
        <v>0.1</v>
      </c>
      <c r="I4987" s="1">
        <v>0.1</v>
      </c>
      <c r="J4987" s="1">
        <v>0.52242375331999602</v>
      </c>
      <c r="K4987" s="1" t="s">
        <v>181</v>
      </c>
    </row>
    <row r="4988" spans="1:11" x14ac:dyDescent="0.25">
      <c r="A4988" s="1" t="s">
        <v>15562</v>
      </c>
      <c r="B4988" s="1" t="s">
        <v>15563</v>
      </c>
      <c r="D4988" s="1" t="s">
        <v>15564</v>
      </c>
      <c r="E4988" s="1" t="s">
        <v>209</v>
      </c>
      <c r="F4988" s="1" t="s">
        <v>5017</v>
      </c>
      <c r="G4988" s="1" t="s">
        <v>5018</v>
      </c>
      <c r="H4988" s="1">
        <v>0.1</v>
      </c>
      <c r="I4988" s="1">
        <v>0.1</v>
      </c>
      <c r="J4988" s="1">
        <v>0.66530211685642648</v>
      </c>
      <c r="K4988" s="1" t="s">
        <v>181</v>
      </c>
    </row>
    <row r="4989" spans="1:11" x14ac:dyDescent="0.25">
      <c r="A4989" s="1" t="s">
        <v>15565</v>
      </c>
      <c r="B4989" s="1" t="s">
        <v>15566</v>
      </c>
      <c r="D4989" s="1" t="s">
        <v>15567</v>
      </c>
      <c r="E4989" s="1" t="s">
        <v>209</v>
      </c>
      <c r="F4989" s="1" t="s">
        <v>5017</v>
      </c>
      <c r="G4989" s="1" t="s">
        <v>5018</v>
      </c>
      <c r="H4989" s="1">
        <v>0.1</v>
      </c>
      <c r="I4989" s="1">
        <v>0.1</v>
      </c>
      <c r="J4989" s="1">
        <v>0.91234957818669427</v>
      </c>
      <c r="K4989" s="1" t="s">
        <v>181</v>
      </c>
    </row>
    <row r="4990" spans="1:11" x14ac:dyDescent="0.25">
      <c r="A4990" s="1" t="s">
        <v>15568</v>
      </c>
      <c r="B4990" s="1" t="s">
        <v>15569</v>
      </c>
      <c r="D4990" s="1" t="s">
        <v>15570</v>
      </c>
      <c r="E4990" s="1" t="s">
        <v>209</v>
      </c>
      <c r="F4990" s="1" t="s">
        <v>5017</v>
      </c>
      <c r="G4990" s="1" t="s">
        <v>5018</v>
      </c>
      <c r="H4990" s="1">
        <v>0.1</v>
      </c>
      <c r="I4990" s="1">
        <v>0.1</v>
      </c>
      <c r="J4990" s="1">
        <v>0.7157353480681079</v>
      </c>
      <c r="K4990" s="1" t="s">
        <v>181</v>
      </c>
    </row>
    <row r="4991" spans="1:11" x14ac:dyDescent="0.25">
      <c r="A4991" s="1" t="s">
        <v>15571</v>
      </c>
      <c r="B4991" s="1" t="s">
        <v>15572</v>
      </c>
      <c r="D4991" s="1" t="s">
        <v>15573</v>
      </c>
      <c r="E4991" s="1" t="s">
        <v>209</v>
      </c>
      <c r="F4991" s="1" t="s">
        <v>5017</v>
      </c>
      <c r="G4991" s="1" t="s">
        <v>5018</v>
      </c>
      <c r="H4991" s="1">
        <v>0.1</v>
      </c>
      <c r="I4991" s="1">
        <v>0.1</v>
      </c>
      <c r="J4991" s="1">
        <v>0.54991094227614157</v>
      </c>
      <c r="K4991" s="1" t="s">
        <v>181</v>
      </c>
    </row>
    <row r="4992" spans="1:11" x14ac:dyDescent="0.25">
      <c r="A4992" s="1" t="s">
        <v>15574</v>
      </c>
      <c r="B4992" s="1" t="s">
        <v>15575</v>
      </c>
      <c r="D4992" s="1" t="s">
        <v>15576</v>
      </c>
      <c r="E4992" s="1" t="s">
        <v>209</v>
      </c>
      <c r="F4992" s="1" t="s">
        <v>5017</v>
      </c>
      <c r="G4992" s="1" t="s">
        <v>5018</v>
      </c>
      <c r="H4992" s="1">
        <v>0.1</v>
      </c>
      <c r="I4992" s="1">
        <v>0.1</v>
      </c>
      <c r="J4992" s="1">
        <v>0.71792637920935209</v>
      </c>
      <c r="K4992" s="1" t="s">
        <v>181</v>
      </c>
    </row>
    <row r="4993" spans="1:11" x14ac:dyDescent="0.25">
      <c r="A4993" s="1" t="s">
        <v>15577</v>
      </c>
      <c r="B4993" s="1" t="s">
        <v>15578</v>
      </c>
      <c r="D4993" s="1" t="s">
        <v>15579</v>
      </c>
      <c r="E4993" s="1" t="s">
        <v>209</v>
      </c>
      <c r="F4993" s="1" t="s">
        <v>5017</v>
      </c>
      <c r="G4993" s="1" t="s">
        <v>5018</v>
      </c>
      <c r="H4993" s="1">
        <v>0.1</v>
      </c>
      <c r="I4993" s="1">
        <v>0.1</v>
      </c>
      <c r="J4993" s="1">
        <v>0.78193047344658162</v>
      </c>
      <c r="K4993" s="1" t="s">
        <v>181</v>
      </c>
    </row>
    <row r="4994" spans="1:11" x14ac:dyDescent="0.25">
      <c r="A4994" s="1" t="s">
        <v>15580</v>
      </c>
      <c r="B4994" s="1" t="s">
        <v>15581</v>
      </c>
      <c r="D4994" s="1" t="s">
        <v>15582</v>
      </c>
      <c r="E4994" s="1" t="s">
        <v>209</v>
      </c>
      <c r="F4994" s="1" t="s">
        <v>5017</v>
      </c>
      <c r="G4994" s="1" t="s">
        <v>5018</v>
      </c>
      <c r="H4994" s="1">
        <v>0.1</v>
      </c>
      <c r="I4994" s="1">
        <v>0.1</v>
      </c>
      <c r="J4994" s="1">
        <v>0.80396148267133549</v>
      </c>
      <c r="K4994" s="1" t="s">
        <v>181</v>
      </c>
    </row>
    <row r="4995" spans="1:11" x14ac:dyDescent="0.25">
      <c r="A4995" s="1" t="s">
        <v>15583</v>
      </c>
      <c r="B4995" s="1" t="s">
        <v>15584</v>
      </c>
      <c r="D4995" s="1" t="s">
        <v>15585</v>
      </c>
      <c r="E4995" s="1" t="s">
        <v>209</v>
      </c>
      <c r="F4995" s="1" t="s">
        <v>5017</v>
      </c>
      <c r="G4995" s="1" t="s">
        <v>5018</v>
      </c>
      <c r="H4995" s="1">
        <v>0.1</v>
      </c>
      <c r="I4995" s="1">
        <v>0.1</v>
      </c>
      <c r="J4995" s="1">
        <v>0.82736057974105115</v>
      </c>
      <c r="K4995" s="1" t="s">
        <v>181</v>
      </c>
    </row>
    <row r="4996" spans="1:11" x14ac:dyDescent="0.25">
      <c r="A4996" s="1" t="s">
        <v>15586</v>
      </c>
      <c r="B4996" s="1" t="s">
        <v>15587</v>
      </c>
      <c r="D4996" s="1" t="s">
        <v>15588</v>
      </c>
      <c r="E4996" s="1" t="s">
        <v>209</v>
      </c>
      <c r="F4996" s="1" t="s">
        <v>5017</v>
      </c>
      <c r="G4996" s="1" t="s">
        <v>5018</v>
      </c>
      <c r="H4996" s="1">
        <v>0.1</v>
      </c>
      <c r="I4996" s="1">
        <v>0.1</v>
      </c>
      <c r="J4996" s="1">
        <v>0.69524626885657115</v>
      </c>
      <c r="K4996" s="1" t="s">
        <v>181</v>
      </c>
    </row>
    <row r="4997" spans="1:11" x14ac:dyDescent="0.25">
      <c r="A4997" s="1" t="s">
        <v>15589</v>
      </c>
      <c r="B4997" s="1" t="s">
        <v>15590</v>
      </c>
      <c r="D4997" s="1" t="s">
        <v>15591</v>
      </c>
      <c r="E4997" s="1" t="s">
        <v>209</v>
      </c>
      <c r="F4997" s="1" t="s">
        <v>5017</v>
      </c>
      <c r="G4997" s="1" t="s">
        <v>5018</v>
      </c>
      <c r="H4997" s="1">
        <v>0.1</v>
      </c>
      <c r="I4997" s="1">
        <v>0.1</v>
      </c>
      <c r="J4997" s="1">
        <v>0.58354513431373811</v>
      </c>
      <c r="K4997" s="1" t="s">
        <v>181</v>
      </c>
    </row>
    <row r="4998" spans="1:11" x14ac:dyDescent="0.25">
      <c r="A4998" s="1" t="s">
        <v>15592</v>
      </c>
      <c r="B4998" s="1" t="s">
        <v>15593</v>
      </c>
      <c r="D4998" s="1" t="s">
        <v>15594</v>
      </c>
      <c r="E4998" s="1" t="s">
        <v>209</v>
      </c>
      <c r="F4998" s="1" t="s">
        <v>5017</v>
      </c>
      <c r="G4998" s="1" t="s">
        <v>5018</v>
      </c>
      <c r="H4998" s="1">
        <v>0.1</v>
      </c>
      <c r="I4998" s="1">
        <v>0.1</v>
      </c>
      <c r="J4998" s="1">
        <v>0.709470256346735</v>
      </c>
      <c r="K4998" s="1" t="s">
        <v>181</v>
      </c>
    </row>
    <row r="4999" spans="1:11" x14ac:dyDescent="0.25">
      <c r="A4999" s="1" t="s">
        <v>15595</v>
      </c>
      <c r="B4999" s="1" t="s">
        <v>15596</v>
      </c>
      <c r="D4999" s="1" t="s">
        <v>15597</v>
      </c>
      <c r="E4999" s="1" t="s">
        <v>209</v>
      </c>
      <c r="F4999" s="1" t="s">
        <v>5017</v>
      </c>
      <c r="G4999" s="1" t="s">
        <v>5018</v>
      </c>
      <c r="H4999" s="1">
        <v>0.1</v>
      </c>
      <c r="I4999" s="1">
        <v>0.1</v>
      </c>
      <c r="J4999" s="1">
        <v>0.78528459108155713</v>
      </c>
      <c r="K4999" s="1" t="s">
        <v>181</v>
      </c>
    </row>
    <row r="5000" spans="1:11" x14ac:dyDescent="0.25">
      <c r="A5000" s="1" t="s">
        <v>15598</v>
      </c>
      <c r="B5000" s="1" t="s">
        <v>15599</v>
      </c>
      <c r="D5000" s="1" t="s">
        <v>15600</v>
      </c>
      <c r="E5000" s="1" t="s">
        <v>209</v>
      </c>
      <c r="F5000" s="1" t="s">
        <v>5017</v>
      </c>
      <c r="G5000" s="1" t="s">
        <v>5018</v>
      </c>
      <c r="H5000" s="1">
        <v>0.1</v>
      </c>
      <c r="I5000" s="1">
        <v>0.1</v>
      </c>
      <c r="J5000" s="1">
        <v>0.46146183048862977</v>
      </c>
      <c r="K5000" s="1" t="s">
        <v>181</v>
      </c>
    </row>
    <row r="5001" spans="1:11" x14ac:dyDescent="0.25">
      <c r="A5001" s="1" t="s">
        <v>56</v>
      </c>
      <c r="B5001" s="1" t="s">
        <v>15601</v>
      </c>
      <c r="D5001" s="1" t="s">
        <v>15602</v>
      </c>
      <c r="E5001" s="1" t="s">
        <v>209</v>
      </c>
      <c r="F5001" s="1" t="s">
        <v>5017</v>
      </c>
      <c r="G5001" s="1" t="s">
        <v>5018</v>
      </c>
      <c r="H5001" s="1">
        <v>0.1</v>
      </c>
      <c r="I5001" s="1">
        <v>0.1</v>
      </c>
      <c r="J5001" s="1">
        <v>0.66902376820237908</v>
      </c>
      <c r="K5001" s="1" t="s">
        <v>181</v>
      </c>
    </row>
    <row r="5002" spans="1:11" x14ac:dyDescent="0.25">
      <c r="A5002" s="1" t="s">
        <v>15603</v>
      </c>
      <c r="B5002" s="1" t="s">
        <v>15604</v>
      </c>
      <c r="D5002" s="1" t="s">
        <v>15605</v>
      </c>
      <c r="E5002" s="1" t="s">
        <v>209</v>
      </c>
      <c r="F5002" s="1" t="s">
        <v>5017</v>
      </c>
      <c r="G5002" s="1" t="s">
        <v>5018</v>
      </c>
      <c r="H5002" s="1">
        <v>0.1</v>
      </c>
      <c r="I5002" s="1">
        <v>0.1</v>
      </c>
      <c r="J5002" s="1">
        <v>0.6279125967671032</v>
      </c>
      <c r="K5002" s="1" t="s">
        <v>181</v>
      </c>
    </row>
    <row r="5003" spans="1:11" x14ac:dyDescent="0.25">
      <c r="A5003" s="1" t="s">
        <v>15606</v>
      </c>
      <c r="B5003" s="1" t="s">
        <v>15607</v>
      </c>
      <c r="D5003" s="1" t="s">
        <v>15608</v>
      </c>
      <c r="E5003" s="1" t="s">
        <v>209</v>
      </c>
      <c r="F5003" s="1" t="s">
        <v>5017</v>
      </c>
      <c r="G5003" s="1" t="s">
        <v>5018</v>
      </c>
      <c r="H5003" s="1">
        <v>0.1</v>
      </c>
      <c r="I5003" s="1">
        <v>0.1</v>
      </c>
      <c r="J5003" s="1">
        <v>0.54554262044637558</v>
      </c>
      <c r="K5003" s="1" t="s">
        <v>181</v>
      </c>
    </row>
    <row r="5004" spans="1:11" x14ac:dyDescent="0.25">
      <c r="A5004" s="1" t="s">
        <v>15609</v>
      </c>
      <c r="B5004" s="1" t="s">
        <v>15610</v>
      </c>
      <c r="D5004" s="1" t="s">
        <v>15611</v>
      </c>
      <c r="E5004" s="1" t="s">
        <v>209</v>
      </c>
      <c r="F5004" s="1" t="s">
        <v>5017</v>
      </c>
      <c r="G5004" s="1" t="s">
        <v>5018</v>
      </c>
      <c r="H5004" s="1">
        <v>0.1</v>
      </c>
      <c r="I5004" s="1">
        <v>0.1</v>
      </c>
      <c r="J5004" s="1">
        <v>0.77810635735389588</v>
      </c>
      <c r="K5004" s="1" t="s">
        <v>181</v>
      </c>
    </row>
    <row r="5005" spans="1:11" x14ac:dyDescent="0.25">
      <c r="A5005" s="1" t="s">
        <v>15612</v>
      </c>
      <c r="B5005" s="1" t="s">
        <v>15613</v>
      </c>
      <c r="D5005" s="1" t="s">
        <v>15614</v>
      </c>
      <c r="E5005" s="1" t="s">
        <v>209</v>
      </c>
      <c r="F5005" s="1" t="s">
        <v>5017</v>
      </c>
      <c r="G5005" s="1" t="s">
        <v>5018</v>
      </c>
      <c r="H5005" s="1">
        <v>0.1</v>
      </c>
      <c r="I5005" s="1">
        <v>0.1</v>
      </c>
      <c r="J5005" s="1">
        <v>0.40819649102753214</v>
      </c>
      <c r="K5005" s="1" t="s">
        <v>181</v>
      </c>
    </row>
    <row r="5006" spans="1:11" x14ac:dyDescent="0.25">
      <c r="A5006" s="1" t="s">
        <v>15615</v>
      </c>
      <c r="B5006" s="1" t="s">
        <v>15616</v>
      </c>
      <c r="D5006" s="1" t="s">
        <v>15617</v>
      </c>
      <c r="E5006" s="1" t="s">
        <v>209</v>
      </c>
      <c r="F5006" s="1" t="s">
        <v>5017</v>
      </c>
      <c r="G5006" s="1" t="s">
        <v>5018</v>
      </c>
      <c r="H5006" s="1">
        <v>0.1</v>
      </c>
      <c r="I5006" s="1">
        <v>0.1</v>
      </c>
      <c r="J5006" s="1">
        <v>0.40894828333567668</v>
      </c>
      <c r="K5006" s="1" t="s">
        <v>181</v>
      </c>
    </row>
    <row r="5007" spans="1:11" x14ac:dyDescent="0.25">
      <c r="A5007" s="1" t="s">
        <v>15618</v>
      </c>
      <c r="B5007" s="1" t="s">
        <v>15619</v>
      </c>
      <c r="D5007" s="1" t="s">
        <v>15620</v>
      </c>
      <c r="E5007" s="1" t="s">
        <v>209</v>
      </c>
      <c r="F5007" s="1" t="s">
        <v>5017</v>
      </c>
      <c r="G5007" s="1" t="s">
        <v>5018</v>
      </c>
      <c r="H5007" s="1">
        <v>0.1</v>
      </c>
      <c r="I5007" s="1">
        <v>0.1</v>
      </c>
      <c r="J5007" s="1">
        <v>0.60672417042635818</v>
      </c>
      <c r="K5007" s="1" t="s">
        <v>181</v>
      </c>
    </row>
    <row r="5008" spans="1:11" x14ac:dyDescent="0.25">
      <c r="A5008" s="1" t="s">
        <v>15621</v>
      </c>
      <c r="B5008" s="1" t="s">
        <v>15622</v>
      </c>
      <c r="D5008" s="1" t="s">
        <v>15623</v>
      </c>
      <c r="E5008" s="1" t="s">
        <v>209</v>
      </c>
      <c r="F5008" s="1" t="s">
        <v>5017</v>
      </c>
      <c r="G5008" s="1" t="s">
        <v>5018</v>
      </c>
      <c r="H5008" s="1">
        <v>0.1</v>
      </c>
      <c r="I5008" s="1">
        <v>0.1</v>
      </c>
      <c r="J5008" s="1">
        <v>0.48886747865683144</v>
      </c>
      <c r="K5008" s="1" t="s">
        <v>181</v>
      </c>
    </row>
    <row r="5009" spans="1:11" x14ac:dyDescent="0.25">
      <c r="A5009" s="1" t="s">
        <v>15624</v>
      </c>
      <c r="B5009" s="1" t="s">
        <v>15625</v>
      </c>
      <c r="D5009" s="1" t="s">
        <v>15626</v>
      </c>
      <c r="E5009" s="1" t="s">
        <v>209</v>
      </c>
      <c r="F5009" s="1" t="s">
        <v>5017</v>
      </c>
      <c r="G5009" s="1" t="s">
        <v>5018</v>
      </c>
      <c r="H5009" s="1">
        <v>0.1</v>
      </c>
      <c r="I5009" s="1">
        <v>0.1</v>
      </c>
      <c r="J5009" s="1">
        <v>0.7485562120233471</v>
      </c>
      <c r="K5009" s="1" t="s">
        <v>181</v>
      </c>
    </row>
    <row r="5010" spans="1:11" x14ac:dyDescent="0.25">
      <c r="A5010" s="1" t="s">
        <v>15627</v>
      </c>
      <c r="B5010" s="1" t="s">
        <v>15628</v>
      </c>
      <c r="C5010" s="1" t="s">
        <v>15629</v>
      </c>
      <c r="D5010" s="1" t="s">
        <v>15630</v>
      </c>
      <c r="E5010" s="1" t="s">
        <v>209</v>
      </c>
      <c r="F5010" s="1" t="s">
        <v>5017</v>
      </c>
      <c r="G5010" s="1" t="s">
        <v>5018</v>
      </c>
      <c r="H5010" s="1">
        <v>0.1</v>
      </c>
      <c r="I5010" s="1">
        <v>0.1</v>
      </c>
      <c r="J5010" s="1">
        <v>0.43630096490238501</v>
      </c>
      <c r="K5010" s="1" t="s">
        <v>181</v>
      </c>
    </row>
    <row r="5011" spans="1:11" x14ac:dyDescent="0.25">
      <c r="A5011" s="1" t="s">
        <v>15631</v>
      </c>
      <c r="B5011" s="1" t="s">
        <v>15632</v>
      </c>
      <c r="D5011" s="1" t="s">
        <v>15633</v>
      </c>
      <c r="E5011" s="1" t="s">
        <v>209</v>
      </c>
      <c r="F5011" s="1" t="s">
        <v>5017</v>
      </c>
      <c r="G5011" s="1" t="s">
        <v>5018</v>
      </c>
      <c r="H5011" s="1">
        <v>0.1</v>
      </c>
      <c r="I5011" s="1">
        <v>0.1</v>
      </c>
      <c r="J5011" s="1">
        <v>0.96309571644662317</v>
      </c>
      <c r="K5011" s="1" t="s">
        <v>181</v>
      </c>
    </row>
    <row r="5012" spans="1:11" x14ac:dyDescent="0.25">
      <c r="A5012" s="1" t="s">
        <v>15634</v>
      </c>
      <c r="B5012" s="1" t="s">
        <v>15635</v>
      </c>
      <c r="D5012" s="1" t="s">
        <v>15636</v>
      </c>
      <c r="E5012" s="1" t="s">
        <v>209</v>
      </c>
      <c r="F5012" s="1" t="s">
        <v>5017</v>
      </c>
      <c r="G5012" s="1" t="s">
        <v>5018</v>
      </c>
      <c r="H5012" s="1">
        <v>0.1</v>
      </c>
      <c r="I5012" s="1">
        <v>0.1</v>
      </c>
      <c r="J5012" s="1">
        <v>0.94082303171172932</v>
      </c>
      <c r="K5012" s="1" t="s">
        <v>181</v>
      </c>
    </row>
    <row r="5013" spans="1:11" x14ac:dyDescent="0.25">
      <c r="A5013" s="1" t="s">
        <v>15637</v>
      </c>
      <c r="B5013" s="1" t="s">
        <v>15638</v>
      </c>
      <c r="D5013" s="1" t="s">
        <v>15639</v>
      </c>
      <c r="E5013" s="1" t="s">
        <v>209</v>
      </c>
      <c r="F5013" s="1" t="s">
        <v>5017</v>
      </c>
      <c r="G5013" s="1" t="s">
        <v>5018</v>
      </c>
      <c r="H5013" s="1">
        <v>0.1</v>
      </c>
      <c r="I5013" s="1">
        <v>0.1</v>
      </c>
      <c r="J5013" s="1">
        <v>0.77454768417609687</v>
      </c>
      <c r="K5013" s="1" t="s">
        <v>181</v>
      </c>
    </row>
    <row r="5014" spans="1:11" x14ac:dyDescent="0.25">
      <c r="A5014" s="1" t="s">
        <v>15640</v>
      </c>
      <c r="B5014" s="1" t="s">
        <v>15641</v>
      </c>
      <c r="D5014" s="1" t="s">
        <v>15642</v>
      </c>
      <c r="E5014" s="1" t="s">
        <v>209</v>
      </c>
      <c r="F5014" s="1" t="s">
        <v>5017</v>
      </c>
      <c r="G5014" s="1" t="s">
        <v>5018</v>
      </c>
      <c r="H5014" s="1">
        <v>0.1</v>
      </c>
      <c r="I5014" s="1">
        <v>0.1</v>
      </c>
      <c r="J5014" s="1">
        <v>0.55918423586955202</v>
      </c>
      <c r="K5014" s="1" t="s">
        <v>181</v>
      </c>
    </row>
    <row r="5015" spans="1:11" x14ac:dyDescent="0.25">
      <c r="A5015" s="1" t="s">
        <v>15643</v>
      </c>
      <c r="B5015" s="1" t="s">
        <v>15644</v>
      </c>
      <c r="D5015" s="1" t="s">
        <v>15645</v>
      </c>
      <c r="E5015" s="1" t="s">
        <v>209</v>
      </c>
      <c r="F5015" s="1" t="s">
        <v>5017</v>
      </c>
      <c r="G5015" s="1" t="s">
        <v>5018</v>
      </c>
      <c r="H5015" s="1">
        <v>0.1</v>
      </c>
      <c r="I5015" s="1">
        <v>0.1</v>
      </c>
      <c r="J5015" s="1">
        <v>0.70684599959450289</v>
      </c>
      <c r="K5015" s="1" t="s">
        <v>181</v>
      </c>
    </row>
    <row r="5016" spans="1:11" x14ac:dyDescent="0.25">
      <c r="A5016" s="1" t="s">
        <v>15646</v>
      </c>
      <c r="B5016" s="1" t="s">
        <v>15647</v>
      </c>
      <c r="D5016" s="1" t="s">
        <v>15648</v>
      </c>
      <c r="E5016" s="1" t="s">
        <v>209</v>
      </c>
      <c r="F5016" s="1" t="s">
        <v>5017</v>
      </c>
      <c r="G5016" s="1" t="s">
        <v>5018</v>
      </c>
      <c r="H5016" s="1">
        <v>0.1</v>
      </c>
      <c r="I5016" s="1">
        <v>0.1</v>
      </c>
      <c r="J5016" s="1">
        <v>0.47589577910156849</v>
      </c>
      <c r="K5016" s="1" t="s">
        <v>181</v>
      </c>
    </row>
    <row r="5017" spans="1:11" x14ac:dyDescent="0.25">
      <c r="A5017" s="1" t="s">
        <v>15649</v>
      </c>
      <c r="B5017" s="1" t="s">
        <v>15650</v>
      </c>
      <c r="D5017" s="1" t="s">
        <v>15651</v>
      </c>
      <c r="E5017" s="1" t="s">
        <v>209</v>
      </c>
      <c r="F5017" s="1" t="s">
        <v>5017</v>
      </c>
      <c r="G5017" s="1" t="s">
        <v>5018</v>
      </c>
      <c r="H5017" s="1">
        <v>0.1</v>
      </c>
      <c r="I5017" s="1">
        <v>0.1</v>
      </c>
      <c r="J5017" s="1">
        <v>0.39568657775900851</v>
      </c>
      <c r="K5017" s="1" t="s">
        <v>181</v>
      </c>
    </row>
    <row r="5018" spans="1:11" x14ac:dyDescent="0.25">
      <c r="A5018" s="1" t="s">
        <v>15652</v>
      </c>
      <c r="B5018" s="1" t="s">
        <v>15653</v>
      </c>
      <c r="D5018" s="1" t="s">
        <v>15654</v>
      </c>
      <c r="E5018" s="1" t="s">
        <v>209</v>
      </c>
      <c r="F5018" s="1" t="s">
        <v>5017</v>
      </c>
      <c r="G5018" s="1" t="s">
        <v>5018</v>
      </c>
      <c r="H5018" s="1">
        <v>0.1</v>
      </c>
      <c r="I5018" s="1">
        <v>0.1</v>
      </c>
      <c r="J5018" s="1">
        <v>0.74954710771339206</v>
      </c>
      <c r="K5018" s="1" t="s">
        <v>181</v>
      </c>
    </row>
    <row r="5019" spans="1:11" x14ac:dyDescent="0.25">
      <c r="A5019" s="1" t="s">
        <v>15655</v>
      </c>
      <c r="B5019" s="1" t="s">
        <v>15656</v>
      </c>
      <c r="D5019" s="1" t="s">
        <v>15657</v>
      </c>
      <c r="E5019" s="1" t="s">
        <v>209</v>
      </c>
      <c r="F5019" s="1" t="s">
        <v>5017</v>
      </c>
      <c r="G5019" s="1" t="s">
        <v>5018</v>
      </c>
      <c r="H5019" s="1">
        <v>0.1</v>
      </c>
      <c r="I5019" s="1">
        <v>0.1</v>
      </c>
      <c r="J5019" s="1">
        <v>0.59545042479111432</v>
      </c>
      <c r="K5019" s="1" t="s">
        <v>181</v>
      </c>
    </row>
    <row r="5020" spans="1:11" x14ac:dyDescent="0.25">
      <c r="A5020" s="1" t="s">
        <v>15658</v>
      </c>
      <c r="B5020" s="1" t="s">
        <v>15659</v>
      </c>
      <c r="D5020" s="1" t="s">
        <v>15660</v>
      </c>
      <c r="E5020" s="1" t="s">
        <v>209</v>
      </c>
      <c r="F5020" s="1" t="s">
        <v>5017</v>
      </c>
      <c r="G5020" s="1" t="s">
        <v>5018</v>
      </c>
      <c r="H5020" s="1">
        <v>0.1</v>
      </c>
      <c r="I5020" s="1">
        <v>0.1</v>
      </c>
      <c r="J5020" s="1">
        <v>0.72879184970630195</v>
      </c>
      <c r="K5020" s="1" t="s">
        <v>181</v>
      </c>
    </row>
    <row r="5021" spans="1:11" x14ac:dyDescent="0.25">
      <c r="A5021" s="1" t="s">
        <v>15661</v>
      </c>
      <c r="B5021" s="1" t="s">
        <v>15662</v>
      </c>
      <c r="D5021" s="1" t="s">
        <v>15663</v>
      </c>
      <c r="E5021" s="1" t="s">
        <v>209</v>
      </c>
      <c r="F5021" s="1" t="s">
        <v>5017</v>
      </c>
      <c r="G5021" s="1" t="s">
        <v>5018</v>
      </c>
      <c r="H5021" s="1">
        <v>0.1</v>
      </c>
      <c r="I5021" s="1">
        <v>0.1</v>
      </c>
      <c r="J5021" s="1">
        <v>0.68335685513929867</v>
      </c>
      <c r="K5021" s="1" t="s">
        <v>181</v>
      </c>
    </row>
    <row r="5022" spans="1:11" x14ac:dyDescent="0.25">
      <c r="A5022" s="1" t="s">
        <v>15664</v>
      </c>
      <c r="B5022" s="1" t="s">
        <v>15665</v>
      </c>
      <c r="D5022" s="1" t="s">
        <v>15666</v>
      </c>
      <c r="E5022" s="1" t="s">
        <v>209</v>
      </c>
      <c r="F5022" s="1" t="s">
        <v>5017</v>
      </c>
      <c r="G5022" s="1" t="s">
        <v>5018</v>
      </c>
      <c r="H5022" s="1">
        <v>0.1</v>
      </c>
      <c r="I5022" s="1">
        <v>0.1</v>
      </c>
      <c r="J5022" s="1">
        <v>0.74393653952280658</v>
      </c>
      <c r="K5022" s="1" t="s">
        <v>181</v>
      </c>
    </row>
    <row r="5023" spans="1:11" x14ac:dyDescent="0.25">
      <c r="A5023" s="1" t="s">
        <v>15667</v>
      </c>
      <c r="B5023" s="1" t="s">
        <v>15668</v>
      </c>
      <c r="D5023" s="1" t="s">
        <v>15669</v>
      </c>
      <c r="E5023" s="1" t="s">
        <v>209</v>
      </c>
      <c r="F5023" s="1" t="s">
        <v>5017</v>
      </c>
      <c r="G5023" s="1" t="s">
        <v>5018</v>
      </c>
      <c r="H5023" s="1">
        <v>0.1</v>
      </c>
      <c r="I5023" s="1">
        <v>0.1</v>
      </c>
      <c r="J5023" s="1">
        <v>0.63337007529220413</v>
      </c>
      <c r="K5023" s="1" t="s">
        <v>181</v>
      </c>
    </row>
    <row r="5024" spans="1:11" x14ac:dyDescent="0.25">
      <c r="A5024" s="1" t="s">
        <v>15670</v>
      </c>
      <c r="B5024" s="1" t="s">
        <v>15671</v>
      </c>
      <c r="D5024" s="1" t="s">
        <v>15672</v>
      </c>
      <c r="E5024" s="1" t="s">
        <v>209</v>
      </c>
      <c r="F5024" s="1" t="s">
        <v>5017</v>
      </c>
      <c r="G5024" s="1" t="s">
        <v>5018</v>
      </c>
      <c r="H5024" s="1">
        <v>0.1</v>
      </c>
      <c r="I5024" s="1">
        <v>0.1</v>
      </c>
      <c r="J5024" s="1">
        <v>0.56647816731653933</v>
      </c>
      <c r="K5024" s="1" t="s">
        <v>181</v>
      </c>
    </row>
    <row r="5025" spans="1:11" x14ac:dyDescent="0.25">
      <c r="A5025" s="1" t="s">
        <v>15673</v>
      </c>
      <c r="B5025" s="1" t="s">
        <v>15674</v>
      </c>
      <c r="D5025" s="1" t="s">
        <v>15675</v>
      </c>
      <c r="E5025" s="1" t="s">
        <v>209</v>
      </c>
      <c r="F5025" s="1" t="s">
        <v>5017</v>
      </c>
      <c r="G5025" s="1" t="s">
        <v>5018</v>
      </c>
      <c r="H5025" s="1">
        <v>0.1</v>
      </c>
      <c r="I5025" s="1">
        <v>0.1</v>
      </c>
      <c r="J5025" s="1">
        <v>0.80944260939401391</v>
      </c>
      <c r="K5025" s="1" t="s">
        <v>181</v>
      </c>
    </row>
    <row r="5026" spans="1:11" x14ac:dyDescent="0.25">
      <c r="A5026" s="1" t="s">
        <v>15676</v>
      </c>
      <c r="B5026" s="1" t="s">
        <v>15677</v>
      </c>
      <c r="D5026" s="1" t="s">
        <v>15678</v>
      </c>
      <c r="E5026" s="1" t="s">
        <v>209</v>
      </c>
      <c r="F5026" s="1" t="s">
        <v>5017</v>
      </c>
      <c r="G5026" s="1" t="s">
        <v>5018</v>
      </c>
      <c r="H5026" s="1">
        <v>0.1</v>
      </c>
      <c r="I5026" s="1">
        <v>0.1</v>
      </c>
      <c r="J5026" s="1">
        <v>0.49237909523788476</v>
      </c>
      <c r="K5026" s="1" t="s">
        <v>181</v>
      </c>
    </row>
    <row r="5027" spans="1:11" x14ac:dyDescent="0.25">
      <c r="A5027" s="1" t="s">
        <v>15679</v>
      </c>
      <c r="B5027" s="1" t="s">
        <v>15680</v>
      </c>
      <c r="D5027" s="1" t="s">
        <v>15681</v>
      </c>
      <c r="E5027" s="1" t="s">
        <v>209</v>
      </c>
      <c r="F5027" s="1" t="s">
        <v>5017</v>
      </c>
      <c r="G5027" s="1" t="s">
        <v>5018</v>
      </c>
      <c r="H5027" s="1">
        <v>0.1</v>
      </c>
      <c r="I5027" s="1">
        <v>0.1</v>
      </c>
      <c r="J5027" s="1">
        <v>0.67847875647967903</v>
      </c>
      <c r="K5027" s="1" t="s">
        <v>181</v>
      </c>
    </row>
    <row r="5028" spans="1:11" x14ac:dyDescent="0.25">
      <c r="A5028" s="1" t="s">
        <v>15682</v>
      </c>
      <c r="B5028" s="1" t="s">
        <v>15683</v>
      </c>
      <c r="D5028" s="1" t="s">
        <v>15684</v>
      </c>
      <c r="E5028" s="1" t="s">
        <v>209</v>
      </c>
      <c r="F5028" s="1" t="s">
        <v>5017</v>
      </c>
      <c r="G5028" s="1" t="s">
        <v>5018</v>
      </c>
      <c r="H5028" s="1">
        <v>0.1</v>
      </c>
      <c r="I5028" s="1">
        <v>0.1</v>
      </c>
      <c r="J5028" s="1">
        <v>0.78019682995076844</v>
      </c>
      <c r="K5028" s="1" t="s">
        <v>181</v>
      </c>
    </row>
    <row r="5029" spans="1:11" x14ac:dyDescent="0.25">
      <c r="A5029" s="1" t="s">
        <v>15685</v>
      </c>
      <c r="B5029" s="1" t="s">
        <v>15686</v>
      </c>
      <c r="D5029" s="1" t="s">
        <v>15687</v>
      </c>
      <c r="E5029" s="1" t="s">
        <v>209</v>
      </c>
      <c r="F5029" s="1" t="s">
        <v>5017</v>
      </c>
      <c r="G5029" s="1" t="s">
        <v>5018</v>
      </c>
      <c r="H5029" s="1">
        <v>0.1</v>
      </c>
      <c r="I5029" s="1">
        <v>0.1</v>
      </c>
      <c r="J5029" s="1">
        <v>0.79693719094092563</v>
      </c>
      <c r="K5029" s="1" t="s">
        <v>181</v>
      </c>
    </row>
    <row r="5030" spans="1:11" x14ac:dyDescent="0.25">
      <c r="A5030" s="1" t="s">
        <v>15688</v>
      </c>
      <c r="B5030" s="1" t="s">
        <v>15689</v>
      </c>
      <c r="D5030" s="1" t="s">
        <v>15690</v>
      </c>
      <c r="E5030" s="1" t="s">
        <v>209</v>
      </c>
      <c r="F5030" s="1" t="s">
        <v>5017</v>
      </c>
      <c r="G5030" s="1" t="s">
        <v>5018</v>
      </c>
      <c r="H5030" s="1">
        <v>0.1</v>
      </c>
      <c r="I5030" s="1">
        <v>0.1</v>
      </c>
      <c r="J5030" s="1">
        <v>0.76215753967151023</v>
      </c>
      <c r="K5030" s="1" t="s">
        <v>181</v>
      </c>
    </row>
    <row r="5031" spans="1:11" x14ac:dyDescent="0.25">
      <c r="A5031" s="1" t="s">
        <v>15691</v>
      </c>
      <c r="B5031" s="1" t="s">
        <v>15692</v>
      </c>
      <c r="D5031" s="1" t="s">
        <v>15693</v>
      </c>
      <c r="E5031" s="1" t="s">
        <v>209</v>
      </c>
      <c r="F5031" s="1" t="s">
        <v>5017</v>
      </c>
      <c r="G5031" s="1" t="s">
        <v>5018</v>
      </c>
      <c r="H5031" s="1">
        <v>0.1</v>
      </c>
      <c r="I5031" s="1">
        <v>0.1</v>
      </c>
      <c r="J5031" s="1">
        <v>0.85988076006298864</v>
      </c>
      <c r="K5031" s="1" t="s">
        <v>181</v>
      </c>
    </row>
    <row r="5032" spans="1:11" x14ac:dyDescent="0.25">
      <c r="A5032" s="1" t="s">
        <v>15694</v>
      </c>
      <c r="B5032" s="1" t="s">
        <v>15695</v>
      </c>
      <c r="D5032" s="1" t="s">
        <v>15696</v>
      </c>
      <c r="E5032" s="1" t="s">
        <v>209</v>
      </c>
      <c r="F5032" s="1" t="s">
        <v>5017</v>
      </c>
      <c r="G5032" s="1" t="s">
        <v>5018</v>
      </c>
      <c r="H5032" s="1">
        <v>0.1</v>
      </c>
      <c r="I5032" s="1">
        <v>0.1</v>
      </c>
      <c r="J5032" s="1">
        <v>0.75691642011417037</v>
      </c>
      <c r="K5032" s="1" t="s">
        <v>181</v>
      </c>
    </row>
    <row r="5033" spans="1:11" x14ac:dyDescent="0.25">
      <c r="A5033" s="1" t="s">
        <v>15697</v>
      </c>
      <c r="B5033" s="1" t="s">
        <v>15698</v>
      </c>
      <c r="D5033" s="1" t="s">
        <v>15699</v>
      </c>
      <c r="E5033" s="1" t="s">
        <v>209</v>
      </c>
      <c r="F5033" s="1" t="s">
        <v>5017</v>
      </c>
      <c r="G5033" s="1" t="s">
        <v>5018</v>
      </c>
      <c r="H5033" s="1">
        <v>0.1</v>
      </c>
      <c r="I5033" s="1">
        <v>0.1</v>
      </c>
      <c r="J5033" s="1">
        <v>0.9382029271252369</v>
      </c>
      <c r="K5033" s="1" t="s">
        <v>181</v>
      </c>
    </row>
    <row r="5034" spans="1:11" x14ac:dyDescent="0.25">
      <c r="A5034" s="1" t="s">
        <v>15700</v>
      </c>
      <c r="B5034" s="1" t="s">
        <v>15701</v>
      </c>
      <c r="D5034" s="1" t="s">
        <v>15702</v>
      </c>
      <c r="E5034" s="1" t="s">
        <v>209</v>
      </c>
      <c r="F5034" s="1" t="s">
        <v>5017</v>
      </c>
      <c r="G5034" s="1" t="s">
        <v>5018</v>
      </c>
      <c r="H5034" s="1">
        <v>0.1</v>
      </c>
      <c r="I5034" s="1">
        <v>0.1</v>
      </c>
      <c r="J5034" s="1">
        <v>0.86754486189102265</v>
      </c>
      <c r="K5034" s="1" t="s">
        <v>181</v>
      </c>
    </row>
    <row r="5035" spans="1:11" x14ac:dyDescent="0.25">
      <c r="A5035" s="1" t="s">
        <v>15703</v>
      </c>
      <c r="B5035" s="1" t="s">
        <v>15704</v>
      </c>
      <c r="D5035" s="1" t="s">
        <v>15705</v>
      </c>
      <c r="E5035" s="1" t="s">
        <v>209</v>
      </c>
      <c r="F5035" s="1" t="s">
        <v>5017</v>
      </c>
      <c r="G5035" s="1" t="s">
        <v>5018</v>
      </c>
      <c r="H5035" s="1">
        <v>0.1</v>
      </c>
      <c r="I5035" s="1">
        <v>0.1</v>
      </c>
      <c r="J5035" s="1">
        <v>0.68731174634095316</v>
      </c>
      <c r="K5035" s="1" t="s">
        <v>181</v>
      </c>
    </row>
    <row r="5036" spans="1:11" x14ac:dyDescent="0.25">
      <c r="A5036" s="1" t="s">
        <v>15706</v>
      </c>
      <c r="B5036" s="1" t="s">
        <v>15707</v>
      </c>
      <c r="D5036" s="1" t="s">
        <v>15708</v>
      </c>
      <c r="E5036" s="1" t="s">
        <v>209</v>
      </c>
      <c r="F5036" s="1" t="s">
        <v>5017</v>
      </c>
      <c r="G5036" s="1" t="s">
        <v>5018</v>
      </c>
      <c r="H5036" s="1">
        <v>0.1</v>
      </c>
      <c r="I5036" s="1">
        <v>0.1</v>
      </c>
      <c r="J5036" s="1">
        <v>0.73285257086489453</v>
      </c>
      <c r="K5036" s="1" t="s">
        <v>181</v>
      </c>
    </row>
    <row r="5037" spans="1:11" x14ac:dyDescent="0.25">
      <c r="A5037" s="1" t="s">
        <v>15709</v>
      </c>
      <c r="B5037" s="1" t="s">
        <v>15710</v>
      </c>
      <c r="D5037" s="1" t="s">
        <v>15711</v>
      </c>
      <c r="E5037" s="1" t="s">
        <v>209</v>
      </c>
      <c r="F5037" s="1" t="s">
        <v>5017</v>
      </c>
      <c r="G5037" s="1" t="s">
        <v>5018</v>
      </c>
      <c r="H5037" s="1">
        <v>0.1</v>
      </c>
      <c r="I5037" s="1">
        <v>0.1</v>
      </c>
      <c r="J5037" s="1">
        <v>0.76182974946406024</v>
      </c>
      <c r="K5037" s="1" t="s">
        <v>181</v>
      </c>
    </row>
    <row r="5038" spans="1:11" x14ac:dyDescent="0.25">
      <c r="A5038" s="1" t="s">
        <v>15712</v>
      </c>
      <c r="B5038" s="1" t="s">
        <v>15713</v>
      </c>
      <c r="D5038" s="1" t="s">
        <v>15714</v>
      </c>
      <c r="E5038" s="1" t="s">
        <v>209</v>
      </c>
      <c r="F5038" s="1" t="s">
        <v>5017</v>
      </c>
      <c r="G5038" s="1" t="s">
        <v>5018</v>
      </c>
      <c r="H5038" s="1">
        <v>0.1</v>
      </c>
      <c r="I5038" s="1">
        <v>0.1</v>
      </c>
      <c r="J5038" s="1">
        <v>0.82141676578403788</v>
      </c>
      <c r="K5038" s="1" t="s">
        <v>181</v>
      </c>
    </row>
    <row r="5039" spans="1:11" x14ac:dyDescent="0.25">
      <c r="A5039" s="1" t="s">
        <v>15715</v>
      </c>
      <c r="B5039" s="1" t="s">
        <v>15716</v>
      </c>
      <c r="D5039" s="1" t="s">
        <v>15717</v>
      </c>
      <c r="E5039" s="1" t="s">
        <v>209</v>
      </c>
      <c r="F5039" s="1" t="s">
        <v>5017</v>
      </c>
      <c r="G5039" s="1" t="s">
        <v>5018</v>
      </c>
      <c r="H5039" s="1">
        <v>0.1</v>
      </c>
      <c r="I5039" s="1">
        <v>0.1</v>
      </c>
      <c r="J5039" s="1">
        <v>0.56372587615119707</v>
      </c>
      <c r="K5039" s="1" t="s">
        <v>181</v>
      </c>
    </row>
    <row r="5040" spans="1:11" x14ac:dyDescent="0.25">
      <c r="A5040" s="1" t="s">
        <v>15718</v>
      </c>
      <c r="B5040" s="1" t="s">
        <v>15719</v>
      </c>
      <c r="D5040" s="1" t="s">
        <v>15720</v>
      </c>
      <c r="E5040" s="1" t="s">
        <v>209</v>
      </c>
      <c r="F5040" s="1" t="s">
        <v>5017</v>
      </c>
      <c r="G5040" s="1" t="s">
        <v>5018</v>
      </c>
      <c r="H5040" s="1">
        <v>0.1</v>
      </c>
      <c r="I5040" s="1">
        <v>0.1</v>
      </c>
      <c r="J5040" s="1">
        <v>0.58617933120926535</v>
      </c>
      <c r="K5040" s="1" t="s">
        <v>181</v>
      </c>
    </row>
    <row r="5041" spans="1:11" x14ac:dyDescent="0.25">
      <c r="A5041" s="1" t="s">
        <v>15721</v>
      </c>
      <c r="B5041" s="1" t="s">
        <v>15722</v>
      </c>
      <c r="D5041" s="1" t="s">
        <v>15723</v>
      </c>
      <c r="E5041" s="1" t="s">
        <v>209</v>
      </c>
      <c r="F5041" s="1" t="s">
        <v>5017</v>
      </c>
      <c r="G5041" s="1" t="s">
        <v>5018</v>
      </c>
      <c r="H5041" s="1">
        <v>0.1</v>
      </c>
      <c r="I5041" s="1">
        <v>0.1</v>
      </c>
      <c r="J5041" s="1">
        <v>0.39655624343218021</v>
      </c>
      <c r="K5041" s="1" t="s">
        <v>181</v>
      </c>
    </row>
    <row r="5042" spans="1:11" x14ac:dyDescent="0.25">
      <c r="A5042" s="1" t="s">
        <v>15724</v>
      </c>
      <c r="B5042" s="1" t="s">
        <v>15725</v>
      </c>
      <c r="D5042" s="1" t="s">
        <v>15726</v>
      </c>
      <c r="E5042" s="1" t="s">
        <v>209</v>
      </c>
      <c r="F5042" s="1" t="s">
        <v>5017</v>
      </c>
      <c r="G5042" s="1" t="s">
        <v>5018</v>
      </c>
      <c r="H5042" s="1">
        <v>0.1</v>
      </c>
      <c r="I5042" s="1">
        <v>0.1</v>
      </c>
      <c r="J5042" s="1">
        <v>0.58825878070412907</v>
      </c>
      <c r="K5042" s="1" t="s">
        <v>181</v>
      </c>
    </row>
    <row r="5043" spans="1:11" x14ac:dyDescent="0.25">
      <c r="A5043" s="1" t="s">
        <v>15727</v>
      </c>
      <c r="B5043" s="1" t="s">
        <v>15728</v>
      </c>
      <c r="D5043" s="1" t="s">
        <v>15729</v>
      </c>
      <c r="E5043" s="1" t="s">
        <v>209</v>
      </c>
      <c r="F5043" s="1" t="s">
        <v>5017</v>
      </c>
      <c r="G5043" s="1" t="s">
        <v>5018</v>
      </c>
      <c r="H5043" s="1">
        <v>0.1</v>
      </c>
      <c r="I5043" s="1">
        <v>0.1</v>
      </c>
      <c r="J5043" s="1">
        <v>0.67419998433245942</v>
      </c>
      <c r="K5043" s="1" t="s">
        <v>181</v>
      </c>
    </row>
    <row r="5044" spans="1:11" x14ac:dyDescent="0.25">
      <c r="A5044" s="1" t="s">
        <v>15730</v>
      </c>
      <c r="B5044" s="1" t="s">
        <v>15731</v>
      </c>
      <c r="D5044" s="1" t="s">
        <v>15732</v>
      </c>
      <c r="E5044" s="1" t="s">
        <v>209</v>
      </c>
      <c r="F5044" s="1" t="s">
        <v>5017</v>
      </c>
      <c r="G5044" s="1" t="s">
        <v>5018</v>
      </c>
      <c r="H5044" s="1">
        <v>0.1</v>
      </c>
      <c r="I5044" s="1">
        <v>0.1</v>
      </c>
      <c r="J5044" s="1">
        <v>0.56018288558840457</v>
      </c>
      <c r="K5044" s="1" t="s">
        <v>181</v>
      </c>
    </row>
    <row r="5045" spans="1:11" x14ac:dyDescent="0.25">
      <c r="A5045" s="1" t="s">
        <v>15733</v>
      </c>
      <c r="B5045" s="1" t="s">
        <v>15734</v>
      </c>
      <c r="D5045" s="1" t="s">
        <v>15735</v>
      </c>
      <c r="E5045" s="1" t="s">
        <v>209</v>
      </c>
      <c r="F5045" s="1" t="s">
        <v>5017</v>
      </c>
      <c r="G5045" s="1" t="s">
        <v>5018</v>
      </c>
      <c r="H5045" s="1">
        <v>0.1</v>
      </c>
      <c r="I5045" s="1">
        <v>0.1</v>
      </c>
      <c r="J5045" s="1">
        <v>0.69530179514127288</v>
      </c>
      <c r="K5045" s="1" t="s">
        <v>181</v>
      </c>
    </row>
    <row r="5046" spans="1:11" x14ac:dyDescent="0.25">
      <c r="A5046" s="1" t="s">
        <v>15736</v>
      </c>
      <c r="B5046" s="1" t="s">
        <v>15737</v>
      </c>
      <c r="D5046" s="1" t="s">
        <v>15738</v>
      </c>
      <c r="E5046" s="1" t="s">
        <v>209</v>
      </c>
      <c r="F5046" s="1" t="s">
        <v>5017</v>
      </c>
      <c r="G5046" s="1" t="s">
        <v>5018</v>
      </c>
      <c r="H5046" s="1">
        <v>0.1</v>
      </c>
      <c r="I5046" s="1">
        <v>0.1</v>
      </c>
      <c r="J5046" s="1">
        <v>0.41910946380111036</v>
      </c>
      <c r="K5046" s="1" t="s">
        <v>181</v>
      </c>
    </row>
    <row r="5047" spans="1:11" x14ac:dyDescent="0.25">
      <c r="A5047" s="1" t="s">
        <v>15739</v>
      </c>
      <c r="B5047" s="1" t="s">
        <v>15740</v>
      </c>
      <c r="D5047" s="1" t="s">
        <v>15741</v>
      </c>
      <c r="E5047" s="1" t="s">
        <v>209</v>
      </c>
      <c r="F5047" s="1" t="s">
        <v>5017</v>
      </c>
      <c r="G5047" s="1" t="s">
        <v>5018</v>
      </c>
      <c r="H5047" s="1">
        <v>0.1</v>
      </c>
      <c r="I5047" s="1">
        <v>0.1</v>
      </c>
      <c r="J5047" s="1">
        <v>0.97146826178909429</v>
      </c>
      <c r="K5047" s="1" t="s">
        <v>181</v>
      </c>
    </row>
    <row r="5048" spans="1:11" x14ac:dyDescent="0.25">
      <c r="A5048" s="1" t="s">
        <v>15742</v>
      </c>
      <c r="B5048" s="1" t="s">
        <v>15743</v>
      </c>
      <c r="D5048" s="1" t="s">
        <v>15744</v>
      </c>
      <c r="E5048" s="1" t="s">
        <v>209</v>
      </c>
      <c r="F5048" s="1" t="s">
        <v>5017</v>
      </c>
      <c r="G5048" s="1" t="s">
        <v>5018</v>
      </c>
      <c r="H5048" s="1">
        <v>0.1</v>
      </c>
      <c r="I5048" s="1">
        <v>0.1</v>
      </c>
      <c r="J5048" s="1">
        <v>0.861983640758057</v>
      </c>
      <c r="K5048" s="1" t="s">
        <v>181</v>
      </c>
    </row>
    <row r="5049" spans="1:11" x14ac:dyDescent="0.25">
      <c r="A5049" s="1" t="s">
        <v>15745</v>
      </c>
      <c r="B5049" s="1" t="s">
        <v>15746</v>
      </c>
      <c r="D5049" s="1" t="s">
        <v>15747</v>
      </c>
      <c r="E5049" s="1" t="s">
        <v>209</v>
      </c>
      <c r="F5049" s="1" t="s">
        <v>5017</v>
      </c>
      <c r="G5049" s="1" t="s">
        <v>5018</v>
      </c>
      <c r="H5049" s="1">
        <v>0.1</v>
      </c>
      <c r="I5049" s="1">
        <v>0.1</v>
      </c>
      <c r="J5049" s="1">
        <v>0.43028050913301558</v>
      </c>
      <c r="K5049" s="1" t="s">
        <v>181</v>
      </c>
    </row>
    <row r="5050" spans="1:11" x14ac:dyDescent="0.25">
      <c r="A5050" s="1" t="s">
        <v>15748</v>
      </c>
      <c r="B5050" s="1" t="s">
        <v>15749</v>
      </c>
      <c r="D5050" s="1" t="s">
        <v>15750</v>
      </c>
      <c r="E5050" s="1" t="s">
        <v>209</v>
      </c>
      <c r="F5050" s="1" t="s">
        <v>5017</v>
      </c>
      <c r="G5050" s="1" t="s">
        <v>5018</v>
      </c>
      <c r="H5050" s="1">
        <v>0.1</v>
      </c>
      <c r="I5050" s="1">
        <v>0.1</v>
      </c>
      <c r="J5050" s="1">
        <v>0.49128760986169756</v>
      </c>
      <c r="K5050" s="1" t="s">
        <v>181</v>
      </c>
    </row>
    <row r="5051" spans="1:11" x14ac:dyDescent="0.25">
      <c r="A5051" s="1" t="s">
        <v>15751</v>
      </c>
      <c r="B5051" s="1" t="s">
        <v>15752</v>
      </c>
      <c r="D5051" s="1" t="s">
        <v>15753</v>
      </c>
      <c r="E5051" s="1" t="s">
        <v>209</v>
      </c>
      <c r="F5051" s="1" t="s">
        <v>5017</v>
      </c>
      <c r="G5051" s="1" t="s">
        <v>5018</v>
      </c>
      <c r="H5051" s="1">
        <v>0.1</v>
      </c>
      <c r="I5051" s="1">
        <v>0.1</v>
      </c>
      <c r="J5051" s="1">
        <v>0.54058109446804992</v>
      </c>
      <c r="K5051" s="1" t="s">
        <v>181</v>
      </c>
    </row>
    <row r="5052" spans="1:11" x14ac:dyDescent="0.25">
      <c r="A5052" s="1" t="s">
        <v>15754</v>
      </c>
      <c r="B5052" s="1" t="s">
        <v>15755</v>
      </c>
      <c r="D5052" s="1" t="s">
        <v>15756</v>
      </c>
      <c r="E5052" s="1" t="s">
        <v>209</v>
      </c>
      <c r="F5052" s="1" t="s">
        <v>5017</v>
      </c>
      <c r="G5052" s="1" t="s">
        <v>5018</v>
      </c>
      <c r="H5052" s="1">
        <v>0.1</v>
      </c>
      <c r="I5052" s="1">
        <v>0.1</v>
      </c>
      <c r="J5052" s="1">
        <v>0.89337206276241021</v>
      </c>
      <c r="K5052" s="1" t="s">
        <v>181</v>
      </c>
    </row>
    <row r="5053" spans="1:11" x14ac:dyDescent="0.25">
      <c r="A5053" s="1" t="s">
        <v>15757</v>
      </c>
      <c r="B5053" s="1" t="s">
        <v>15758</v>
      </c>
      <c r="D5053" s="1" t="s">
        <v>15759</v>
      </c>
      <c r="E5053" s="1" t="s">
        <v>209</v>
      </c>
      <c r="F5053" s="1" t="s">
        <v>5017</v>
      </c>
      <c r="G5053" s="1" t="s">
        <v>5018</v>
      </c>
      <c r="H5053" s="1">
        <v>0.1</v>
      </c>
      <c r="I5053" s="1">
        <v>0.1</v>
      </c>
      <c r="J5053" s="1">
        <v>0.69394147481921731</v>
      </c>
      <c r="K5053" s="1" t="s">
        <v>181</v>
      </c>
    </row>
    <row r="5054" spans="1:11" x14ac:dyDescent="0.25">
      <c r="A5054" s="1" t="s">
        <v>15760</v>
      </c>
      <c r="B5054" s="1" t="s">
        <v>15761</v>
      </c>
      <c r="D5054" s="1" t="s">
        <v>15762</v>
      </c>
      <c r="E5054" s="1" t="s">
        <v>209</v>
      </c>
      <c r="F5054" s="1" t="s">
        <v>5017</v>
      </c>
      <c r="G5054" s="1" t="s">
        <v>5018</v>
      </c>
      <c r="H5054" s="1">
        <v>0.1</v>
      </c>
      <c r="I5054" s="1">
        <v>0.1</v>
      </c>
      <c r="J5054" s="1">
        <v>0.56103947709124713</v>
      </c>
      <c r="K5054" s="1" t="s">
        <v>181</v>
      </c>
    </row>
    <row r="5055" spans="1:11" x14ac:dyDescent="0.25">
      <c r="A5055" s="1" t="s">
        <v>15763</v>
      </c>
      <c r="B5055" s="1" t="s">
        <v>15764</v>
      </c>
      <c r="D5055" s="1" t="s">
        <v>15765</v>
      </c>
      <c r="E5055" s="1" t="s">
        <v>209</v>
      </c>
      <c r="F5055" s="1" t="s">
        <v>5017</v>
      </c>
      <c r="G5055" s="1" t="s">
        <v>5018</v>
      </c>
      <c r="H5055" s="1">
        <v>0.1</v>
      </c>
      <c r="I5055" s="1">
        <v>0.1</v>
      </c>
      <c r="J5055" s="1">
        <v>0.75365335471645822</v>
      </c>
      <c r="K5055" s="1" t="s">
        <v>181</v>
      </c>
    </row>
    <row r="5056" spans="1:11" x14ac:dyDescent="0.25">
      <c r="A5056" s="1" t="s">
        <v>15766</v>
      </c>
      <c r="B5056" s="1" t="s">
        <v>15767</v>
      </c>
      <c r="D5056" s="1" t="s">
        <v>15768</v>
      </c>
      <c r="E5056" s="1" t="s">
        <v>209</v>
      </c>
      <c r="F5056" s="1" t="s">
        <v>5017</v>
      </c>
      <c r="G5056" s="1" t="s">
        <v>5018</v>
      </c>
      <c r="H5056" s="1">
        <v>0.1</v>
      </c>
      <c r="I5056" s="1">
        <v>0.1</v>
      </c>
      <c r="J5056" s="1">
        <v>0.65742706171374021</v>
      </c>
      <c r="K5056" s="1" t="s">
        <v>181</v>
      </c>
    </row>
    <row r="5057" spans="1:11" x14ac:dyDescent="0.25">
      <c r="A5057" s="1" t="s">
        <v>15769</v>
      </c>
      <c r="B5057" s="1" t="s">
        <v>15770</v>
      </c>
      <c r="D5057" s="1" t="s">
        <v>15771</v>
      </c>
      <c r="E5057" s="1" t="s">
        <v>209</v>
      </c>
      <c r="F5057" s="1" t="s">
        <v>5017</v>
      </c>
      <c r="G5057" s="1" t="s">
        <v>5018</v>
      </c>
      <c r="H5057" s="1">
        <v>0.1</v>
      </c>
      <c r="I5057" s="1">
        <v>0.1</v>
      </c>
      <c r="J5057" s="1">
        <v>0.90292450411187564</v>
      </c>
      <c r="K5057" s="1" t="s">
        <v>181</v>
      </c>
    </row>
    <row r="5058" spans="1:11" x14ac:dyDescent="0.25">
      <c r="A5058" s="1" t="s">
        <v>15772</v>
      </c>
      <c r="B5058" s="1" t="s">
        <v>15773</v>
      </c>
      <c r="D5058" s="1" t="s">
        <v>15774</v>
      </c>
      <c r="E5058" s="1" t="s">
        <v>209</v>
      </c>
      <c r="F5058" s="1" t="s">
        <v>5017</v>
      </c>
      <c r="G5058" s="1" t="s">
        <v>5018</v>
      </c>
      <c r="H5058" s="1">
        <v>0.1</v>
      </c>
      <c r="I5058" s="1">
        <v>0.1</v>
      </c>
      <c r="J5058" s="1">
        <v>0.75498728199313048</v>
      </c>
      <c r="K5058" s="1" t="s">
        <v>181</v>
      </c>
    </row>
    <row r="5059" spans="1:11" x14ac:dyDescent="0.25">
      <c r="A5059" s="1" t="s">
        <v>15775</v>
      </c>
      <c r="B5059" s="1" t="s">
        <v>15776</v>
      </c>
      <c r="D5059" s="1" t="s">
        <v>15777</v>
      </c>
      <c r="E5059" s="1" t="s">
        <v>209</v>
      </c>
      <c r="F5059" s="1" t="s">
        <v>5017</v>
      </c>
      <c r="G5059" s="1" t="s">
        <v>5018</v>
      </c>
      <c r="H5059" s="1">
        <v>0.1</v>
      </c>
      <c r="I5059" s="1">
        <v>0.1</v>
      </c>
      <c r="J5059" s="1">
        <v>0.39465573992594455</v>
      </c>
      <c r="K5059" s="1" t="s">
        <v>181</v>
      </c>
    </row>
    <row r="5060" spans="1:11" x14ac:dyDescent="0.25">
      <c r="A5060" s="1" t="s">
        <v>15778</v>
      </c>
      <c r="B5060" s="1" t="s">
        <v>15779</v>
      </c>
      <c r="D5060" s="1" t="s">
        <v>15780</v>
      </c>
      <c r="E5060" s="1" t="s">
        <v>209</v>
      </c>
      <c r="F5060" s="1" t="s">
        <v>5017</v>
      </c>
      <c r="G5060" s="1" t="s">
        <v>5018</v>
      </c>
      <c r="H5060" s="1">
        <v>0.1</v>
      </c>
      <c r="I5060" s="1">
        <v>0.1</v>
      </c>
      <c r="J5060" s="1">
        <v>0.8136325158527723</v>
      </c>
      <c r="K5060" s="1" t="s">
        <v>181</v>
      </c>
    </row>
    <row r="5061" spans="1:11" x14ac:dyDescent="0.25">
      <c r="A5061" s="1" t="s">
        <v>15781</v>
      </c>
      <c r="B5061" s="1" t="s">
        <v>15782</v>
      </c>
      <c r="D5061" s="1" t="s">
        <v>15783</v>
      </c>
      <c r="E5061" s="1" t="s">
        <v>209</v>
      </c>
      <c r="F5061" s="1" t="s">
        <v>5017</v>
      </c>
      <c r="G5061" s="1" t="s">
        <v>5018</v>
      </c>
      <c r="H5061" s="1">
        <v>0.1</v>
      </c>
      <c r="I5061" s="1">
        <v>0.1</v>
      </c>
      <c r="J5061" s="1">
        <v>1.0464699246066322</v>
      </c>
      <c r="K5061" s="1" t="s">
        <v>181</v>
      </c>
    </row>
    <row r="5062" spans="1:11" x14ac:dyDescent="0.25">
      <c r="A5062" s="1" t="s">
        <v>15784</v>
      </c>
      <c r="B5062" s="1" t="s">
        <v>15785</v>
      </c>
      <c r="D5062" s="1" t="s">
        <v>15786</v>
      </c>
      <c r="E5062" s="1" t="s">
        <v>209</v>
      </c>
      <c r="F5062" s="1" t="s">
        <v>5017</v>
      </c>
      <c r="G5062" s="1" t="s">
        <v>5018</v>
      </c>
      <c r="H5062" s="1">
        <v>0.1</v>
      </c>
      <c r="I5062" s="1">
        <v>0.1</v>
      </c>
      <c r="J5062" s="1">
        <v>0.449010795988806</v>
      </c>
      <c r="K5062" s="1" t="s">
        <v>181</v>
      </c>
    </row>
    <row r="5063" spans="1:11" x14ac:dyDescent="0.25">
      <c r="A5063" s="1" t="s">
        <v>15787</v>
      </c>
      <c r="B5063" s="1" t="s">
        <v>15788</v>
      </c>
      <c r="D5063" s="1" t="s">
        <v>15789</v>
      </c>
      <c r="E5063" s="1" t="s">
        <v>209</v>
      </c>
      <c r="F5063" s="1" t="s">
        <v>5017</v>
      </c>
      <c r="G5063" s="1" t="s">
        <v>5018</v>
      </c>
      <c r="H5063" s="1">
        <v>0.1</v>
      </c>
      <c r="I5063" s="1">
        <v>0.1</v>
      </c>
      <c r="J5063" s="1">
        <v>0.83352351593179197</v>
      </c>
      <c r="K5063" s="1" t="s">
        <v>181</v>
      </c>
    </row>
    <row r="5064" spans="1:11" x14ac:dyDescent="0.25">
      <c r="A5064" s="1" t="s">
        <v>15790</v>
      </c>
      <c r="B5064" s="1" t="s">
        <v>15791</v>
      </c>
      <c r="D5064" s="1" t="s">
        <v>15792</v>
      </c>
      <c r="E5064" s="1" t="s">
        <v>209</v>
      </c>
      <c r="F5064" s="1" t="s">
        <v>5017</v>
      </c>
      <c r="G5064" s="1" t="s">
        <v>5018</v>
      </c>
      <c r="H5064" s="1">
        <v>0.1</v>
      </c>
      <c r="I5064" s="1">
        <v>0.1</v>
      </c>
      <c r="J5064" s="1">
        <v>0.47291100778723094</v>
      </c>
      <c r="K5064" s="1" t="s">
        <v>181</v>
      </c>
    </row>
    <row r="5065" spans="1:11" x14ac:dyDescent="0.25">
      <c r="A5065" s="1" t="s">
        <v>15793</v>
      </c>
      <c r="B5065" s="1" t="s">
        <v>15794</v>
      </c>
      <c r="D5065" s="1" t="s">
        <v>15795</v>
      </c>
      <c r="E5065" s="1" t="s">
        <v>209</v>
      </c>
      <c r="F5065" s="1" t="s">
        <v>5017</v>
      </c>
      <c r="G5065" s="1" t="s">
        <v>5018</v>
      </c>
      <c r="H5065" s="1">
        <v>0.1</v>
      </c>
      <c r="I5065" s="1">
        <v>0.1</v>
      </c>
      <c r="J5065" s="1">
        <v>0.92227523251431964</v>
      </c>
      <c r="K5065" s="1" t="s">
        <v>181</v>
      </c>
    </row>
    <row r="5066" spans="1:11" x14ac:dyDescent="0.25">
      <c r="A5066" s="1" t="s">
        <v>15796</v>
      </c>
      <c r="B5066" s="1" t="s">
        <v>15797</v>
      </c>
      <c r="D5066" s="1" t="s">
        <v>15798</v>
      </c>
      <c r="E5066" s="1" t="s">
        <v>209</v>
      </c>
      <c r="F5066" s="1" t="s">
        <v>5017</v>
      </c>
      <c r="G5066" s="1" t="s">
        <v>5018</v>
      </c>
      <c r="H5066" s="1">
        <v>0.1</v>
      </c>
      <c r="I5066" s="1">
        <v>0.1</v>
      </c>
      <c r="J5066" s="1">
        <v>0.4450584597368748</v>
      </c>
      <c r="K5066" s="1" t="s">
        <v>181</v>
      </c>
    </row>
    <row r="5067" spans="1:11" x14ac:dyDescent="0.25">
      <c r="A5067" s="1" t="s">
        <v>15799</v>
      </c>
      <c r="B5067" s="1" t="s">
        <v>15800</v>
      </c>
      <c r="D5067" s="1" t="s">
        <v>15801</v>
      </c>
      <c r="E5067" s="1" t="s">
        <v>209</v>
      </c>
      <c r="F5067" s="1" t="s">
        <v>5017</v>
      </c>
      <c r="G5067" s="1" t="s">
        <v>5018</v>
      </c>
      <c r="H5067" s="1">
        <v>0.1</v>
      </c>
      <c r="I5067" s="1">
        <v>0.1</v>
      </c>
      <c r="J5067" s="1">
        <v>0.60633164623383518</v>
      </c>
      <c r="K5067" s="1" t="s">
        <v>181</v>
      </c>
    </row>
    <row r="5068" spans="1:11" x14ac:dyDescent="0.25">
      <c r="A5068" s="1" t="s">
        <v>15802</v>
      </c>
      <c r="B5068" s="1" t="s">
        <v>15803</v>
      </c>
      <c r="D5068" s="1" t="s">
        <v>15804</v>
      </c>
      <c r="E5068" s="1" t="s">
        <v>209</v>
      </c>
      <c r="F5068" s="1" t="s">
        <v>5017</v>
      </c>
      <c r="G5068" s="1" t="s">
        <v>5018</v>
      </c>
      <c r="H5068" s="1">
        <v>0.1</v>
      </c>
      <c r="I5068" s="1">
        <v>0.1</v>
      </c>
      <c r="J5068" s="1">
        <v>0.45979094057488346</v>
      </c>
      <c r="K5068" s="1" t="s">
        <v>181</v>
      </c>
    </row>
    <row r="5069" spans="1:11" x14ac:dyDescent="0.25">
      <c r="A5069" s="1" t="s">
        <v>15805</v>
      </c>
      <c r="B5069" s="1" t="s">
        <v>15806</v>
      </c>
      <c r="D5069" s="1" t="s">
        <v>15807</v>
      </c>
      <c r="E5069" s="1" t="s">
        <v>209</v>
      </c>
      <c r="F5069" s="1" t="s">
        <v>5017</v>
      </c>
      <c r="G5069" s="1" t="s">
        <v>5018</v>
      </c>
      <c r="H5069" s="1">
        <v>0.1</v>
      </c>
      <c r="I5069" s="1">
        <v>0.1</v>
      </c>
      <c r="J5069" s="1">
        <v>0.5064985379516983</v>
      </c>
      <c r="K5069" s="1" t="s">
        <v>181</v>
      </c>
    </row>
    <row r="5070" spans="1:11" x14ac:dyDescent="0.25">
      <c r="A5070" s="1" t="s">
        <v>15808</v>
      </c>
      <c r="B5070" s="1" t="s">
        <v>15809</v>
      </c>
      <c r="D5070" s="1" t="s">
        <v>15810</v>
      </c>
      <c r="E5070" s="1" t="s">
        <v>209</v>
      </c>
      <c r="F5070" s="1" t="s">
        <v>5017</v>
      </c>
      <c r="G5070" s="1" t="s">
        <v>5018</v>
      </c>
      <c r="H5070" s="1">
        <v>0.1</v>
      </c>
      <c r="I5070" s="1">
        <v>0.1</v>
      </c>
      <c r="J5070" s="1">
        <v>0.48531425044020721</v>
      </c>
      <c r="K5070" s="1" t="s">
        <v>181</v>
      </c>
    </row>
    <row r="5071" spans="1:11" x14ac:dyDescent="0.25">
      <c r="A5071" s="1" t="s">
        <v>15811</v>
      </c>
      <c r="B5071" s="1" t="s">
        <v>15812</v>
      </c>
      <c r="D5071" s="1" t="s">
        <v>15813</v>
      </c>
      <c r="E5071" s="1" t="s">
        <v>209</v>
      </c>
      <c r="F5071" s="1" t="s">
        <v>5017</v>
      </c>
      <c r="G5071" s="1" t="s">
        <v>5018</v>
      </c>
      <c r="H5071" s="1">
        <v>0.1</v>
      </c>
      <c r="I5071" s="1">
        <v>0.1</v>
      </c>
      <c r="J5071" s="1">
        <v>0.57674773723018502</v>
      </c>
      <c r="K5071" s="1" t="s">
        <v>181</v>
      </c>
    </row>
    <row r="5072" spans="1:11" x14ac:dyDescent="0.25">
      <c r="A5072" s="1" t="s">
        <v>15814</v>
      </c>
      <c r="B5072" s="1" t="s">
        <v>15815</v>
      </c>
      <c r="D5072" s="1" t="s">
        <v>15816</v>
      </c>
      <c r="E5072" s="1" t="s">
        <v>209</v>
      </c>
      <c r="F5072" s="1" t="s">
        <v>5017</v>
      </c>
      <c r="G5072" s="1" t="s">
        <v>5018</v>
      </c>
      <c r="H5072" s="1">
        <v>0.1</v>
      </c>
      <c r="I5072" s="1">
        <v>0.1</v>
      </c>
      <c r="J5072" s="1">
        <v>0.69890055591158728</v>
      </c>
      <c r="K5072" s="1" t="s">
        <v>181</v>
      </c>
    </row>
    <row r="5073" spans="1:11" x14ac:dyDescent="0.25">
      <c r="A5073" s="1" t="s">
        <v>15817</v>
      </c>
      <c r="B5073" s="1" t="s">
        <v>15818</v>
      </c>
      <c r="D5073" s="1" t="s">
        <v>15819</v>
      </c>
      <c r="E5073" s="1" t="s">
        <v>209</v>
      </c>
      <c r="F5073" s="1" t="s">
        <v>5017</v>
      </c>
      <c r="G5073" s="1" t="s">
        <v>5018</v>
      </c>
      <c r="H5073" s="1">
        <v>0.1</v>
      </c>
      <c r="I5073" s="1">
        <v>0.1</v>
      </c>
      <c r="J5073" s="1">
        <v>0.80349107776370277</v>
      </c>
      <c r="K5073" s="1" t="s">
        <v>181</v>
      </c>
    </row>
    <row r="5074" spans="1:11" x14ac:dyDescent="0.25">
      <c r="A5074" s="1" t="s">
        <v>15820</v>
      </c>
      <c r="B5074" s="1" t="s">
        <v>15821</v>
      </c>
      <c r="D5074" s="1" t="s">
        <v>15822</v>
      </c>
      <c r="E5074" s="1" t="s">
        <v>209</v>
      </c>
      <c r="F5074" s="1" t="s">
        <v>5017</v>
      </c>
      <c r="G5074" s="1" t="s">
        <v>5018</v>
      </c>
      <c r="H5074" s="1">
        <v>0.1</v>
      </c>
      <c r="I5074" s="1">
        <v>0.1</v>
      </c>
      <c r="J5074" s="1">
        <v>0.8026481499342456</v>
      </c>
      <c r="K5074" s="1" t="s">
        <v>181</v>
      </c>
    </row>
    <row r="5075" spans="1:11" x14ac:dyDescent="0.25">
      <c r="A5075" s="1" t="s">
        <v>15823</v>
      </c>
      <c r="B5075" s="1" t="s">
        <v>15824</v>
      </c>
      <c r="D5075" s="1" t="s">
        <v>15825</v>
      </c>
      <c r="E5075" s="1" t="s">
        <v>209</v>
      </c>
      <c r="F5075" s="1" t="s">
        <v>5017</v>
      </c>
      <c r="G5075" s="1" t="s">
        <v>5018</v>
      </c>
      <c r="H5075" s="1">
        <v>0.1</v>
      </c>
      <c r="I5075" s="1">
        <v>0.1</v>
      </c>
      <c r="J5075" s="1">
        <v>0.4877047106466354</v>
      </c>
      <c r="K5075" s="1" t="s">
        <v>181</v>
      </c>
    </row>
    <row r="5076" spans="1:11" x14ac:dyDescent="0.25">
      <c r="A5076" s="1" t="s">
        <v>15826</v>
      </c>
      <c r="B5076" s="1" t="s">
        <v>15827</v>
      </c>
      <c r="D5076" s="1" t="s">
        <v>15828</v>
      </c>
      <c r="E5076" s="1" t="s">
        <v>209</v>
      </c>
      <c r="F5076" s="1" t="s">
        <v>5017</v>
      </c>
      <c r="G5076" s="1" t="s">
        <v>5018</v>
      </c>
      <c r="H5076" s="1">
        <v>0.1</v>
      </c>
      <c r="I5076" s="1">
        <v>0.1</v>
      </c>
      <c r="J5076" s="1">
        <v>0.85176424660976013</v>
      </c>
      <c r="K5076" s="1" t="s">
        <v>181</v>
      </c>
    </row>
    <row r="5077" spans="1:11" x14ac:dyDescent="0.25">
      <c r="A5077" s="1" t="s">
        <v>15829</v>
      </c>
      <c r="B5077" s="1" t="s">
        <v>15830</v>
      </c>
      <c r="D5077" s="1" t="s">
        <v>15831</v>
      </c>
      <c r="E5077" s="1" t="s">
        <v>209</v>
      </c>
      <c r="F5077" s="1" t="s">
        <v>5017</v>
      </c>
      <c r="G5077" s="1" t="s">
        <v>5018</v>
      </c>
      <c r="H5077" s="1">
        <v>0.1</v>
      </c>
      <c r="I5077" s="1">
        <v>0.1</v>
      </c>
      <c r="J5077" s="1">
        <v>0.82231422754907302</v>
      </c>
      <c r="K5077" s="1" t="s">
        <v>181</v>
      </c>
    </row>
    <row r="5078" spans="1:11" x14ac:dyDescent="0.25">
      <c r="A5078" s="1" t="s">
        <v>15832</v>
      </c>
      <c r="B5078" s="1" t="s">
        <v>15833</v>
      </c>
      <c r="D5078" s="1" t="s">
        <v>15834</v>
      </c>
      <c r="E5078" s="1" t="s">
        <v>209</v>
      </c>
      <c r="F5078" s="1" t="s">
        <v>5017</v>
      </c>
      <c r="G5078" s="1" t="s">
        <v>5018</v>
      </c>
      <c r="H5078" s="1">
        <v>0.1</v>
      </c>
      <c r="I5078" s="1">
        <v>0.1</v>
      </c>
      <c r="J5078" s="1">
        <v>0.43313088206375211</v>
      </c>
      <c r="K5078" s="1" t="s">
        <v>181</v>
      </c>
    </row>
    <row r="5079" spans="1:11" x14ac:dyDescent="0.25">
      <c r="A5079" s="1" t="s">
        <v>15835</v>
      </c>
      <c r="B5079" s="1" t="s">
        <v>15836</v>
      </c>
      <c r="D5079" s="1" t="s">
        <v>15837</v>
      </c>
      <c r="E5079" s="1" t="s">
        <v>209</v>
      </c>
      <c r="F5079" s="1" t="s">
        <v>5017</v>
      </c>
      <c r="G5079" s="1" t="s">
        <v>5018</v>
      </c>
      <c r="H5079" s="1">
        <v>0.1</v>
      </c>
      <c r="I5079" s="1">
        <v>0.1</v>
      </c>
      <c r="J5079" s="1">
        <v>0.7186928539736932</v>
      </c>
      <c r="K5079" s="1" t="s">
        <v>181</v>
      </c>
    </row>
    <row r="5080" spans="1:11" x14ac:dyDescent="0.25">
      <c r="A5080" s="1" t="s">
        <v>15838</v>
      </c>
      <c r="B5080" s="1" t="s">
        <v>15839</v>
      </c>
      <c r="D5080" s="1" t="s">
        <v>15840</v>
      </c>
      <c r="E5080" s="1" t="s">
        <v>209</v>
      </c>
      <c r="F5080" s="1" t="s">
        <v>5017</v>
      </c>
      <c r="G5080" s="1" t="s">
        <v>5018</v>
      </c>
      <c r="H5080" s="1">
        <v>0.1</v>
      </c>
      <c r="I5080" s="1">
        <v>0.1</v>
      </c>
      <c r="J5080" s="1">
        <v>0.57505282634361821</v>
      </c>
      <c r="K5080" s="1" t="s">
        <v>181</v>
      </c>
    </row>
    <row r="5081" spans="1:11" x14ac:dyDescent="0.25">
      <c r="A5081" s="1" t="s">
        <v>15841</v>
      </c>
      <c r="B5081" s="1" t="s">
        <v>15842</v>
      </c>
      <c r="D5081" s="1" t="s">
        <v>15843</v>
      </c>
      <c r="E5081" s="1" t="s">
        <v>209</v>
      </c>
      <c r="F5081" s="1" t="s">
        <v>5017</v>
      </c>
      <c r="G5081" s="1" t="s">
        <v>5018</v>
      </c>
      <c r="H5081" s="1">
        <v>0.1</v>
      </c>
      <c r="I5081" s="1">
        <v>0.1</v>
      </c>
      <c r="J5081" s="1">
        <v>0.48387260874488458</v>
      </c>
      <c r="K5081" s="1" t="s">
        <v>181</v>
      </c>
    </row>
    <row r="5082" spans="1:11" x14ac:dyDescent="0.25">
      <c r="A5082" s="1" t="s">
        <v>31</v>
      </c>
      <c r="B5082" s="1" t="s">
        <v>15844</v>
      </c>
      <c r="D5082" s="1" t="s">
        <v>15845</v>
      </c>
      <c r="E5082" s="1" t="s">
        <v>209</v>
      </c>
      <c r="F5082" s="1" t="s">
        <v>5017</v>
      </c>
      <c r="G5082" s="1" t="s">
        <v>5018</v>
      </c>
      <c r="H5082" s="1">
        <v>0.1</v>
      </c>
      <c r="I5082" s="1">
        <v>0.1</v>
      </c>
      <c r="J5082" s="1">
        <v>0.86550843616247264</v>
      </c>
      <c r="K5082" s="1" t="s">
        <v>181</v>
      </c>
    </row>
    <row r="5083" spans="1:11" x14ac:dyDescent="0.25">
      <c r="A5083" s="1" t="s">
        <v>15846</v>
      </c>
      <c r="B5083" s="1" t="s">
        <v>15847</v>
      </c>
      <c r="D5083" s="1" t="s">
        <v>15848</v>
      </c>
      <c r="E5083" s="1" t="s">
        <v>209</v>
      </c>
      <c r="F5083" s="1" t="s">
        <v>5017</v>
      </c>
      <c r="G5083" s="1" t="s">
        <v>5018</v>
      </c>
      <c r="H5083" s="1">
        <v>0.1</v>
      </c>
      <c r="I5083" s="1">
        <v>0.1</v>
      </c>
      <c r="J5083" s="1">
        <v>0.88552823837294969</v>
      </c>
      <c r="K5083" s="1" t="s">
        <v>181</v>
      </c>
    </row>
    <row r="5084" spans="1:11" x14ac:dyDescent="0.25">
      <c r="A5084" s="1" t="s">
        <v>90</v>
      </c>
      <c r="B5084" s="1" t="s">
        <v>15849</v>
      </c>
      <c r="D5084" s="1" t="s">
        <v>15850</v>
      </c>
      <c r="E5084" s="1" t="s">
        <v>209</v>
      </c>
      <c r="F5084" s="1" t="s">
        <v>5017</v>
      </c>
      <c r="G5084" s="1" t="s">
        <v>5018</v>
      </c>
      <c r="H5084" s="1">
        <v>0.1</v>
      </c>
      <c r="I5084" s="1">
        <v>0.1</v>
      </c>
      <c r="J5084" s="1">
        <v>0.85186827538802568</v>
      </c>
      <c r="K5084" s="1" t="s">
        <v>181</v>
      </c>
    </row>
    <row r="5085" spans="1:11" x14ac:dyDescent="0.25">
      <c r="A5085" s="1" t="s">
        <v>15851</v>
      </c>
      <c r="B5085" s="1" t="s">
        <v>15852</v>
      </c>
      <c r="D5085" s="1" t="s">
        <v>15853</v>
      </c>
      <c r="E5085" s="1" t="s">
        <v>209</v>
      </c>
      <c r="F5085" s="1" t="s">
        <v>5017</v>
      </c>
      <c r="G5085" s="1" t="s">
        <v>5018</v>
      </c>
      <c r="H5085" s="1">
        <v>0.1</v>
      </c>
      <c r="I5085" s="1">
        <v>0.1</v>
      </c>
      <c r="J5085" s="1">
        <v>0.83640410512103802</v>
      </c>
      <c r="K5085" s="1" t="s">
        <v>181</v>
      </c>
    </row>
    <row r="5086" spans="1:11" x14ac:dyDescent="0.25">
      <c r="A5086" s="1" t="s">
        <v>15854</v>
      </c>
      <c r="B5086" s="1" t="s">
        <v>15855</v>
      </c>
      <c r="D5086" s="1" t="s">
        <v>15856</v>
      </c>
      <c r="E5086" s="1" t="s">
        <v>209</v>
      </c>
      <c r="F5086" s="1" t="s">
        <v>5017</v>
      </c>
      <c r="G5086" s="1" t="s">
        <v>5018</v>
      </c>
      <c r="H5086" s="1">
        <v>0.1</v>
      </c>
      <c r="I5086" s="1">
        <v>0.1</v>
      </c>
      <c r="J5086" s="1">
        <v>0.64880263604154076</v>
      </c>
      <c r="K5086" s="1" t="s">
        <v>181</v>
      </c>
    </row>
    <row r="5087" spans="1:11" x14ac:dyDescent="0.25">
      <c r="A5087" s="1" t="s">
        <v>156</v>
      </c>
      <c r="B5087" s="1" t="s">
        <v>15857</v>
      </c>
      <c r="D5087" s="1" t="s">
        <v>15858</v>
      </c>
      <c r="E5087" s="1" t="s">
        <v>209</v>
      </c>
      <c r="F5087" s="1" t="s">
        <v>5017</v>
      </c>
      <c r="G5087" s="1" t="s">
        <v>5018</v>
      </c>
      <c r="H5087" s="1">
        <v>0.1</v>
      </c>
      <c r="I5087" s="1">
        <v>0.1</v>
      </c>
      <c r="J5087" s="1">
        <v>0.50968598134473286</v>
      </c>
      <c r="K5087" s="1" t="s">
        <v>181</v>
      </c>
    </row>
    <row r="5088" spans="1:11" x14ac:dyDescent="0.25">
      <c r="A5088" s="1" t="s">
        <v>15859</v>
      </c>
      <c r="B5088" s="1" t="s">
        <v>15860</v>
      </c>
      <c r="D5088" s="1" t="s">
        <v>15861</v>
      </c>
      <c r="E5088" s="1" t="s">
        <v>209</v>
      </c>
      <c r="F5088" s="1" t="s">
        <v>5017</v>
      </c>
      <c r="G5088" s="1" t="s">
        <v>5018</v>
      </c>
      <c r="H5088" s="1">
        <v>0.1</v>
      </c>
      <c r="I5088" s="1">
        <v>0.1</v>
      </c>
      <c r="J5088" s="1">
        <v>0.95796429591349341</v>
      </c>
      <c r="K5088" s="1" t="s">
        <v>181</v>
      </c>
    </row>
    <row r="5089" spans="1:11" x14ac:dyDescent="0.25">
      <c r="A5089" s="1" t="s">
        <v>15862</v>
      </c>
      <c r="B5089" s="1" t="s">
        <v>15863</v>
      </c>
      <c r="D5089" s="1" t="s">
        <v>15864</v>
      </c>
      <c r="E5089" s="1" t="s">
        <v>209</v>
      </c>
      <c r="F5089" s="1" t="s">
        <v>5017</v>
      </c>
      <c r="G5089" s="1" t="s">
        <v>5018</v>
      </c>
      <c r="H5089" s="1">
        <v>0.1</v>
      </c>
      <c r="I5089" s="1">
        <v>0.1</v>
      </c>
      <c r="J5089" s="1">
        <v>0.56882243373929287</v>
      </c>
      <c r="K5089" s="1" t="s">
        <v>181</v>
      </c>
    </row>
    <row r="5090" spans="1:11" x14ac:dyDescent="0.25">
      <c r="A5090" s="1" t="s">
        <v>15865</v>
      </c>
      <c r="B5090" s="1" t="s">
        <v>15866</v>
      </c>
      <c r="D5090" s="1" t="s">
        <v>15867</v>
      </c>
      <c r="E5090" s="1" t="s">
        <v>209</v>
      </c>
      <c r="F5090" s="1" t="s">
        <v>5017</v>
      </c>
      <c r="G5090" s="1" t="s">
        <v>5018</v>
      </c>
      <c r="H5090" s="1">
        <v>0.1</v>
      </c>
      <c r="I5090" s="1">
        <v>0.1</v>
      </c>
      <c r="J5090" s="1">
        <v>0.52843439423089078</v>
      </c>
      <c r="K5090" s="1" t="s">
        <v>181</v>
      </c>
    </row>
    <row r="5091" spans="1:11" x14ac:dyDescent="0.25">
      <c r="A5091" s="1" t="s">
        <v>15868</v>
      </c>
      <c r="B5091" s="1" t="s">
        <v>15869</v>
      </c>
      <c r="D5091" s="1" t="s">
        <v>15870</v>
      </c>
      <c r="E5091" s="1" t="s">
        <v>209</v>
      </c>
      <c r="F5091" s="1" t="s">
        <v>5017</v>
      </c>
      <c r="G5091" s="1" t="s">
        <v>5018</v>
      </c>
      <c r="H5091" s="1">
        <v>0.1</v>
      </c>
      <c r="I5091" s="1">
        <v>0.1</v>
      </c>
      <c r="J5091" s="1">
        <v>0.72254910079582901</v>
      </c>
      <c r="K5091" s="1" t="s">
        <v>181</v>
      </c>
    </row>
    <row r="5092" spans="1:11" x14ac:dyDescent="0.25">
      <c r="A5092" s="1" t="s">
        <v>15871</v>
      </c>
      <c r="B5092" s="1" t="s">
        <v>15872</v>
      </c>
      <c r="D5092" s="1" t="s">
        <v>15873</v>
      </c>
      <c r="E5092" s="1" t="s">
        <v>209</v>
      </c>
      <c r="F5092" s="1" t="s">
        <v>5017</v>
      </c>
      <c r="G5092" s="1" t="s">
        <v>5018</v>
      </c>
      <c r="H5092" s="1">
        <v>0.1</v>
      </c>
      <c r="I5092" s="1">
        <v>0.1</v>
      </c>
      <c r="J5092" s="1">
        <v>0.52997992223625268</v>
      </c>
      <c r="K5092" s="1" t="s">
        <v>181</v>
      </c>
    </row>
    <row r="5093" spans="1:11" x14ac:dyDescent="0.25">
      <c r="A5093" s="1" t="s">
        <v>15874</v>
      </c>
      <c r="B5093" s="1" t="s">
        <v>15875</v>
      </c>
      <c r="D5093" s="1" t="s">
        <v>15876</v>
      </c>
      <c r="E5093" s="1" t="s">
        <v>209</v>
      </c>
      <c r="F5093" s="1" t="s">
        <v>5017</v>
      </c>
      <c r="G5093" s="1" t="s">
        <v>5018</v>
      </c>
      <c r="H5093" s="1">
        <v>0.1</v>
      </c>
      <c r="I5093" s="1">
        <v>0.1</v>
      </c>
      <c r="J5093" s="1">
        <v>0.53032369637285059</v>
      </c>
      <c r="K5093" s="1" t="s">
        <v>181</v>
      </c>
    </row>
    <row r="5094" spans="1:11" x14ac:dyDescent="0.25">
      <c r="A5094" s="1" t="s">
        <v>15877</v>
      </c>
      <c r="B5094" s="1" t="s">
        <v>15878</v>
      </c>
      <c r="D5094" s="1" t="s">
        <v>15879</v>
      </c>
      <c r="E5094" s="1" t="s">
        <v>209</v>
      </c>
      <c r="F5094" s="1" t="s">
        <v>5017</v>
      </c>
      <c r="G5094" s="1" t="s">
        <v>5018</v>
      </c>
      <c r="H5094" s="1">
        <v>0.1</v>
      </c>
      <c r="I5094" s="1">
        <v>0.1</v>
      </c>
      <c r="J5094" s="1">
        <v>0.47550168047099473</v>
      </c>
      <c r="K5094" s="1" t="s">
        <v>181</v>
      </c>
    </row>
    <row r="5095" spans="1:11" x14ac:dyDescent="0.25">
      <c r="A5095" s="1" t="s">
        <v>15880</v>
      </c>
      <c r="B5095" s="1" t="s">
        <v>15881</v>
      </c>
      <c r="D5095" s="1" t="s">
        <v>15882</v>
      </c>
      <c r="E5095" s="1" t="s">
        <v>209</v>
      </c>
      <c r="F5095" s="1" t="s">
        <v>5017</v>
      </c>
      <c r="G5095" s="1" t="s">
        <v>5018</v>
      </c>
      <c r="H5095" s="1">
        <v>0.1</v>
      </c>
      <c r="I5095" s="1">
        <v>0.1</v>
      </c>
      <c r="J5095" s="1">
        <v>0.6711858980981632</v>
      </c>
      <c r="K5095" s="1" t="s">
        <v>181</v>
      </c>
    </row>
    <row r="5096" spans="1:11" x14ac:dyDescent="0.25">
      <c r="A5096" s="1" t="s">
        <v>15883</v>
      </c>
      <c r="B5096" s="1" t="s">
        <v>15884</v>
      </c>
      <c r="D5096" s="1" t="s">
        <v>15885</v>
      </c>
      <c r="E5096" s="1" t="s">
        <v>209</v>
      </c>
      <c r="F5096" s="1" t="s">
        <v>5017</v>
      </c>
      <c r="G5096" s="1" t="s">
        <v>5018</v>
      </c>
      <c r="H5096" s="1">
        <v>0.1</v>
      </c>
      <c r="I5096" s="1">
        <v>0.1</v>
      </c>
      <c r="J5096" s="1">
        <v>0.67355943361490689</v>
      </c>
      <c r="K5096" s="1" t="s">
        <v>181</v>
      </c>
    </row>
    <row r="5097" spans="1:11" x14ac:dyDescent="0.25">
      <c r="A5097" s="1" t="s">
        <v>15886</v>
      </c>
      <c r="B5097" s="1" t="s">
        <v>15887</v>
      </c>
      <c r="D5097" s="1" t="s">
        <v>15888</v>
      </c>
      <c r="E5097" s="1" t="s">
        <v>209</v>
      </c>
      <c r="F5097" s="1" t="s">
        <v>5017</v>
      </c>
      <c r="G5097" s="1" t="s">
        <v>5018</v>
      </c>
      <c r="H5097" s="1">
        <v>0.1</v>
      </c>
      <c r="I5097" s="1">
        <v>0.1</v>
      </c>
      <c r="J5097" s="1">
        <v>0.54629770779720721</v>
      </c>
      <c r="K5097" s="1" t="s">
        <v>181</v>
      </c>
    </row>
    <row r="5098" spans="1:11" x14ac:dyDescent="0.25">
      <c r="A5098" s="1" t="s">
        <v>15889</v>
      </c>
      <c r="B5098" s="1" t="s">
        <v>15890</v>
      </c>
      <c r="D5098" s="1" t="s">
        <v>15891</v>
      </c>
      <c r="E5098" s="1" t="s">
        <v>209</v>
      </c>
      <c r="F5098" s="1" t="s">
        <v>5017</v>
      </c>
      <c r="G5098" s="1" t="s">
        <v>5018</v>
      </c>
      <c r="H5098" s="1">
        <v>0.1</v>
      </c>
      <c r="I5098" s="1">
        <v>0.1</v>
      </c>
      <c r="J5098" s="1">
        <v>0.69591074857294066</v>
      </c>
      <c r="K5098" s="1" t="s">
        <v>181</v>
      </c>
    </row>
    <row r="5099" spans="1:11" x14ac:dyDescent="0.25">
      <c r="A5099" s="1" t="s">
        <v>15892</v>
      </c>
      <c r="B5099" s="1" t="s">
        <v>15893</v>
      </c>
      <c r="D5099" s="1" t="s">
        <v>15894</v>
      </c>
      <c r="E5099" s="1" t="s">
        <v>209</v>
      </c>
      <c r="F5099" s="1" t="s">
        <v>5017</v>
      </c>
      <c r="G5099" s="1" t="s">
        <v>5018</v>
      </c>
      <c r="H5099" s="1">
        <v>0.1</v>
      </c>
      <c r="I5099" s="1">
        <v>0.1</v>
      </c>
      <c r="J5099" s="1">
        <v>0.42647075736824569</v>
      </c>
      <c r="K5099" s="1" t="s">
        <v>181</v>
      </c>
    </row>
    <row r="5100" spans="1:11" x14ac:dyDescent="0.25">
      <c r="A5100" s="1" t="s">
        <v>15895</v>
      </c>
      <c r="B5100" s="1" t="s">
        <v>15896</v>
      </c>
      <c r="D5100" s="1" t="s">
        <v>15897</v>
      </c>
      <c r="E5100" s="1" t="s">
        <v>209</v>
      </c>
      <c r="F5100" s="1" t="s">
        <v>5017</v>
      </c>
      <c r="G5100" s="1" t="s">
        <v>5018</v>
      </c>
      <c r="H5100" s="1">
        <v>0.1</v>
      </c>
      <c r="I5100" s="1">
        <v>0.1</v>
      </c>
      <c r="J5100" s="1">
        <v>0.70516497951109225</v>
      </c>
      <c r="K5100" s="1" t="s">
        <v>181</v>
      </c>
    </row>
    <row r="5101" spans="1:11" x14ac:dyDescent="0.25">
      <c r="A5101" s="1" t="s">
        <v>15898</v>
      </c>
      <c r="B5101" s="1" t="s">
        <v>15899</v>
      </c>
      <c r="D5101" s="1" t="s">
        <v>15900</v>
      </c>
      <c r="E5101" s="1" t="s">
        <v>209</v>
      </c>
      <c r="F5101" s="1" t="s">
        <v>5017</v>
      </c>
      <c r="G5101" s="1" t="s">
        <v>5018</v>
      </c>
      <c r="H5101" s="1">
        <v>0.1</v>
      </c>
      <c r="I5101" s="1">
        <v>0.1</v>
      </c>
      <c r="J5101" s="1">
        <v>0.4738374410443984</v>
      </c>
      <c r="K5101" s="1" t="s">
        <v>181</v>
      </c>
    </row>
    <row r="5102" spans="1:11" x14ac:dyDescent="0.25">
      <c r="A5102" s="1" t="s">
        <v>15901</v>
      </c>
      <c r="B5102" s="1" t="s">
        <v>15902</v>
      </c>
      <c r="D5102" s="1" t="s">
        <v>15903</v>
      </c>
      <c r="E5102" s="1" t="s">
        <v>209</v>
      </c>
      <c r="F5102" s="1" t="s">
        <v>5017</v>
      </c>
      <c r="G5102" s="1" t="s">
        <v>5018</v>
      </c>
      <c r="H5102" s="1">
        <v>0.1</v>
      </c>
      <c r="I5102" s="1">
        <v>0.1</v>
      </c>
      <c r="J5102" s="1">
        <v>0.6318958216105921</v>
      </c>
      <c r="K5102" s="1" t="s">
        <v>181</v>
      </c>
    </row>
    <row r="5103" spans="1:11" x14ac:dyDescent="0.25">
      <c r="A5103" s="1" t="s">
        <v>15904</v>
      </c>
      <c r="B5103" s="1" t="s">
        <v>15905</v>
      </c>
      <c r="D5103" s="1" t="s">
        <v>15906</v>
      </c>
      <c r="E5103" s="1" t="s">
        <v>209</v>
      </c>
      <c r="F5103" s="1" t="s">
        <v>5017</v>
      </c>
      <c r="G5103" s="1" t="s">
        <v>5018</v>
      </c>
      <c r="H5103" s="1">
        <v>0.1</v>
      </c>
      <c r="I5103" s="1">
        <v>0.1</v>
      </c>
      <c r="J5103" s="1">
        <v>0.76707646527063844</v>
      </c>
      <c r="K5103" s="1" t="s">
        <v>181</v>
      </c>
    </row>
    <row r="5104" spans="1:11" x14ac:dyDescent="0.25">
      <c r="A5104" s="1" t="s">
        <v>15907</v>
      </c>
      <c r="B5104" s="1" t="s">
        <v>15908</v>
      </c>
      <c r="D5104" s="1" t="s">
        <v>15909</v>
      </c>
      <c r="E5104" s="1" t="s">
        <v>209</v>
      </c>
      <c r="F5104" s="1" t="s">
        <v>5017</v>
      </c>
      <c r="G5104" s="1" t="s">
        <v>5018</v>
      </c>
      <c r="H5104" s="1">
        <v>0.1</v>
      </c>
      <c r="I5104" s="1">
        <v>0.1</v>
      </c>
      <c r="J5104" s="1">
        <v>0.50766051004973944</v>
      </c>
      <c r="K5104" s="1" t="s">
        <v>181</v>
      </c>
    </row>
    <row r="5105" spans="1:11" x14ac:dyDescent="0.25">
      <c r="A5105" s="1" t="s">
        <v>15910</v>
      </c>
      <c r="B5105" s="1" t="s">
        <v>15911</v>
      </c>
      <c r="D5105" s="1" t="s">
        <v>15912</v>
      </c>
      <c r="E5105" s="1" t="s">
        <v>209</v>
      </c>
      <c r="F5105" s="1" t="s">
        <v>5017</v>
      </c>
      <c r="G5105" s="1" t="s">
        <v>5018</v>
      </c>
      <c r="H5105" s="1">
        <v>0.1</v>
      </c>
      <c r="I5105" s="1">
        <v>0.1</v>
      </c>
      <c r="J5105" s="1">
        <v>0.42704353693905178</v>
      </c>
      <c r="K5105" s="1" t="s">
        <v>181</v>
      </c>
    </row>
    <row r="5106" spans="1:11" x14ac:dyDescent="0.25">
      <c r="A5106" s="1" t="s">
        <v>15913</v>
      </c>
      <c r="B5106" s="1" t="s">
        <v>15914</v>
      </c>
      <c r="D5106" s="1" t="s">
        <v>15915</v>
      </c>
      <c r="E5106" s="1" t="s">
        <v>209</v>
      </c>
      <c r="F5106" s="1" t="s">
        <v>5017</v>
      </c>
      <c r="G5106" s="1" t="s">
        <v>5018</v>
      </c>
      <c r="H5106" s="1">
        <v>0.1</v>
      </c>
      <c r="I5106" s="1">
        <v>0.1</v>
      </c>
      <c r="J5106" s="1">
        <v>0.56261188713304555</v>
      </c>
      <c r="K5106" s="1" t="s">
        <v>181</v>
      </c>
    </row>
    <row r="5107" spans="1:11" x14ac:dyDescent="0.25">
      <c r="A5107" s="1" t="s">
        <v>15916</v>
      </c>
      <c r="B5107" s="1" t="s">
        <v>15917</v>
      </c>
      <c r="D5107" s="1" t="s">
        <v>15918</v>
      </c>
      <c r="E5107" s="1" t="s">
        <v>209</v>
      </c>
      <c r="F5107" s="1" t="s">
        <v>5017</v>
      </c>
      <c r="G5107" s="1" t="s">
        <v>5018</v>
      </c>
      <c r="H5107" s="1">
        <v>0.1</v>
      </c>
      <c r="I5107" s="1">
        <v>0.1</v>
      </c>
      <c r="J5107" s="1">
        <v>0.43289466004259913</v>
      </c>
      <c r="K5107" s="1" t="s">
        <v>181</v>
      </c>
    </row>
    <row r="5108" spans="1:11" x14ac:dyDescent="0.25">
      <c r="A5108" s="1" t="s">
        <v>15919</v>
      </c>
      <c r="B5108" s="1" t="s">
        <v>15920</v>
      </c>
      <c r="D5108" s="1" t="s">
        <v>15921</v>
      </c>
      <c r="E5108" s="1" t="s">
        <v>209</v>
      </c>
      <c r="F5108" s="1" t="s">
        <v>5017</v>
      </c>
      <c r="G5108" s="1" t="s">
        <v>5018</v>
      </c>
      <c r="H5108" s="1">
        <v>0.1</v>
      </c>
      <c r="I5108" s="1">
        <v>0.1</v>
      </c>
      <c r="J5108" s="1">
        <v>0.69007129381298271</v>
      </c>
      <c r="K5108" s="1" t="s">
        <v>181</v>
      </c>
    </row>
    <row r="5109" spans="1:11" x14ac:dyDescent="0.25">
      <c r="A5109" s="1" t="s">
        <v>15922</v>
      </c>
      <c r="B5109" s="1" t="s">
        <v>15923</v>
      </c>
      <c r="D5109" s="1" t="s">
        <v>15924</v>
      </c>
      <c r="E5109" s="1" t="s">
        <v>209</v>
      </c>
      <c r="F5109" s="1" t="s">
        <v>5017</v>
      </c>
      <c r="G5109" s="1" t="s">
        <v>5018</v>
      </c>
      <c r="H5109" s="1">
        <v>0.1</v>
      </c>
      <c r="I5109" s="1">
        <v>0.1</v>
      </c>
      <c r="J5109" s="1">
        <v>0.65887647906786817</v>
      </c>
      <c r="K5109" s="1" t="s">
        <v>181</v>
      </c>
    </row>
    <row r="5110" spans="1:11" x14ac:dyDescent="0.25">
      <c r="A5110" s="1" t="s">
        <v>15925</v>
      </c>
      <c r="B5110" s="1" t="s">
        <v>15926</v>
      </c>
      <c r="D5110" s="1" t="s">
        <v>15927</v>
      </c>
      <c r="E5110" s="1" t="s">
        <v>209</v>
      </c>
      <c r="F5110" s="1" t="s">
        <v>5017</v>
      </c>
      <c r="G5110" s="1" t="s">
        <v>5018</v>
      </c>
      <c r="H5110" s="1">
        <v>0.1</v>
      </c>
      <c r="I5110" s="1">
        <v>0.1</v>
      </c>
      <c r="J5110" s="1">
        <v>0.89845324334677723</v>
      </c>
      <c r="K5110" s="1" t="s">
        <v>181</v>
      </c>
    </row>
    <row r="5111" spans="1:11" x14ac:dyDescent="0.25">
      <c r="A5111" s="1" t="s">
        <v>15928</v>
      </c>
      <c r="B5111" s="1" t="s">
        <v>15929</v>
      </c>
      <c r="D5111" s="1" t="s">
        <v>15930</v>
      </c>
      <c r="E5111" s="1" t="s">
        <v>209</v>
      </c>
      <c r="F5111" s="1" t="s">
        <v>5017</v>
      </c>
      <c r="G5111" s="1" t="s">
        <v>5018</v>
      </c>
      <c r="H5111" s="1">
        <v>0.1</v>
      </c>
      <c r="I5111" s="1">
        <v>0.1</v>
      </c>
      <c r="J5111" s="1">
        <v>0.75797957450811182</v>
      </c>
      <c r="K5111" s="1" t="s">
        <v>181</v>
      </c>
    </row>
    <row r="5112" spans="1:11" x14ac:dyDescent="0.25">
      <c r="A5112" s="1" t="s">
        <v>15931</v>
      </c>
      <c r="B5112" s="1" t="s">
        <v>15932</v>
      </c>
      <c r="D5112" s="1" t="s">
        <v>15933</v>
      </c>
      <c r="E5112" s="1" t="s">
        <v>209</v>
      </c>
      <c r="F5112" s="1" t="s">
        <v>5017</v>
      </c>
      <c r="G5112" s="1" t="s">
        <v>5018</v>
      </c>
      <c r="H5112" s="1">
        <v>0.1</v>
      </c>
      <c r="I5112" s="1">
        <v>0.1</v>
      </c>
      <c r="J5112" s="1">
        <v>0.97623244651292906</v>
      </c>
      <c r="K5112" s="1" t="s">
        <v>181</v>
      </c>
    </row>
    <row r="5113" spans="1:11" x14ac:dyDescent="0.25">
      <c r="A5113" s="1" t="s">
        <v>15934</v>
      </c>
      <c r="B5113" s="1" t="s">
        <v>15935</v>
      </c>
      <c r="D5113" s="1" t="s">
        <v>15936</v>
      </c>
      <c r="E5113" s="1" t="s">
        <v>209</v>
      </c>
      <c r="F5113" s="1" t="s">
        <v>5017</v>
      </c>
      <c r="G5113" s="1" t="s">
        <v>5018</v>
      </c>
      <c r="H5113" s="1">
        <v>0.1</v>
      </c>
      <c r="I5113" s="1">
        <v>0.1</v>
      </c>
      <c r="J5113" s="1">
        <v>0.74547547906765277</v>
      </c>
      <c r="K5113" s="1" t="s">
        <v>181</v>
      </c>
    </row>
    <row r="5114" spans="1:11" x14ac:dyDescent="0.25">
      <c r="A5114" s="1" t="s">
        <v>15937</v>
      </c>
      <c r="B5114" s="1" t="s">
        <v>15938</v>
      </c>
      <c r="D5114" s="1" t="s">
        <v>15939</v>
      </c>
      <c r="E5114" s="1" t="s">
        <v>209</v>
      </c>
      <c r="F5114" s="1" t="s">
        <v>5017</v>
      </c>
      <c r="G5114" s="1" t="s">
        <v>5018</v>
      </c>
      <c r="H5114" s="1">
        <v>0.1</v>
      </c>
      <c r="I5114" s="1">
        <v>0.1</v>
      </c>
      <c r="J5114" s="1">
        <v>0.75840287855660249</v>
      </c>
      <c r="K5114" s="1" t="s">
        <v>181</v>
      </c>
    </row>
    <row r="5115" spans="1:11" x14ac:dyDescent="0.25">
      <c r="A5115" s="1" t="s">
        <v>15940</v>
      </c>
      <c r="B5115" s="1" t="s">
        <v>15941</v>
      </c>
      <c r="D5115" s="1" t="s">
        <v>15942</v>
      </c>
      <c r="E5115" s="1" t="s">
        <v>209</v>
      </c>
      <c r="F5115" s="1" t="s">
        <v>5017</v>
      </c>
      <c r="G5115" s="1" t="s">
        <v>5018</v>
      </c>
      <c r="H5115" s="1">
        <v>0.1</v>
      </c>
      <c r="I5115" s="1">
        <v>0.1</v>
      </c>
      <c r="J5115" s="1">
        <v>0.7830993905146616</v>
      </c>
      <c r="K5115" s="1" t="s">
        <v>181</v>
      </c>
    </row>
    <row r="5116" spans="1:11" x14ac:dyDescent="0.25">
      <c r="A5116" s="1" t="s">
        <v>15943</v>
      </c>
      <c r="B5116" s="1" t="s">
        <v>15944</v>
      </c>
      <c r="D5116" s="1" t="s">
        <v>15945</v>
      </c>
      <c r="E5116" s="1" t="s">
        <v>209</v>
      </c>
      <c r="F5116" s="1" t="s">
        <v>5017</v>
      </c>
      <c r="G5116" s="1" t="s">
        <v>5018</v>
      </c>
      <c r="H5116" s="1">
        <v>0.1</v>
      </c>
      <c r="I5116" s="1">
        <v>0.1</v>
      </c>
      <c r="J5116" s="1">
        <v>0.63076022626198636</v>
      </c>
      <c r="K5116" s="1" t="s">
        <v>181</v>
      </c>
    </row>
    <row r="5117" spans="1:11" x14ac:dyDescent="0.25">
      <c r="A5117" s="1" t="s">
        <v>15946</v>
      </c>
      <c r="B5117" s="1" t="s">
        <v>15947</v>
      </c>
      <c r="D5117" s="1" t="s">
        <v>15948</v>
      </c>
      <c r="E5117" s="1" t="s">
        <v>209</v>
      </c>
      <c r="F5117" s="1" t="s">
        <v>5017</v>
      </c>
      <c r="G5117" s="1" t="s">
        <v>5018</v>
      </c>
      <c r="H5117" s="1">
        <v>0.1</v>
      </c>
      <c r="I5117" s="1">
        <v>0.1</v>
      </c>
      <c r="J5117" s="1">
        <v>0.89346533811261231</v>
      </c>
      <c r="K5117" s="1" t="s">
        <v>181</v>
      </c>
    </row>
    <row r="5118" spans="1:11" x14ac:dyDescent="0.25">
      <c r="A5118" s="1" t="s">
        <v>15949</v>
      </c>
      <c r="B5118" s="1" t="s">
        <v>15950</v>
      </c>
      <c r="D5118" s="1" t="s">
        <v>15951</v>
      </c>
      <c r="E5118" s="1" t="s">
        <v>209</v>
      </c>
      <c r="F5118" s="1" t="s">
        <v>5017</v>
      </c>
      <c r="G5118" s="1" t="s">
        <v>5018</v>
      </c>
      <c r="H5118" s="1">
        <v>0.1</v>
      </c>
      <c r="I5118" s="1">
        <v>0.1</v>
      </c>
      <c r="J5118" s="1">
        <v>0.5111772633658026</v>
      </c>
      <c r="K5118" s="1" t="s">
        <v>181</v>
      </c>
    </row>
    <row r="5119" spans="1:11" x14ac:dyDescent="0.25">
      <c r="A5119" s="1" t="s">
        <v>15952</v>
      </c>
      <c r="B5119" s="1" t="s">
        <v>15953</v>
      </c>
      <c r="D5119" s="1" t="s">
        <v>15954</v>
      </c>
      <c r="E5119" s="1" t="s">
        <v>209</v>
      </c>
      <c r="F5119" s="1" t="s">
        <v>5017</v>
      </c>
      <c r="G5119" s="1" t="s">
        <v>5018</v>
      </c>
      <c r="H5119" s="1">
        <v>0.1</v>
      </c>
      <c r="I5119" s="1">
        <v>0.1</v>
      </c>
      <c r="J5119" s="1">
        <v>0.49065880773639703</v>
      </c>
      <c r="K5119" s="1" t="s">
        <v>181</v>
      </c>
    </row>
    <row r="5120" spans="1:11" x14ac:dyDescent="0.25">
      <c r="A5120" s="1" t="s">
        <v>15955</v>
      </c>
      <c r="B5120" s="1" t="s">
        <v>15956</v>
      </c>
      <c r="D5120" s="1" t="s">
        <v>15957</v>
      </c>
      <c r="E5120" s="1" t="s">
        <v>209</v>
      </c>
      <c r="F5120" s="1" t="s">
        <v>5017</v>
      </c>
      <c r="G5120" s="1" t="s">
        <v>5018</v>
      </c>
      <c r="H5120" s="1">
        <v>0.1</v>
      </c>
      <c r="I5120" s="1">
        <v>0.1</v>
      </c>
      <c r="J5120" s="1">
        <v>0.52403861362787585</v>
      </c>
      <c r="K5120" s="1" t="s">
        <v>181</v>
      </c>
    </row>
    <row r="5121" spans="1:11" x14ac:dyDescent="0.25">
      <c r="A5121" s="1" t="s">
        <v>15958</v>
      </c>
      <c r="B5121" s="1" t="s">
        <v>15959</v>
      </c>
      <c r="D5121" s="1" t="s">
        <v>15960</v>
      </c>
      <c r="E5121" s="1" t="s">
        <v>209</v>
      </c>
      <c r="F5121" s="1" t="s">
        <v>5017</v>
      </c>
      <c r="G5121" s="1" t="s">
        <v>5018</v>
      </c>
      <c r="H5121" s="1">
        <v>0.1</v>
      </c>
      <c r="I5121" s="1">
        <v>0.1</v>
      </c>
      <c r="J5121" s="1">
        <v>0.65142059238125039</v>
      </c>
      <c r="K5121" s="1" t="s">
        <v>181</v>
      </c>
    </row>
    <row r="5122" spans="1:11" x14ac:dyDescent="0.25">
      <c r="A5122" s="1" t="s">
        <v>15961</v>
      </c>
      <c r="B5122" s="1" t="s">
        <v>15962</v>
      </c>
      <c r="D5122" s="1" t="s">
        <v>15963</v>
      </c>
      <c r="E5122" s="1" t="s">
        <v>209</v>
      </c>
      <c r="F5122" s="1" t="s">
        <v>5017</v>
      </c>
      <c r="G5122" s="1" t="s">
        <v>5018</v>
      </c>
      <c r="H5122" s="1">
        <v>0.1</v>
      </c>
      <c r="I5122" s="1">
        <v>0.1</v>
      </c>
      <c r="J5122" s="1">
        <v>0.74368253012919361</v>
      </c>
      <c r="K5122" s="1" t="s">
        <v>181</v>
      </c>
    </row>
    <row r="5123" spans="1:11" x14ac:dyDescent="0.25">
      <c r="A5123" s="1" t="s">
        <v>15964</v>
      </c>
      <c r="B5123" s="1" t="s">
        <v>15965</v>
      </c>
      <c r="D5123" s="1" t="s">
        <v>15966</v>
      </c>
      <c r="E5123" s="1" t="s">
        <v>209</v>
      </c>
      <c r="F5123" s="1" t="s">
        <v>5017</v>
      </c>
      <c r="G5123" s="1" t="s">
        <v>5018</v>
      </c>
      <c r="H5123" s="1">
        <v>0.1</v>
      </c>
      <c r="I5123" s="1">
        <v>0.1</v>
      </c>
      <c r="J5123" s="1">
        <v>0.59836504078265795</v>
      </c>
      <c r="K5123" s="1" t="s">
        <v>181</v>
      </c>
    </row>
    <row r="5124" spans="1:11" x14ac:dyDescent="0.25">
      <c r="A5124" s="1" t="s">
        <v>15967</v>
      </c>
      <c r="B5124" s="1" t="s">
        <v>15968</v>
      </c>
      <c r="D5124" s="1" t="s">
        <v>15969</v>
      </c>
      <c r="E5124" s="1" t="s">
        <v>209</v>
      </c>
      <c r="F5124" s="1" t="s">
        <v>5017</v>
      </c>
      <c r="G5124" s="1" t="s">
        <v>5018</v>
      </c>
      <c r="H5124" s="1">
        <v>0.1</v>
      </c>
      <c r="I5124" s="1">
        <v>0.1</v>
      </c>
      <c r="J5124" s="1">
        <v>0.78758919723962173</v>
      </c>
      <c r="K5124" s="1" t="s">
        <v>181</v>
      </c>
    </row>
    <row r="5125" spans="1:11" x14ac:dyDescent="0.25">
      <c r="A5125" s="1" t="s">
        <v>15970</v>
      </c>
      <c r="B5125" s="1" t="s">
        <v>15971</v>
      </c>
      <c r="D5125" s="1" t="s">
        <v>15972</v>
      </c>
      <c r="E5125" s="1" t="s">
        <v>209</v>
      </c>
      <c r="F5125" s="1" t="s">
        <v>5017</v>
      </c>
      <c r="G5125" s="1" t="s">
        <v>5018</v>
      </c>
      <c r="H5125" s="1">
        <v>0.1</v>
      </c>
      <c r="I5125" s="1">
        <v>0.1</v>
      </c>
      <c r="J5125" s="1">
        <v>0.68222637726367674</v>
      </c>
      <c r="K5125" s="1" t="s">
        <v>181</v>
      </c>
    </row>
    <row r="5126" spans="1:11" x14ac:dyDescent="0.25">
      <c r="A5126" s="1" t="s">
        <v>15973</v>
      </c>
      <c r="B5126" s="1" t="s">
        <v>15974</v>
      </c>
      <c r="D5126" s="1" t="s">
        <v>15975</v>
      </c>
      <c r="E5126" s="1" t="s">
        <v>209</v>
      </c>
      <c r="F5126" s="1" t="s">
        <v>5017</v>
      </c>
      <c r="G5126" s="1" t="s">
        <v>5018</v>
      </c>
      <c r="H5126" s="1">
        <v>0.1</v>
      </c>
      <c r="I5126" s="1">
        <v>0.1</v>
      </c>
      <c r="J5126" s="1">
        <v>0.7440329548146335</v>
      </c>
      <c r="K5126" s="1" t="s">
        <v>181</v>
      </c>
    </row>
    <row r="5127" spans="1:11" x14ac:dyDescent="0.25">
      <c r="A5127" s="1" t="s">
        <v>15976</v>
      </c>
      <c r="B5127" s="1" t="s">
        <v>15977</v>
      </c>
      <c r="D5127" s="1" t="s">
        <v>15978</v>
      </c>
      <c r="E5127" s="1" t="s">
        <v>209</v>
      </c>
      <c r="F5127" s="1" t="s">
        <v>5017</v>
      </c>
      <c r="G5127" s="1" t="s">
        <v>5018</v>
      </c>
      <c r="H5127" s="1">
        <v>0.1</v>
      </c>
      <c r="I5127" s="1">
        <v>0.1</v>
      </c>
      <c r="J5127" s="1">
        <v>0.62500058548658954</v>
      </c>
      <c r="K5127" s="1" t="s">
        <v>181</v>
      </c>
    </row>
    <row r="5128" spans="1:11" x14ac:dyDescent="0.25">
      <c r="A5128" s="1" t="s">
        <v>15979</v>
      </c>
      <c r="B5128" s="1" t="s">
        <v>15980</v>
      </c>
      <c r="D5128" s="1" t="s">
        <v>15981</v>
      </c>
      <c r="E5128" s="1" t="s">
        <v>209</v>
      </c>
      <c r="F5128" s="1" t="s">
        <v>5017</v>
      </c>
      <c r="G5128" s="1" t="s">
        <v>5018</v>
      </c>
      <c r="H5128" s="1">
        <v>0.1</v>
      </c>
      <c r="I5128" s="1">
        <v>0.1</v>
      </c>
      <c r="J5128" s="1">
        <v>0.64375756707515486</v>
      </c>
      <c r="K5128" s="1" t="s">
        <v>181</v>
      </c>
    </row>
    <row r="5129" spans="1:11" x14ac:dyDescent="0.25">
      <c r="A5129" s="1" t="s">
        <v>15982</v>
      </c>
      <c r="B5129" s="1" t="s">
        <v>15983</v>
      </c>
      <c r="D5129" s="1" t="s">
        <v>15984</v>
      </c>
      <c r="E5129" s="1" t="s">
        <v>209</v>
      </c>
      <c r="F5129" s="1" t="s">
        <v>5017</v>
      </c>
      <c r="G5129" s="1" t="s">
        <v>5018</v>
      </c>
      <c r="H5129" s="1">
        <v>0.1</v>
      </c>
      <c r="I5129" s="1">
        <v>0.1</v>
      </c>
      <c r="J5129" s="1">
        <v>0.8279588871950091</v>
      </c>
      <c r="K5129" s="1" t="s">
        <v>181</v>
      </c>
    </row>
    <row r="5130" spans="1:11" x14ac:dyDescent="0.25">
      <c r="A5130" s="1" t="s">
        <v>15985</v>
      </c>
      <c r="B5130" s="1" t="s">
        <v>15986</v>
      </c>
      <c r="D5130" s="1" t="s">
        <v>15987</v>
      </c>
      <c r="E5130" s="1" t="s">
        <v>209</v>
      </c>
      <c r="F5130" s="1" t="s">
        <v>5017</v>
      </c>
      <c r="G5130" s="1" t="s">
        <v>5018</v>
      </c>
      <c r="H5130" s="1">
        <v>0.1</v>
      </c>
      <c r="I5130" s="1">
        <v>0.1</v>
      </c>
      <c r="J5130" s="1">
        <v>0.89013893458008919</v>
      </c>
      <c r="K5130" s="1" t="s">
        <v>181</v>
      </c>
    </row>
    <row r="5131" spans="1:11" x14ac:dyDescent="0.25">
      <c r="A5131" s="1" t="s">
        <v>15988</v>
      </c>
      <c r="B5131" s="1" t="s">
        <v>15989</v>
      </c>
      <c r="D5131" s="1" t="s">
        <v>15990</v>
      </c>
      <c r="E5131" s="1" t="s">
        <v>209</v>
      </c>
      <c r="F5131" s="1" t="s">
        <v>5017</v>
      </c>
      <c r="G5131" s="1" t="s">
        <v>5018</v>
      </c>
      <c r="H5131" s="1">
        <v>0.1</v>
      </c>
      <c r="I5131" s="1">
        <v>0.1</v>
      </c>
      <c r="J5131" s="1">
        <v>0.92693191847716094</v>
      </c>
      <c r="K5131" s="1" t="s">
        <v>181</v>
      </c>
    </row>
    <row r="5132" spans="1:11" x14ac:dyDescent="0.25">
      <c r="A5132" s="1" t="s">
        <v>15991</v>
      </c>
      <c r="B5132" s="1" t="s">
        <v>15992</v>
      </c>
      <c r="D5132" s="1" t="s">
        <v>15993</v>
      </c>
      <c r="E5132" s="1" t="s">
        <v>209</v>
      </c>
      <c r="F5132" s="1" t="s">
        <v>5017</v>
      </c>
      <c r="G5132" s="1" t="s">
        <v>5018</v>
      </c>
      <c r="H5132" s="1">
        <v>0.1</v>
      </c>
      <c r="I5132" s="1">
        <v>0.1</v>
      </c>
      <c r="J5132" s="1">
        <v>0.89895739006140629</v>
      </c>
      <c r="K5132" s="1" t="s">
        <v>181</v>
      </c>
    </row>
    <row r="5133" spans="1:11" x14ac:dyDescent="0.25">
      <c r="A5133" s="1" t="s">
        <v>15994</v>
      </c>
      <c r="B5133" s="1" t="s">
        <v>15995</v>
      </c>
      <c r="D5133" s="1" t="s">
        <v>15996</v>
      </c>
      <c r="E5133" s="1" t="s">
        <v>209</v>
      </c>
      <c r="F5133" s="1" t="s">
        <v>5017</v>
      </c>
      <c r="G5133" s="1" t="s">
        <v>5018</v>
      </c>
      <c r="H5133" s="1">
        <v>0.1</v>
      </c>
      <c r="I5133" s="1">
        <v>0.1</v>
      </c>
      <c r="J5133" s="1">
        <v>0.74430582593199579</v>
      </c>
      <c r="K5133" s="1" t="s">
        <v>181</v>
      </c>
    </row>
    <row r="5134" spans="1:11" x14ac:dyDescent="0.25">
      <c r="A5134" s="1" t="s">
        <v>15997</v>
      </c>
      <c r="B5134" s="1" t="s">
        <v>15998</v>
      </c>
      <c r="D5134" s="1" t="s">
        <v>15999</v>
      </c>
      <c r="E5134" s="1" t="s">
        <v>209</v>
      </c>
      <c r="F5134" s="1" t="s">
        <v>5017</v>
      </c>
      <c r="G5134" s="1" t="s">
        <v>5018</v>
      </c>
      <c r="H5134" s="1">
        <v>0.1</v>
      </c>
      <c r="I5134" s="1">
        <v>0.1</v>
      </c>
      <c r="J5134" s="1">
        <v>0.75074022228221904</v>
      </c>
      <c r="K5134" s="1" t="s">
        <v>181</v>
      </c>
    </row>
    <row r="5135" spans="1:11" x14ac:dyDescent="0.25">
      <c r="A5135" s="1" t="s">
        <v>16000</v>
      </c>
      <c r="B5135" s="1" t="s">
        <v>16001</v>
      </c>
      <c r="D5135" s="1" t="s">
        <v>16002</v>
      </c>
      <c r="E5135" s="1" t="s">
        <v>209</v>
      </c>
      <c r="F5135" s="1" t="s">
        <v>5017</v>
      </c>
      <c r="G5135" s="1" t="s">
        <v>5018</v>
      </c>
      <c r="H5135" s="1">
        <v>0.1</v>
      </c>
      <c r="I5135" s="1">
        <v>0.1</v>
      </c>
      <c r="J5135" s="1">
        <v>0.7135047360053397</v>
      </c>
      <c r="K5135" s="1" t="s">
        <v>181</v>
      </c>
    </row>
    <row r="5136" spans="1:11" x14ac:dyDescent="0.25">
      <c r="A5136" s="1" t="s">
        <v>16003</v>
      </c>
      <c r="B5136" s="1" t="s">
        <v>16004</v>
      </c>
      <c r="D5136" s="1" t="s">
        <v>16005</v>
      </c>
      <c r="E5136" s="1" t="s">
        <v>209</v>
      </c>
      <c r="F5136" s="1" t="s">
        <v>5017</v>
      </c>
      <c r="G5136" s="1" t="s">
        <v>5018</v>
      </c>
      <c r="H5136" s="1">
        <v>0.1</v>
      </c>
      <c r="I5136" s="1">
        <v>0.1</v>
      </c>
      <c r="J5136" s="1">
        <v>0.8279163151615484</v>
      </c>
      <c r="K5136" s="1" t="s">
        <v>181</v>
      </c>
    </row>
    <row r="5137" spans="1:11" x14ac:dyDescent="0.25">
      <c r="A5137" s="1" t="s">
        <v>16006</v>
      </c>
      <c r="B5137" s="1" t="s">
        <v>16007</v>
      </c>
      <c r="D5137" s="1" t="s">
        <v>16008</v>
      </c>
      <c r="E5137" s="1" t="s">
        <v>209</v>
      </c>
      <c r="F5137" s="1" t="s">
        <v>5017</v>
      </c>
      <c r="G5137" s="1" t="s">
        <v>5018</v>
      </c>
      <c r="H5137" s="1">
        <v>0.1</v>
      </c>
      <c r="I5137" s="1">
        <v>0.1</v>
      </c>
      <c r="J5137" s="1">
        <v>0.67560803202751929</v>
      </c>
      <c r="K5137" s="1" t="s">
        <v>181</v>
      </c>
    </row>
    <row r="5138" spans="1:11" x14ac:dyDescent="0.25">
      <c r="A5138" s="1" t="s">
        <v>16009</v>
      </c>
      <c r="B5138" s="1" t="s">
        <v>16010</v>
      </c>
      <c r="D5138" s="1" t="s">
        <v>16011</v>
      </c>
      <c r="E5138" s="1" t="s">
        <v>209</v>
      </c>
      <c r="F5138" s="1" t="s">
        <v>5017</v>
      </c>
      <c r="G5138" s="1" t="s">
        <v>5018</v>
      </c>
      <c r="H5138" s="1">
        <v>0.1</v>
      </c>
      <c r="I5138" s="1">
        <v>0.1</v>
      </c>
      <c r="J5138" s="1">
        <v>1.1490613257431543</v>
      </c>
      <c r="K5138" s="1" t="s">
        <v>181</v>
      </c>
    </row>
    <row r="5139" spans="1:11" x14ac:dyDescent="0.25">
      <c r="A5139" s="1" t="s">
        <v>16012</v>
      </c>
      <c r="B5139" s="1" t="s">
        <v>16013</v>
      </c>
      <c r="D5139" s="1" t="s">
        <v>16014</v>
      </c>
      <c r="E5139" s="1" t="s">
        <v>209</v>
      </c>
      <c r="F5139" s="1" t="s">
        <v>5017</v>
      </c>
      <c r="G5139" s="1" t="s">
        <v>5018</v>
      </c>
      <c r="H5139" s="1">
        <v>0.1</v>
      </c>
      <c r="I5139" s="1">
        <v>0.1</v>
      </c>
      <c r="J5139" s="1">
        <v>0.7751765736602646</v>
      </c>
      <c r="K5139" s="1" t="s">
        <v>181</v>
      </c>
    </row>
    <row r="5140" spans="1:11" x14ac:dyDescent="0.25">
      <c r="A5140" s="1" t="s">
        <v>113</v>
      </c>
      <c r="B5140" s="1" t="s">
        <v>16015</v>
      </c>
      <c r="D5140" s="1" t="s">
        <v>16016</v>
      </c>
      <c r="E5140" s="1" t="s">
        <v>209</v>
      </c>
      <c r="F5140" s="1" t="s">
        <v>5017</v>
      </c>
      <c r="G5140" s="1" t="s">
        <v>5018</v>
      </c>
      <c r="H5140" s="1">
        <v>0.1</v>
      </c>
      <c r="I5140" s="1">
        <v>0.1</v>
      </c>
      <c r="J5140" s="1">
        <v>0.52689171491897258</v>
      </c>
      <c r="K5140" s="1" t="s">
        <v>181</v>
      </c>
    </row>
    <row r="5141" spans="1:11" x14ac:dyDescent="0.25">
      <c r="A5141" s="1" t="s">
        <v>16017</v>
      </c>
      <c r="B5141" s="1" t="s">
        <v>16018</v>
      </c>
      <c r="D5141" s="1" t="s">
        <v>16019</v>
      </c>
      <c r="E5141" s="1" t="s">
        <v>209</v>
      </c>
      <c r="F5141" s="1" t="s">
        <v>5017</v>
      </c>
      <c r="G5141" s="1" t="s">
        <v>5018</v>
      </c>
      <c r="H5141" s="1">
        <v>0.1</v>
      </c>
      <c r="I5141" s="1">
        <v>0.1</v>
      </c>
      <c r="J5141" s="1">
        <v>0.75843600018391266</v>
      </c>
      <c r="K5141" s="1" t="s">
        <v>181</v>
      </c>
    </row>
    <row r="5142" spans="1:11" x14ac:dyDescent="0.25">
      <c r="A5142" s="1" t="s">
        <v>16020</v>
      </c>
      <c r="B5142" s="1" t="s">
        <v>16021</v>
      </c>
      <c r="D5142" s="1" t="s">
        <v>16022</v>
      </c>
      <c r="E5142" s="1" t="s">
        <v>209</v>
      </c>
      <c r="F5142" s="1" t="s">
        <v>5017</v>
      </c>
      <c r="G5142" s="1" t="s">
        <v>5018</v>
      </c>
      <c r="H5142" s="1">
        <v>0.1</v>
      </c>
      <c r="I5142" s="1">
        <v>0.1</v>
      </c>
      <c r="J5142" s="1">
        <v>1.1432415475954085</v>
      </c>
      <c r="K5142" s="1" t="s">
        <v>181</v>
      </c>
    </row>
    <row r="5143" spans="1:11" x14ac:dyDescent="0.25">
      <c r="A5143" s="1" t="s">
        <v>16023</v>
      </c>
      <c r="B5143" s="1" t="s">
        <v>16024</v>
      </c>
      <c r="D5143" s="1" t="s">
        <v>16025</v>
      </c>
      <c r="E5143" s="1" t="s">
        <v>209</v>
      </c>
      <c r="F5143" s="1" t="s">
        <v>5017</v>
      </c>
      <c r="G5143" s="1" t="s">
        <v>5018</v>
      </c>
      <c r="H5143" s="1">
        <v>0.1</v>
      </c>
      <c r="I5143" s="1">
        <v>0.1</v>
      </c>
      <c r="J5143" s="1">
        <v>0.64416477954955487</v>
      </c>
      <c r="K5143" s="1" t="s">
        <v>181</v>
      </c>
    </row>
    <row r="5144" spans="1:11" x14ac:dyDescent="0.25">
      <c r="A5144" s="1" t="s">
        <v>16026</v>
      </c>
      <c r="B5144" s="1" t="s">
        <v>16027</v>
      </c>
      <c r="D5144" s="1" t="s">
        <v>16028</v>
      </c>
      <c r="E5144" s="1" t="s">
        <v>209</v>
      </c>
      <c r="F5144" s="1" t="s">
        <v>5017</v>
      </c>
      <c r="G5144" s="1" t="s">
        <v>5018</v>
      </c>
      <c r="H5144" s="1">
        <v>0.1</v>
      </c>
      <c r="I5144" s="1">
        <v>0.1</v>
      </c>
      <c r="J5144" s="1">
        <v>0.72947095676545859</v>
      </c>
      <c r="K5144" s="1" t="s">
        <v>181</v>
      </c>
    </row>
    <row r="5145" spans="1:11" x14ac:dyDescent="0.25">
      <c r="A5145" s="1" t="s">
        <v>16029</v>
      </c>
      <c r="B5145" s="1" t="s">
        <v>16030</v>
      </c>
      <c r="D5145" s="1" t="s">
        <v>16031</v>
      </c>
      <c r="E5145" s="1" t="s">
        <v>209</v>
      </c>
      <c r="F5145" s="1" t="s">
        <v>5017</v>
      </c>
      <c r="G5145" s="1" t="s">
        <v>5018</v>
      </c>
      <c r="H5145" s="1">
        <v>0.1</v>
      </c>
      <c r="I5145" s="1">
        <v>0.1</v>
      </c>
      <c r="J5145" s="1">
        <v>0.76137204836092143</v>
      </c>
      <c r="K5145" s="1" t="s">
        <v>181</v>
      </c>
    </row>
    <row r="5146" spans="1:11" x14ac:dyDescent="0.25">
      <c r="A5146" s="1" t="s">
        <v>16032</v>
      </c>
      <c r="B5146" s="1" t="s">
        <v>16033</v>
      </c>
      <c r="D5146" s="1" t="s">
        <v>16034</v>
      </c>
      <c r="E5146" s="1" t="s">
        <v>209</v>
      </c>
      <c r="F5146" s="1" t="s">
        <v>5017</v>
      </c>
      <c r="G5146" s="1" t="s">
        <v>5018</v>
      </c>
      <c r="H5146" s="1">
        <v>0.1</v>
      </c>
      <c r="I5146" s="1">
        <v>0.1</v>
      </c>
      <c r="J5146" s="1">
        <v>0.77095777233787965</v>
      </c>
      <c r="K5146" s="1" t="s">
        <v>181</v>
      </c>
    </row>
    <row r="5147" spans="1:11" x14ac:dyDescent="0.25">
      <c r="A5147" s="1" t="s">
        <v>16035</v>
      </c>
      <c r="B5147" s="1" t="s">
        <v>16036</v>
      </c>
      <c r="D5147" s="1" t="s">
        <v>16037</v>
      </c>
      <c r="E5147" s="1" t="s">
        <v>209</v>
      </c>
      <c r="F5147" s="1" t="s">
        <v>5017</v>
      </c>
      <c r="G5147" s="1" t="s">
        <v>5018</v>
      </c>
      <c r="H5147" s="1">
        <v>0.1</v>
      </c>
      <c r="I5147" s="1">
        <v>0.1</v>
      </c>
      <c r="J5147" s="1">
        <v>0.83163558047550135</v>
      </c>
      <c r="K5147" s="1" t="s">
        <v>181</v>
      </c>
    </row>
    <row r="5148" spans="1:11" x14ac:dyDescent="0.25">
      <c r="A5148" s="1" t="s">
        <v>16038</v>
      </c>
      <c r="B5148" s="1" t="s">
        <v>16039</v>
      </c>
      <c r="D5148" s="1" t="s">
        <v>16040</v>
      </c>
      <c r="E5148" s="1" t="s">
        <v>209</v>
      </c>
      <c r="F5148" s="1" t="s">
        <v>5017</v>
      </c>
      <c r="G5148" s="1" t="s">
        <v>5018</v>
      </c>
      <c r="H5148" s="1">
        <v>0.1</v>
      </c>
      <c r="I5148" s="1">
        <v>0.1</v>
      </c>
      <c r="J5148" s="1">
        <v>0.85349373362877667</v>
      </c>
      <c r="K5148" s="1" t="s">
        <v>181</v>
      </c>
    </row>
    <row r="5149" spans="1:11" x14ac:dyDescent="0.25">
      <c r="A5149" s="1" t="s">
        <v>16041</v>
      </c>
      <c r="B5149" s="1" t="s">
        <v>16042</v>
      </c>
      <c r="D5149" s="1" t="s">
        <v>16043</v>
      </c>
      <c r="E5149" s="1" t="s">
        <v>209</v>
      </c>
      <c r="F5149" s="1" t="s">
        <v>5017</v>
      </c>
      <c r="G5149" s="1" t="s">
        <v>5018</v>
      </c>
      <c r="H5149" s="1">
        <v>0.1</v>
      </c>
      <c r="I5149" s="1">
        <v>0.1</v>
      </c>
      <c r="J5149" s="1">
        <v>0.73564022080726232</v>
      </c>
      <c r="K5149" s="1" t="s">
        <v>181</v>
      </c>
    </row>
    <row r="5150" spans="1:11" x14ac:dyDescent="0.25">
      <c r="A5150" s="1" t="s">
        <v>16044</v>
      </c>
      <c r="B5150" s="1" t="s">
        <v>16045</v>
      </c>
      <c r="D5150" s="1" t="s">
        <v>16046</v>
      </c>
      <c r="E5150" s="1" t="s">
        <v>209</v>
      </c>
      <c r="F5150" s="1" t="s">
        <v>5017</v>
      </c>
      <c r="G5150" s="1" t="s">
        <v>5018</v>
      </c>
      <c r="H5150" s="1">
        <v>0.1</v>
      </c>
      <c r="I5150" s="1">
        <v>0.1</v>
      </c>
      <c r="J5150" s="1">
        <v>0.77683933570620656</v>
      </c>
      <c r="K5150" s="1" t="s">
        <v>181</v>
      </c>
    </row>
    <row r="5151" spans="1:11" x14ac:dyDescent="0.25">
      <c r="A5151" s="1" t="s">
        <v>16047</v>
      </c>
      <c r="B5151" s="1" t="s">
        <v>16048</v>
      </c>
      <c r="D5151" s="1" t="s">
        <v>16049</v>
      </c>
      <c r="E5151" s="1" t="s">
        <v>209</v>
      </c>
      <c r="F5151" s="1" t="s">
        <v>5017</v>
      </c>
      <c r="G5151" s="1" t="s">
        <v>5018</v>
      </c>
      <c r="H5151" s="1">
        <v>0.1</v>
      </c>
      <c r="I5151" s="1">
        <v>0.1</v>
      </c>
      <c r="J5151" s="1">
        <v>0.9139577394265409</v>
      </c>
      <c r="K5151" s="1" t="s">
        <v>181</v>
      </c>
    </row>
    <row r="5152" spans="1:11" x14ac:dyDescent="0.25">
      <c r="A5152" s="1" t="s">
        <v>16050</v>
      </c>
      <c r="B5152" s="1" t="s">
        <v>16051</v>
      </c>
      <c r="D5152" s="1" t="s">
        <v>16052</v>
      </c>
      <c r="E5152" s="1" t="s">
        <v>209</v>
      </c>
      <c r="F5152" s="1" t="s">
        <v>5017</v>
      </c>
      <c r="G5152" s="1" t="s">
        <v>5018</v>
      </c>
      <c r="H5152" s="1">
        <v>0.1</v>
      </c>
      <c r="I5152" s="1">
        <v>0.1</v>
      </c>
      <c r="J5152" s="1">
        <v>0.84852261666661266</v>
      </c>
      <c r="K5152" s="1" t="s">
        <v>181</v>
      </c>
    </row>
    <row r="5153" spans="1:11" x14ac:dyDescent="0.25">
      <c r="A5153" s="1" t="s">
        <v>16053</v>
      </c>
      <c r="B5153" s="1" t="s">
        <v>16054</v>
      </c>
      <c r="D5153" s="1" t="s">
        <v>16055</v>
      </c>
      <c r="E5153" s="1" t="s">
        <v>209</v>
      </c>
      <c r="F5153" s="1" t="s">
        <v>5017</v>
      </c>
      <c r="G5153" s="1" t="s">
        <v>5018</v>
      </c>
      <c r="H5153" s="1">
        <v>0.1</v>
      </c>
      <c r="I5153" s="1">
        <v>0.1</v>
      </c>
      <c r="J5153" s="1">
        <v>0.67986228544404592</v>
      </c>
      <c r="K5153" s="1" t="s">
        <v>181</v>
      </c>
    </row>
    <row r="5154" spans="1:11" x14ac:dyDescent="0.25">
      <c r="A5154" s="1" t="s">
        <v>16056</v>
      </c>
      <c r="B5154" s="1" t="s">
        <v>16057</v>
      </c>
      <c r="D5154" s="1" t="s">
        <v>16058</v>
      </c>
      <c r="E5154" s="1" t="s">
        <v>209</v>
      </c>
      <c r="F5154" s="1" t="s">
        <v>5017</v>
      </c>
      <c r="G5154" s="1" t="s">
        <v>5018</v>
      </c>
      <c r="H5154" s="1">
        <v>0.1</v>
      </c>
      <c r="I5154" s="1">
        <v>0.1</v>
      </c>
      <c r="J5154" s="1">
        <v>0.77378685943799397</v>
      </c>
      <c r="K5154" s="1" t="s">
        <v>181</v>
      </c>
    </row>
    <row r="5155" spans="1:11" x14ac:dyDescent="0.25">
      <c r="A5155" s="1" t="s">
        <v>16059</v>
      </c>
      <c r="B5155" s="1" t="s">
        <v>16060</v>
      </c>
      <c r="D5155" s="1" t="s">
        <v>16061</v>
      </c>
      <c r="E5155" s="1" t="s">
        <v>209</v>
      </c>
      <c r="F5155" s="1" t="s">
        <v>5017</v>
      </c>
      <c r="G5155" s="1" t="s">
        <v>5018</v>
      </c>
      <c r="H5155" s="1">
        <v>0.1</v>
      </c>
      <c r="I5155" s="1">
        <v>0.1</v>
      </c>
      <c r="J5155" s="1">
        <v>0.44343181224498779</v>
      </c>
      <c r="K5155" s="1" t="s">
        <v>181</v>
      </c>
    </row>
    <row r="5156" spans="1:11" x14ac:dyDescent="0.25">
      <c r="A5156" s="1" t="s">
        <v>16062</v>
      </c>
      <c r="B5156" s="1" t="s">
        <v>16063</v>
      </c>
      <c r="D5156" s="1" t="s">
        <v>16064</v>
      </c>
      <c r="E5156" s="1" t="s">
        <v>209</v>
      </c>
      <c r="F5156" s="1" t="s">
        <v>5017</v>
      </c>
      <c r="G5156" s="1" t="s">
        <v>5018</v>
      </c>
      <c r="H5156" s="1">
        <v>0.1</v>
      </c>
      <c r="I5156" s="1">
        <v>0.1</v>
      </c>
      <c r="J5156" s="1">
        <v>0.71539217077300365</v>
      </c>
      <c r="K5156" s="1" t="s">
        <v>181</v>
      </c>
    </row>
    <row r="5157" spans="1:11" x14ac:dyDescent="0.25">
      <c r="A5157" s="1" t="s">
        <v>16065</v>
      </c>
      <c r="B5157" s="1" t="s">
        <v>16066</v>
      </c>
      <c r="D5157" s="1" t="s">
        <v>16067</v>
      </c>
      <c r="E5157" s="1" t="s">
        <v>209</v>
      </c>
      <c r="F5157" s="1" t="s">
        <v>5017</v>
      </c>
      <c r="G5157" s="1" t="s">
        <v>5018</v>
      </c>
      <c r="H5157" s="1">
        <v>0.1</v>
      </c>
      <c r="I5157" s="1">
        <v>0.1</v>
      </c>
      <c r="J5157" s="1">
        <v>0.44789146686767323</v>
      </c>
      <c r="K5157" s="1" t="s">
        <v>181</v>
      </c>
    </row>
    <row r="5158" spans="1:11" x14ac:dyDescent="0.25">
      <c r="A5158" s="1" t="s">
        <v>16068</v>
      </c>
      <c r="B5158" s="1" t="s">
        <v>16069</v>
      </c>
      <c r="D5158" s="1" t="s">
        <v>16070</v>
      </c>
      <c r="E5158" s="1" t="s">
        <v>209</v>
      </c>
      <c r="F5158" s="1" t="s">
        <v>5017</v>
      </c>
      <c r="G5158" s="1" t="s">
        <v>5018</v>
      </c>
      <c r="H5158" s="1">
        <v>0.1</v>
      </c>
      <c r="I5158" s="1">
        <v>0.1</v>
      </c>
      <c r="J5158" s="1">
        <v>0.82897313993349298</v>
      </c>
      <c r="K5158" s="1" t="s">
        <v>181</v>
      </c>
    </row>
    <row r="5159" spans="1:11" x14ac:dyDescent="0.25">
      <c r="A5159" s="1" t="s">
        <v>69</v>
      </c>
      <c r="B5159" s="1" t="s">
        <v>16071</v>
      </c>
      <c r="D5159" s="1" t="s">
        <v>16072</v>
      </c>
      <c r="E5159" s="1" t="s">
        <v>209</v>
      </c>
      <c r="F5159" s="1" t="s">
        <v>5017</v>
      </c>
      <c r="G5159" s="1" t="s">
        <v>5018</v>
      </c>
      <c r="H5159" s="1">
        <v>0.1</v>
      </c>
      <c r="I5159" s="1">
        <v>0.1</v>
      </c>
      <c r="J5159" s="1">
        <v>0.57058331257138784</v>
      </c>
      <c r="K5159" s="1" t="s">
        <v>181</v>
      </c>
    </row>
    <row r="5160" spans="1:11" x14ac:dyDescent="0.25">
      <c r="A5160" s="1" t="s">
        <v>16073</v>
      </c>
      <c r="B5160" s="1" t="s">
        <v>16074</v>
      </c>
      <c r="D5160" s="1" t="s">
        <v>16075</v>
      </c>
      <c r="E5160" s="1" t="s">
        <v>209</v>
      </c>
      <c r="F5160" s="1" t="s">
        <v>5017</v>
      </c>
      <c r="G5160" s="1" t="s">
        <v>5018</v>
      </c>
      <c r="H5160" s="1">
        <v>0.1</v>
      </c>
      <c r="I5160" s="1">
        <v>0.1</v>
      </c>
      <c r="J5160" s="1">
        <v>0.67572337456862697</v>
      </c>
      <c r="K5160" s="1" t="s">
        <v>181</v>
      </c>
    </row>
    <row r="5161" spans="1:11" x14ac:dyDescent="0.25">
      <c r="A5161" s="1" t="s">
        <v>16076</v>
      </c>
      <c r="B5161" s="1" t="s">
        <v>16077</v>
      </c>
      <c r="D5161" s="1" t="s">
        <v>16078</v>
      </c>
      <c r="E5161" s="1" t="s">
        <v>209</v>
      </c>
      <c r="F5161" s="1" t="s">
        <v>5017</v>
      </c>
      <c r="G5161" s="1" t="s">
        <v>5018</v>
      </c>
      <c r="H5161" s="1">
        <v>0.1</v>
      </c>
      <c r="I5161" s="1">
        <v>0.1</v>
      </c>
      <c r="J5161" s="1">
        <v>0.90536794347773386</v>
      </c>
      <c r="K5161" s="1" t="s">
        <v>181</v>
      </c>
    </row>
    <row r="5162" spans="1:11" x14ac:dyDescent="0.25">
      <c r="A5162" s="1" t="s">
        <v>16079</v>
      </c>
      <c r="B5162" s="1" t="s">
        <v>16080</v>
      </c>
      <c r="D5162" s="1" t="s">
        <v>16081</v>
      </c>
      <c r="E5162" s="1" t="s">
        <v>209</v>
      </c>
      <c r="F5162" s="1" t="s">
        <v>5017</v>
      </c>
      <c r="G5162" s="1" t="s">
        <v>5018</v>
      </c>
      <c r="H5162" s="1">
        <v>0.1</v>
      </c>
      <c r="I5162" s="1">
        <v>0.1</v>
      </c>
      <c r="J5162" s="1">
        <v>0.75840085373867505</v>
      </c>
      <c r="K5162" s="1" t="s">
        <v>181</v>
      </c>
    </row>
    <row r="5163" spans="1:11" x14ac:dyDescent="0.25">
      <c r="A5163" s="1" t="s">
        <v>16082</v>
      </c>
      <c r="B5163" s="1" t="s">
        <v>16083</v>
      </c>
      <c r="D5163" s="1" t="s">
        <v>16084</v>
      </c>
      <c r="E5163" s="1" t="s">
        <v>209</v>
      </c>
      <c r="F5163" s="1" t="s">
        <v>5017</v>
      </c>
      <c r="G5163" s="1" t="s">
        <v>5018</v>
      </c>
      <c r="H5163" s="1">
        <v>0.1</v>
      </c>
      <c r="I5163" s="1">
        <v>0.1</v>
      </c>
      <c r="J5163" s="1">
        <v>0.6262169479284394</v>
      </c>
      <c r="K5163" s="1" t="s">
        <v>181</v>
      </c>
    </row>
    <row r="5164" spans="1:11" x14ac:dyDescent="0.25">
      <c r="A5164" s="1" t="s">
        <v>16085</v>
      </c>
      <c r="B5164" s="1" t="s">
        <v>16086</v>
      </c>
      <c r="D5164" s="1" t="s">
        <v>16087</v>
      </c>
      <c r="E5164" s="1" t="s">
        <v>209</v>
      </c>
      <c r="F5164" s="1" t="s">
        <v>5017</v>
      </c>
      <c r="G5164" s="1" t="s">
        <v>5018</v>
      </c>
      <c r="H5164" s="1">
        <v>0.1</v>
      </c>
      <c r="I5164" s="1">
        <v>0.1</v>
      </c>
      <c r="J5164" s="1">
        <v>0.6236969766177789</v>
      </c>
      <c r="K5164" s="1" t="s">
        <v>181</v>
      </c>
    </row>
    <row r="5165" spans="1:11" x14ac:dyDescent="0.25">
      <c r="A5165" s="1" t="s">
        <v>16088</v>
      </c>
      <c r="B5165" s="1" t="s">
        <v>16089</v>
      </c>
      <c r="D5165" s="1" t="s">
        <v>16090</v>
      </c>
      <c r="E5165" s="1" t="s">
        <v>209</v>
      </c>
      <c r="F5165" s="1" t="s">
        <v>5017</v>
      </c>
      <c r="G5165" s="1" t="s">
        <v>5018</v>
      </c>
      <c r="H5165" s="1">
        <v>0.1</v>
      </c>
      <c r="I5165" s="1">
        <v>0.1</v>
      </c>
      <c r="J5165" s="1">
        <v>0.48201502673965485</v>
      </c>
      <c r="K5165" s="1" t="s">
        <v>181</v>
      </c>
    </row>
    <row r="5166" spans="1:11" x14ac:dyDescent="0.25">
      <c r="A5166" s="1" t="s">
        <v>16091</v>
      </c>
      <c r="B5166" s="1" t="s">
        <v>16092</v>
      </c>
      <c r="D5166" s="1" t="s">
        <v>16093</v>
      </c>
      <c r="E5166" s="1" t="s">
        <v>209</v>
      </c>
      <c r="F5166" s="1" t="s">
        <v>5017</v>
      </c>
      <c r="G5166" s="1" t="s">
        <v>5018</v>
      </c>
      <c r="H5166" s="1">
        <v>0.1</v>
      </c>
      <c r="I5166" s="1">
        <v>0.1</v>
      </c>
      <c r="J5166" s="1">
        <v>0.48959660661738041</v>
      </c>
      <c r="K5166" s="1" t="s">
        <v>181</v>
      </c>
    </row>
    <row r="5167" spans="1:11" x14ac:dyDescent="0.25">
      <c r="A5167" s="1" t="s">
        <v>16094</v>
      </c>
      <c r="B5167" s="1" t="s">
        <v>16095</v>
      </c>
      <c r="D5167" s="1" t="s">
        <v>16096</v>
      </c>
      <c r="E5167" s="1" t="s">
        <v>209</v>
      </c>
      <c r="F5167" s="1" t="s">
        <v>5017</v>
      </c>
      <c r="G5167" s="1" t="s">
        <v>5018</v>
      </c>
      <c r="H5167" s="1">
        <v>0.1</v>
      </c>
      <c r="I5167" s="1">
        <v>0.1</v>
      </c>
      <c r="J5167" s="1">
        <v>0.59162245174182104</v>
      </c>
      <c r="K5167" s="1" t="s">
        <v>181</v>
      </c>
    </row>
    <row r="5168" spans="1:11" x14ac:dyDescent="0.25">
      <c r="A5168" s="1" t="s">
        <v>16097</v>
      </c>
      <c r="B5168" s="1" t="s">
        <v>16098</v>
      </c>
      <c r="D5168" s="1" t="s">
        <v>16099</v>
      </c>
      <c r="E5168" s="1" t="s">
        <v>209</v>
      </c>
      <c r="F5168" s="1" t="s">
        <v>5017</v>
      </c>
      <c r="G5168" s="1" t="s">
        <v>5018</v>
      </c>
      <c r="H5168" s="1">
        <v>0.1</v>
      </c>
      <c r="I5168" s="1">
        <v>0.1</v>
      </c>
      <c r="J5168" s="1">
        <v>0.58901008387790554</v>
      </c>
      <c r="K5168" s="1" t="s">
        <v>181</v>
      </c>
    </row>
    <row r="5169" spans="1:11" x14ac:dyDescent="0.25">
      <c r="A5169" s="1" t="s">
        <v>16100</v>
      </c>
      <c r="B5169" s="1" t="s">
        <v>16101</v>
      </c>
      <c r="D5169" s="1" t="s">
        <v>16102</v>
      </c>
      <c r="E5169" s="1" t="s">
        <v>209</v>
      </c>
      <c r="F5169" s="1" t="s">
        <v>5017</v>
      </c>
      <c r="G5169" s="1" t="s">
        <v>5018</v>
      </c>
      <c r="H5169" s="1">
        <v>0.1</v>
      </c>
      <c r="I5169" s="1">
        <v>0.1</v>
      </c>
      <c r="J5169" s="1">
        <v>0.80588421235845153</v>
      </c>
      <c r="K5169" s="1" t="s">
        <v>181</v>
      </c>
    </row>
    <row r="5170" spans="1:11" x14ac:dyDescent="0.25">
      <c r="A5170" s="1" t="s">
        <v>16103</v>
      </c>
      <c r="B5170" s="1" t="s">
        <v>16104</v>
      </c>
      <c r="D5170" s="1" t="s">
        <v>16105</v>
      </c>
      <c r="E5170" s="1" t="s">
        <v>209</v>
      </c>
      <c r="F5170" s="1" t="s">
        <v>5017</v>
      </c>
      <c r="G5170" s="1" t="s">
        <v>5018</v>
      </c>
      <c r="H5170" s="1">
        <v>0.1</v>
      </c>
      <c r="I5170" s="1">
        <v>0.1</v>
      </c>
      <c r="J5170" s="1">
        <v>0.88122277934520199</v>
      </c>
      <c r="K5170" s="1" t="s">
        <v>181</v>
      </c>
    </row>
    <row r="5171" spans="1:11" x14ac:dyDescent="0.25">
      <c r="A5171" s="1" t="s">
        <v>16106</v>
      </c>
      <c r="B5171" s="1" t="s">
        <v>16107</v>
      </c>
      <c r="D5171" s="1" t="s">
        <v>16108</v>
      </c>
      <c r="E5171" s="1" t="s">
        <v>209</v>
      </c>
      <c r="F5171" s="1" t="s">
        <v>5017</v>
      </c>
      <c r="G5171" s="1" t="s">
        <v>5018</v>
      </c>
      <c r="H5171" s="1">
        <v>0.1</v>
      </c>
      <c r="I5171" s="1">
        <v>0.1</v>
      </c>
      <c r="J5171" s="1">
        <v>0.60699073729567299</v>
      </c>
      <c r="K5171" s="1" t="s">
        <v>181</v>
      </c>
    </row>
    <row r="5172" spans="1:11" x14ac:dyDescent="0.25">
      <c r="A5172" s="1" t="s">
        <v>16109</v>
      </c>
      <c r="B5172" s="1" t="s">
        <v>16110</v>
      </c>
      <c r="D5172" s="1" t="s">
        <v>16111</v>
      </c>
      <c r="E5172" s="1" t="s">
        <v>209</v>
      </c>
      <c r="F5172" s="1" t="s">
        <v>5017</v>
      </c>
      <c r="G5172" s="1" t="s">
        <v>5018</v>
      </c>
      <c r="H5172" s="1">
        <v>0.1</v>
      </c>
      <c r="I5172" s="1">
        <v>0.1</v>
      </c>
      <c r="J5172" s="1">
        <v>0.73451668142875182</v>
      </c>
      <c r="K5172" s="1" t="s">
        <v>181</v>
      </c>
    </row>
    <row r="5173" spans="1:11" x14ac:dyDescent="0.25">
      <c r="A5173" s="1" t="s">
        <v>16112</v>
      </c>
      <c r="B5173" s="1" t="s">
        <v>16113</v>
      </c>
      <c r="D5173" s="1" t="s">
        <v>16114</v>
      </c>
      <c r="E5173" s="1" t="s">
        <v>209</v>
      </c>
      <c r="F5173" s="1" t="s">
        <v>5017</v>
      </c>
      <c r="G5173" s="1" t="s">
        <v>5018</v>
      </c>
      <c r="H5173" s="1">
        <v>0.1</v>
      </c>
      <c r="I5173" s="1">
        <v>0.1</v>
      </c>
      <c r="J5173" s="1">
        <v>0.73345831075257351</v>
      </c>
      <c r="K5173" s="1" t="s">
        <v>181</v>
      </c>
    </row>
    <row r="5174" spans="1:11" x14ac:dyDescent="0.25">
      <c r="A5174" s="1" t="s">
        <v>16115</v>
      </c>
      <c r="B5174" s="1" t="s">
        <v>16116</v>
      </c>
      <c r="D5174" s="1" t="s">
        <v>16117</v>
      </c>
      <c r="E5174" s="1" t="s">
        <v>209</v>
      </c>
      <c r="F5174" s="1" t="s">
        <v>5017</v>
      </c>
      <c r="G5174" s="1" t="s">
        <v>5018</v>
      </c>
      <c r="H5174" s="1">
        <v>0.1</v>
      </c>
      <c r="I5174" s="1">
        <v>0.1</v>
      </c>
      <c r="J5174" s="1">
        <v>0.9349172073881109</v>
      </c>
      <c r="K5174" s="1" t="s">
        <v>181</v>
      </c>
    </row>
    <row r="5175" spans="1:11" x14ac:dyDescent="0.25">
      <c r="A5175" s="1" t="s">
        <v>16118</v>
      </c>
      <c r="B5175" s="1" t="s">
        <v>16119</v>
      </c>
      <c r="D5175" s="1" t="s">
        <v>16120</v>
      </c>
      <c r="E5175" s="1" t="s">
        <v>209</v>
      </c>
      <c r="F5175" s="1" t="s">
        <v>5017</v>
      </c>
      <c r="G5175" s="1" t="s">
        <v>5018</v>
      </c>
      <c r="H5175" s="1">
        <v>0.1</v>
      </c>
      <c r="I5175" s="1">
        <v>0.1</v>
      </c>
      <c r="J5175" s="1">
        <v>0.75176513295376557</v>
      </c>
      <c r="K5175" s="1" t="s">
        <v>181</v>
      </c>
    </row>
    <row r="5176" spans="1:11" x14ac:dyDescent="0.25">
      <c r="A5176" s="1" t="s">
        <v>16121</v>
      </c>
      <c r="B5176" s="1" t="s">
        <v>16122</v>
      </c>
      <c r="D5176" s="1" t="s">
        <v>16123</v>
      </c>
      <c r="E5176" s="1" t="s">
        <v>209</v>
      </c>
      <c r="F5176" s="1" t="s">
        <v>5017</v>
      </c>
      <c r="G5176" s="1" t="s">
        <v>5018</v>
      </c>
      <c r="H5176" s="1">
        <v>0.1</v>
      </c>
      <c r="I5176" s="1">
        <v>0.1</v>
      </c>
      <c r="J5176" s="1">
        <v>0.86543596248889398</v>
      </c>
      <c r="K5176" s="1" t="s">
        <v>181</v>
      </c>
    </row>
    <row r="5177" spans="1:11" x14ac:dyDescent="0.25">
      <c r="A5177" s="1" t="s">
        <v>107</v>
      </c>
      <c r="B5177" s="1" t="s">
        <v>16124</v>
      </c>
      <c r="D5177" s="1" t="s">
        <v>16125</v>
      </c>
      <c r="E5177" s="1" t="s">
        <v>209</v>
      </c>
      <c r="F5177" s="1" t="s">
        <v>5017</v>
      </c>
      <c r="G5177" s="1" t="s">
        <v>5018</v>
      </c>
      <c r="H5177" s="1">
        <v>0.1</v>
      </c>
      <c r="I5177" s="1">
        <v>0.1</v>
      </c>
      <c r="J5177" s="1">
        <v>0.60857207406478875</v>
      </c>
      <c r="K5177" s="1" t="s">
        <v>181</v>
      </c>
    </row>
    <row r="5178" spans="1:11" x14ac:dyDescent="0.25">
      <c r="A5178" s="1" t="s">
        <v>16126</v>
      </c>
      <c r="B5178" s="1" t="s">
        <v>16127</v>
      </c>
      <c r="D5178" s="1" t="s">
        <v>16128</v>
      </c>
      <c r="E5178" s="1" t="s">
        <v>209</v>
      </c>
      <c r="F5178" s="1" t="s">
        <v>5017</v>
      </c>
      <c r="G5178" s="1" t="s">
        <v>5018</v>
      </c>
      <c r="H5178" s="1">
        <v>0.1</v>
      </c>
      <c r="I5178" s="1">
        <v>0.1</v>
      </c>
      <c r="J5178" s="1">
        <v>0.60916971113818663</v>
      </c>
      <c r="K5178" s="1" t="s">
        <v>181</v>
      </c>
    </row>
    <row r="5179" spans="1:11" x14ac:dyDescent="0.25">
      <c r="A5179" s="1" t="s">
        <v>16129</v>
      </c>
      <c r="B5179" s="1" t="s">
        <v>16130</v>
      </c>
      <c r="D5179" s="1" t="s">
        <v>16131</v>
      </c>
      <c r="E5179" s="1" t="s">
        <v>209</v>
      </c>
      <c r="F5179" s="1" t="s">
        <v>5017</v>
      </c>
      <c r="G5179" s="1" t="s">
        <v>5018</v>
      </c>
      <c r="H5179" s="1">
        <v>0.1</v>
      </c>
      <c r="I5179" s="1">
        <v>0.1</v>
      </c>
      <c r="J5179" s="1">
        <v>0.46065349489133606</v>
      </c>
      <c r="K5179" s="1" t="s">
        <v>181</v>
      </c>
    </row>
    <row r="5180" spans="1:11" x14ac:dyDescent="0.25">
      <c r="A5180" s="1" t="s">
        <v>16132</v>
      </c>
      <c r="B5180" s="1" t="s">
        <v>16133</v>
      </c>
      <c r="D5180" s="1" t="s">
        <v>16134</v>
      </c>
      <c r="E5180" s="1" t="s">
        <v>209</v>
      </c>
      <c r="F5180" s="1" t="s">
        <v>5017</v>
      </c>
      <c r="G5180" s="1" t="s">
        <v>5018</v>
      </c>
      <c r="H5180" s="1">
        <v>0.1</v>
      </c>
      <c r="I5180" s="1">
        <v>0.1</v>
      </c>
      <c r="J5180" s="1">
        <v>0.56745044609083517</v>
      </c>
      <c r="K5180" s="1" t="s">
        <v>181</v>
      </c>
    </row>
    <row r="5181" spans="1:11" x14ac:dyDescent="0.25">
      <c r="A5181" s="1" t="s">
        <v>16135</v>
      </c>
      <c r="B5181" s="1" t="s">
        <v>16136</v>
      </c>
      <c r="D5181" s="1" t="s">
        <v>16137</v>
      </c>
      <c r="E5181" s="1" t="s">
        <v>209</v>
      </c>
      <c r="F5181" s="1" t="s">
        <v>5017</v>
      </c>
      <c r="G5181" s="1" t="s">
        <v>5018</v>
      </c>
      <c r="H5181" s="1">
        <v>0.1</v>
      </c>
      <c r="I5181" s="1">
        <v>0.1</v>
      </c>
      <c r="J5181" s="1">
        <v>0.4997533387051396</v>
      </c>
      <c r="K5181" s="1" t="s">
        <v>181</v>
      </c>
    </row>
    <row r="5182" spans="1:11" x14ac:dyDescent="0.25">
      <c r="A5182" s="1" t="s">
        <v>16138</v>
      </c>
      <c r="B5182" s="1" t="s">
        <v>16139</v>
      </c>
      <c r="D5182" s="1" t="s">
        <v>16140</v>
      </c>
      <c r="E5182" s="1" t="s">
        <v>209</v>
      </c>
      <c r="F5182" s="1" t="s">
        <v>5017</v>
      </c>
      <c r="G5182" s="1" t="s">
        <v>5018</v>
      </c>
      <c r="H5182" s="1">
        <v>0.1</v>
      </c>
      <c r="I5182" s="1">
        <v>0.1</v>
      </c>
      <c r="J5182" s="1">
        <v>0.56701338071181162</v>
      </c>
      <c r="K5182" s="1" t="s">
        <v>181</v>
      </c>
    </row>
    <row r="5183" spans="1:11" x14ac:dyDescent="0.25">
      <c r="A5183" s="1" t="s">
        <v>16141</v>
      </c>
      <c r="B5183" s="1" t="s">
        <v>16142</v>
      </c>
      <c r="D5183" s="1" t="s">
        <v>16143</v>
      </c>
      <c r="E5183" s="1" t="s">
        <v>209</v>
      </c>
      <c r="F5183" s="1" t="s">
        <v>5017</v>
      </c>
      <c r="G5183" s="1" t="s">
        <v>5018</v>
      </c>
      <c r="H5183" s="1">
        <v>0.1</v>
      </c>
      <c r="I5183" s="1">
        <v>0.1</v>
      </c>
      <c r="J5183" s="1">
        <v>0.48225847988314813</v>
      </c>
      <c r="K5183" s="1" t="s">
        <v>181</v>
      </c>
    </row>
    <row r="5184" spans="1:11" x14ac:dyDescent="0.25">
      <c r="A5184" s="1" t="s">
        <v>16144</v>
      </c>
      <c r="B5184" s="1" t="s">
        <v>16145</v>
      </c>
      <c r="D5184" s="1" t="s">
        <v>16146</v>
      </c>
      <c r="E5184" s="1" t="s">
        <v>209</v>
      </c>
      <c r="F5184" s="1" t="s">
        <v>5017</v>
      </c>
      <c r="G5184" s="1" t="s">
        <v>5018</v>
      </c>
      <c r="H5184" s="1">
        <v>0.1</v>
      </c>
      <c r="I5184" s="1">
        <v>0.1</v>
      </c>
      <c r="J5184" s="1">
        <v>0.89368017520906096</v>
      </c>
      <c r="K5184" s="1" t="s">
        <v>181</v>
      </c>
    </row>
    <row r="5185" spans="1:11" x14ac:dyDescent="0.25">
      <c r="A5185" s="1" t="s">
        <v>16147</v>
      </c>
      <c r="B5185" s="1" t="s">
        <v>16148</v>
      </c>
      <c r="D5185" s="1" t="s">
        <v>16149</v>
      </c>
      <c r="E5185" s="1" t="s">
        <v>209</v>
      </c>
      <c r="F5185" s="1" t="s">
        <v>5017</v>
      </c>
      <c r="G5185" s="1" t="s">
        <v>5018</v>
      </c>
      <c r="H5185" s="1">
        <v>0.1</v>
      </c>
      <c r="I5185" s="1">
        <v>0.1</v>
      </c>
      <c r="J5185" s="1">
        <v>0.5561241109289089</v>
      </c>
      <c r="K5185" s="1" t="s">
        <v>181</v>
      </c>
    </row>
    <row r="5186" spans="1:11" x14ac:dyDescent="0.25">
      <c r="A5186" s="1" t="s">
        <v>16150</v>
      </c>
      <c r="B5186" s="1" t="s">
        <v>16151</v>
      </c>
      <c r="D5186" s="1" t="s">
        <v>16152</v>
      </c>
      <c r="E5186" s="1" t="s">
        <v>209</v>
      </c>
      <c r="F5186" s="1" t="s">
        <v>5017</v>
      </c>
      <c r="G5186" s="1" t="s">
        <v>5018</v>
      </c>
      <c r="H5186" s="1">
        <v>0.1</v>
      </c>
      <c r="I5186" s="1">
        <v>0.1</v>
      </c>
      <c r="J5186" s="1">
        <v>0.67024009598450307</v>
      </c>
      <c r="K5186" s="1" t="s">
        <v>181</v>
      </c>
    </row>
    <row r="5187" spans="1:11" x14ac:dyDescent="0.25">
      <c r="A5187" s="1" t="s">
        <v>16153</v>
      </c>
      <c r="B5187" s="1" t="s">
        <v>16154</v>
      </c>
      <c r="D5187" s="1" t="s">
        <v>16155</v>
      </c>
      <c r="E5187" s="1" t="s">
        <v>209</v>
      </c>
      <c r="F5187" s="1" t="s">
        <v>5017</v>
      </c>
      <c r="G5187" s="1" t="s">
        <v>5018</v>
      </c>
      <c r="H5187" s="1">
        <v>0.1</v>
      </c>
      <c r="I5187" s="1">
        <v>0.1</v>
      </c>
      <c r="J5187" s="1">
        <v>0.48911537569453323</v>
      </c>
      <c r="K5187" s="1" t="s">
        <v>181</v>
      </c>
    </row>
    <row r="5188" spans="1:11" x14ac:dyDescent="0.25">
      <c r="A5188" s="1" t="s">
        <v>16156</v>
      </c>
      <c r="B5188" s="1" t="s">
        <v>16157</v>
      </c>
      <c r="D5188" s="1" t="s">
        <v>16158</v>
      </c>
      <c r="E5188" s="1" t="s">
        <v>209</v>
      </c>
      <c r="F5188" s="1" t="s">
        <v>5017</v>
      </c>
      <c r="G5188" s="1" t="s">
        <v>5018</v>
      </c>
      <c r="H5188" s="1">
        <v>0.1</v>
      </c>
      <c r="I5188" s="1">
        <v>0.1</v>
      </c>
      <c r="J5188" s="1">
        <v>0.80713834719800659</v>
      </c>
      <c r="K5188" s="1" t="s">
        <v>181</v>
      </c>
    </row>
    <row r="5189" spans="1:11" x14ac:dyDescent="0.25">
      <c r="A5189" s="1" t="s">
        <v>16159</v>
      </c>
      <c r="B5189" s="1" t="s">
        <v>16160</v>
      </c>
      <c r="D5189" s="1" t="s">
        <v>16161</v>
      </c>
      <c r="E5189" s="1" t="s">
        <v>209</v>
      </c>
      <c r="F5189" s="1" t="s">
        <v>5017</v>
      </c>
      <c r="G5189" s="1" t="s">
        <v>5018</v>
      </c>
      <c r="H5189" s="1">
        <v>0.1</v>
      </c>
      <c r="I5189" s="1">
        <v>0.1</v>
      </c>
      <c r="J5189" s="1">
        <v>0.54131745106977369</v>
      </c>
      <c r="K5189" s="1" t="s">
        <v>181</v>
      </c>
    </row>
    <row r="5190" spans="1:11" x14ac:dyDescent="0.25">
      <c r="A5190" s="1" t="s">
        <v>16162</v>
      </c>
      <c r="B5190" s="1" t="s">
        <v>16163</v>
      </c>
      <c r="D5190" s="1" t="s">
        <v>16164</v>
      </c>
      <c r="E5190" s="1" t="s">
        <v>209</v>
      </c>
      <c r="F5190" s="1" t="s">
        <v>5017</v>
      </c>
      <c r="G5190" s="1" t="s">
        <v>5018</v>
      </c>
      <c r="H5190" s="1">
        <v>0.1</v>
      </c>
      <c r="I5190" s="1">
        <v>0.1</v>
      </c>
      <c r="J5190" s="1">
        <v>0.37879509768080316</v>
      </c>
      <c r="K5190" s="1" t="s">
        <v>181</v>
      </c>
    </row>
    <row r="5191" spans="1:11" x14ac:dyDescent="0.25">
      <c r="A5191" s="1" t="s">
        <v>16165</v>
      </c>
      <c r="B5191" s="1" t="s">
        <v>16166</v>
      </c>
      <c r="D5191" s="1" t="s">
        <v>16167</v>
      </c>
      <c r="E5191" s="1" t="s">
        <v>209</v>
      </c>
      <c r="F5191" s="1" t="s">
        <v>5017</v>
      </c>
      <c r="G5191" s="1" t="s">
        <v>5018</v>
      </c>
      <c r="H5191" s="1">
        <v>0.1</v>
      </c>
      <c r="I5191" s="1">
        <v>0.1</v>
      </c>
      <c r="J5191" s="1">
        <v>0.80095566809568974</v>
      </c>
      <c r="K5191" s="1" t="s">
        <v>181</v>
      </c>
    </row>
    <row r="5192" spans="1:11" x14ac:dyDescent="0.25">
      <c r="A5192" s="1" t="s">
        <v>16168</v>
      </c>
      <c r="B5192" s="1" t="s">
        <v>16169</v>
      </c>
      <c r="D5192" s="1" t="s">
        <v>16170</v>
      </c>
      <c r="E5192" s="1" t="s">
        <v>209</v>
      </c>
      <c r="F5192" s="1" t="s">
        <v>5017</v>
      </c>
      <c r="G5192" s="1" t="s">
        <v>5018</v>
      </c>
      <c r="H5192" s="1">
        <v>0.1</v>
      </c>
      <c r="I5192" s="1">
        <v>0.1</v>
      </c>
      <c r="J5192" s="1">
        <v>0.69673590483074077</v>
      </c>
      <c r="K5192" s="1" t="s">
        <v>181</v>
      </c>
    </row>
    <row r="5193" spans="1:11" x14ac:dyDescent="0.25">
      <c r="A5193" s="1" t="s">
        <v>16171</v>
      </c>
      <c r="B5193" s="1" t="s">
        <v>16172</v>
      </c>
      <c r="D5193" s="1" t="s">
        <v>16173</v>
      </c>
      <c r="E5193" s="1" t="s">
        <v>209</v>
      </c>
      <c r="F5193" s="1" t="s">
        <v>5017</v>
      </c>
      <c r="G5193" s="1" t="s">
        <v>5018</v>
      </c>
      <c r="H5193" s="1">
        <v>0.1</v>
      </c>
      <c r="I5193" s="1">
        <v>0.1</v>
      </c>
      <c r="J5193" s="1">
        <v>0.67233169597931175</v>
      </c>
      <c r="K5193" s="1" t="s">
        <v>181</v>
      </c>
    </row>
    <row r="5194" spans="1:11" x14ac:dyDescent="0.25">
      <c r="A5194" s="1" t="s">
        <v>16174</v>
      </c>
      <c r="B5194" s="1" t="s">
        <v>16175</v>
      </c>
      <c r="D5194" s="1" t="s">
        <v>16176</v>
      </c>
      <c r="E5194" s="1" t="s">
        <v>209</v>
      </c>
      <c r="F5194" s="1" t="s">
        <v>5017</v>
      </c>
      <c r="G5194" s="1" t="s">
        <v>5018</v>
      </c>
      <c r="H5194" s="1">
        <v>0.1</v>
      </c>
      <c r="I5194" s="1">
        <v>0.1</v>
      </c>
      <c r="J5194" s="1">
        <v>0.75018837350238332</v>
      </c>
      <c r="K5194" s="1" t="s">
        <v>181</v>
      </c>
    </row>
    <row r="5195" spans="1:11" x14ac:dyDescent="0.25">
      <c r="A5195" s="1" t="s">
        <v>16177</v>
      </c>
      <c r="B5195" s="1" t="s">
        <v>16178</v>
      </c>
      <c r="D5195" s="1" t="s">
        <v>16179</v>
      </c>
      <c r="E5195" s="1" t="s">
        <v>209</v>
      </c>
      <c r="F5195" s="1" t="s">
        <v>5017</v>
      </c>
      <c r="G5195" s="1" t="s">
        <v>5018</v>
      </c>
      <c r="H5195" s="1">
        <v>0.1</v>
      </c>
      <c r="I5195" s="1">
        <v>0.1</v>
      </c>
      <c r="J5195" s="1">
        <v>0.71581301743264814</v>
      </c>
      <c r="K5195" s="1" t="s">
        <v>181</v>
      </c>
    </row>
    <row r="5196" spans="1:11" x14ac:dyDescent="0.25">
      <c r="A5196" s="1" t="s">
        <v>16180</v>
      </c>
      <c r="B5196" s="1" t="s">
        <v>16181</v>
      </c>
      <c r="D5196" s="1" t="s">
        <v>16182</v>
      </c>
      <c r="E5196" s="1" t="s">
        <v>209</v>
      </c>
      <c r="F5196" s="1" t="s">
        <v>5017</v>
      </c>
      <c r="G5196" s="1" t="s">
        <v>5018</v>
      </c>
      <c r="H5196" s="1">
        <v>0.1</v>
      </c>
      <c r="I5196" s="1">
        <v>0.1</v>
      </c>
      <c r="J5196" s="1">
        <v>0.74919166757905697</v>
      </c>
      <c r="K5196" s="1" t="s">
        <v>181</v>
      </c>
    </row>
    <row r="5197" spans="1:11" x14ac:dyDescent="0.25">
      <c r="A5197" s="1" t="s">
        <v>16183</v>
      </c>
      <c r="B5197" s="1" t="s">
        <v>16184</v>
      </c>
      <c r="D5197" s="1" t="s">
        <v>16185</v>
      </c>
      <c r="E5197" s="1" t="s">
        <v>209</v>
      </c>
      <c r="F5197" s="1" t="s">
        <v>5017</v>
      </c>
      <c r="G5197" s="1" t="s">
        <v>5018</v>
      </c>
      <c r="H5197" s="1">
        <v>0.1</v>
      </c>
      <c r="I5197" s="1">
        <v>0.1</v>
      </c>
      <c r="J5197" s="1">
        <v>0.72143366647609242</v>
      </c>
      <c r="K5197" s="1" t="s">
        <v>181</v>
      </c>
    </row>
    <row r="5198" spans="1:11" x14ac:dyDescent="0.25">
      <c r="A5198" s="1" t="s">
        <v>16186</v>
      </c>
      <c r="B5198" s="1" t="s">
        <v>16187</v>
      </c>
      <c r="D5198" s="1" t="s">
        <v>16188</v>
      </c>
      <c r="E5198" s="1" t="s">
        <v>209</v>
      </c>
      <c r="F5198" s="1" t="s">
        <v>5017</v>
      </c>
      <c r="G5198" s="1" t="s">
        <v>5018</v>
      </c>
      <c r="H5198" s="1">
        <v>0.1</v>
      </c>
      <c r="I5198" s="1">
        <v>0.1</v>
      </c>
      <c r="J5198" s="1">
        <v>0.81545123894172011</v>
      </c>
      <c r="K5198" s="1" t="s">
        <v>181</v>
      </c>
    </row>
    <row r="5199" spans="1:11" x14ac:dyDescent="0.25">
      <c r="A5199" s="1" t="s">
        <v>16189</v>
      </c>
      <c r="B5199" s="1" t="s">
        <v>16190</v>
      </c>
      <c r="D5199" s="1" t="s">
        <v>16191</v>
      </c>
      <c r="E5199" s="1" t="s">
        <v>209</v>
      </c>
      <c r="F5199" s="1" t="s">
        <v>5017</v>
      </c>
      <c r="G5199" s="1" t="s">
        <v>5018</v>
      </c>
      <c r="H5199" s="1">
        <v>0.1</v>
      </c>
      <c r="I5199" s="1">
        <v>0.1</v>
      </c>
      <c r="J5199" s="1">
        <v>0.59239805436865145</v>
      </c>
      <c r="K5199" s="1" t="s">
        <v>181</v>
      </c>
    </row>
    <row r="5200" spans="1:11" x14ac:dyDescent="0.25">
      <c r="A5200" s="1" t="s">
        <v>16192</v>
      </c>
      <c r="B5200" s="1" t="s">
        <v>16193</v>
      </c>
      <c r="D5200" s="1" t="s">
        <v>16194</v>
      </c>
      <c r="E5200" s="1" t="s">
        <v>209</v>
      </c>
      <c r="F5200" s="1" t="s">
        <v>5017</v>
      </c>
      <c r="G5200" s="1" t="s">
        <v>5018</v>
      </c>
      <c r="H5200" s="1">
        <v>0.1</v>
      </c>
      <c r="I5200" s="1">
        <v>0.1</v>
      </c>
      <c r="J5200" s="1">
        <v>0.66946925274863534</v>
      </c>
      <c r="K5200" s="1" t="s">
        <v>181</v>
      </c>
    </row>
    <row r="5201" spans="1:11" x14ac:dyDescent="0.25">
      <c r="A5201" s="1" t="s">
        <v>16195</v>
      </c>
      <c r="B5201" s="1" t="s">
        <v>16196</v>
      </c>
      <c r="D5201" s="1" t="s">
        <v>16197</v>
      </c>
      <c r="E5201" s="1" t="s">
        <v>209</v>
      </c>
      <c r="F5201" s="1" t="s">
        <v>5017</v>
      </c>
      <c r="G5201" s="1" t="s">
        <v>5018</v>
      </c>
      <c r="H5201" s="1">
        <v>0.1</v>
      </c>
      <c r="I5201" s="1">
        <v>0.1</v>
      </c>
      <c r="J5201" s="1">
        <v>0.57939137724068224</v>
      </c>
      <c r="K5201" s="1" t="s">
        <v>181</v>
      </c>
    </row>
    <row r="5202" spans="1:11" x14ac:dyDescent="0.25">
      <c r="A5202" s="1" t="s">
        <v>16198</v>
      </c>
      <c r="B5202" s="1" t="s">
        <v>16199</v>
      </c>
      <c r="D5202" s="1" t="s">
        <v>16200</v>
      </c>
      <c r="E5202" s="1" t="s">
        <v>209</v>
      </c>
      <c r="F5202" s="1" t="s">
        <v>5017</v>
      </c>
      <c r="G5202" s="1" t="s">
        <v>5018</v>
      </c>
      <c r="H5202" s="1">
        <v>0.1</v>
      </c>
      <c r="I5202" s="1">
        <v>0.1</v>
      </c>
      <c r="J5202" s="1">
        <v>0.69521823647543168</v>
      </c>
      <c r="K5202" s="1" t="s">
        <v>181</v>
      </c>
    </row>
    <row r="5203" spans="1:11" x14ac:dyDescent="0.25">
      <c r="A5203" s="1" t="s">
        <v>16201</v>
      </c>
      <c r="B5203" s="1" t="s">
        <v>16202</v>
      </c>
      <c r="D5203" s="1" t="s">
        <v>16203</v>
      </c>
      <c r="E5203" s="1" t="s">
        <v>209</v>
      </c>
      <c r="F5203" s="1" t="s">
        <v>5017</v>
      </c>
      <c r="G5203" s="1" t="s">
        <v>5018</v>
      </c>
      <c r="H5203" s="1">
        <v>0.1</v>
      </c>
      <c r="I5203" s="1">
        <v>0.1</v>
      </c>
      <c r="J5203" s="1">
        <v>0.67963646911499642</v>
      </c>
      <c r="K5203" s="1" t="s">
        <v>181</v>
      </c>
    </row>
    <row r="5204" spans="1:11" x14ac:dyDescent="0.25">
      <c r="A5204" s="1" t="s">
        <v>16204</v>
      </c>
      <c r="B5204" s="1" t="s">
        <v>16205</v>
      </c>
      <c r="D5204" s="1" t="s">
        <v>16206</v>
      </c>
      <c r="E5204" s="1" t="s">
        <v>209</v>
      </c>
      <c r="F5204" s="1" t="s">
        <v>5017</v>
      </c>
      <c r="G5204" s="1" t="s">
        <v>5018</v>
      </c>
      <c r="H5204" s="1">
        <v>0.1</v>
      </c>
      <c r="I5204" s="1">
        <v>0.1</v>
      </c>
      <c r="J5204" s="1">
        <v>0.69760607503236949</v>
      </c>
      <c r="K5204" s="1" t="s">
        <v>181</v>
      </c>
    </row>
    <row r="5205" spans="1:11" x14ac:dyDescent="0.25">
      <c r="A5205" s="1" t="s">
        <v>16207</v>
      </c>
      <c r="B5205" s="1" t="s">
        <v>16208</v>
      </c>
      <c r="D5205" s="1" t="s">
        <v>16209</v>
      </c>
      <c r="E5205" s="1" t="s">
        <v>209</v>
      </c>
      <c r="F5205" s="1" t="s">
        <v>5017</v>
      </c>
      <c r="G5205" s="1" t="s">
        <v>5018</v>
      </c>
      <c r="H5205" s="1">
        <v>0.1</v>
      </c>
      <c r="I5205" s="1">
        <v>0.1</v>
      </c>
      <c r="J5205" s="1">
        <v>0.68071436787298223</v>
      </c>
      <c r="K5205" s="1" t="s">
        <v>181</v>
      </c>
    </row>
    <row r="5206" spans="1:11" x14ac:dyDescent="0.25">
      <c r="A5206" s="1" t="s">
        <v>16210</v>
      </c>
      <c r="B5206" s="1" t="s">
        <v>16211</v>
      </c>
      <c r="D5206" s="1" t="s">
        <v>16212</v>
      </c>
      <c r="E5206" s="1" t="s">
        <v>209</v>
      </c>
      <c r="F5206" s="1" t="s">
        <v>5017</v>
      </c>
      <c r="G5206" s="1" t="s">
        <v>5018</v>
      </c>
      <c r="H5206" s="1">
        <v>0.1</v>
      </c>
      <c r="I5206" s="1">
        <v>0.1</v>
      </c>
      <c r="J5206" s="1">
        <v>0.56572442144891844</v>
      </c>
      <c r="K5206" s="1" t="s">
        <v>181</v>
      </c>
    </row>
    <row r="5207" spans="1:11" x14ac:dyDescent="0.25">
      <c r="A5207" s="1" t="s">
        <v>16213</v>
      </c>
      <c r="B5207" s="1" t="s">
        <v>16214</v>
      </c>
      <c r="D5207" s="1" t="s">
        <v>16215</v>
      </c>
      <c r="E5207" s="1" t="s">
        <v>209</v>
      </c>
      <c r="F5207" s="1" t="s">
        <v>5017</v>
      </c>
      <c r="G5207" s="1" t="s">
        <v>5018</v>
      </c>
      <c r="H5207" s="1">
        <v>0.1</v>
      </c>
      <c r="I5207" s="1">
        <v>0.1</v>
      </c>
      <c r="J5207" s="1">
        <v>0.71042286917885034</v>
      </c>
      <c r="K5207" s="1" t="s">
        <v>181</v>
      </c>
    </row>
    <row r="5208" spans="1:11" x14ac:dyDescent="0.25">
      <c r="A5208" s="1" t="s">
        <v>16216</v>
      </c>
      <c r="B5208" s="1" t="s">
        <v>16217</v>
      </c>
      <c r="D5208" s="1" t="s">
        <v>16218</v>
      </c>
      <c r="E5208" s="1" t="s">
        <v>209</v>
      </c>
      <c r="F5208" s="1" t="s">
        <v>5017</v>
      </c>
      <c r="G5208" s="1" t="s">
        <v>5018</v>
      </c>
      <c r="H5208" s="1">
        <v>0.1</v>
      </c>
      <c r="I5208" s="1">
        <v>0.1</v>
      </c>
      <c r="J5208" s="1">
        <v>0.6371136687350093</v>
      </c>
      <c r="K5208" s="1" t="s">
        <v>181</v>
      </c>
    </row>
    <row r="5209" spans="1:11" x14ac:dyDescent="0.25">
      <c r="A5209" s="1" t="s">
        <v>16219</v>
      </c>
      <c r="B5209" s="1" t="s">
        <v>16220</v>
      </c>
      <c r="D5209" s="1" t="s">
        <v>16221</v>
      </c>
      <c r="E5209" s="1" t="s">
        <v>209</v>
      </c>
      <c r="F5209" s="1" t="s">
        <v>5017</v>
      </c>
      <c r="G5209" s="1" t="s">
        <v>5018</v>
      </c>
      <c r="H5209" s="1">
        <v>0.1</v>
      </c>
      <c r="I5209" s="1">
        <v>0.1</v>
      </c>
      <c r="J5209" s="1">
        <v>0.69976249597312457</v>
      </c>
      <c r="K5209" s="1" t="s">
        <v>181</v>
      </c>
    </row>
    <row r="5210" spans="1:11" x14ac:dyDescent="0.25">
      <c r="A5210" s="1" t="s">
        <v>16222</v>
      </c>
      <c r="B5210" s="1" t="s">
        <v>16223</v>
      </c>
      <c r="D5210" s="1" t="s">
        <v>16224</v>
      </c>
      <c r="E5210" s="1" t="s">
        <v>209</v>
      </c>
      <c r="F5210" s="1" t="s">
        <v>5017</v>
      </c>
      <c r="G5210" s="1" t="s">
        <v>5018</v>
      </c>
      <c r="H5210" s="1">
        <v>0.1</v>
      </c>
      <c r="I5210" s="1">
        <v>0.1</v>
      </c>
      <c r="J5210" s="1">
        <v>0.68117871939318497</v>
      </c>
      <c r="K5210" s="1" t="s">
        <v>181</v>
      </c>
    </row>
    <row r="5211" spans="1:11" x14ac:dyDescent="0.25">
      <c r="A5211" s="1" t="s">
        <v>16225</v>
      </c>
      <c r="B5211" s="1" t="s">
        <v>16226</v>
      </c>
      <c r="D5211" s="1" t="s">
        <v>16227</v>
      </c>
      <c r="E5211" s="1" t="s">
        <v>209</v>
      </c>
      <c r="F5211" s="1" t="s">
        <v>5017</v>
      </c>
      <c r="G5211" s="1" t="s">
        <v>5018</v>
      </c>
      <c r="H5211" s="1">
        <v>0.1</v>
      </c>
      <c r="I5211" s="1">
        <v>0.1</v>
      </c>
      <c r="J5211" s="1">
        <v>0.6442025094392948</v>
      </c>
      <c r="K5211" s="1" t="s">
        <v>181</v>
      </c>
    </row>
    <row r="5212" spans="1:11" x14ac:dyDescent="0.25">
      <c r="A5212" s="1" t="s">
        <v>16228</v>
      </c>
      <c r="B5212" s="1" t="s">
        <v>16229</v>
      </c>
      <c r="D5212" s="1" t="s">
        <v>16230</v>
      </c>
      <c r="E5212" s="1" t="s">
        <v>209</v>
      </c>
      <c r="F5212" s="1" t="s">
        <v>5017</v>
      </c>
      <c r="G5212" s="1" t="s">
        <v>5018</v>
      </c>
      <c r="H5212" s="1">
        <v>0.1</v>
      </c>
      <c r="I5212" s="1">
        <v>0.1</v>
      </c>
      <c r="J5212" s="1">
        <v>0.62724773775246578</v>
      </c>
      <c r="K5212" s="1" t="s">
        <v>181</v>
      </c>
    </row>
    <row r="5213" spans="1:11" x14ac:dyDescent="0.25">
      <c r="A5213" s="1" t="s">
        <v>16231</v>
      </c>
      <c r="B5213" s="1" t="s">
        <v>16232</v>
      </c>
      <c r="D5213" s="1" t="s">
        <v>16233</v>
      </c>
      <c r="E5213" s="1" t="s">
        <v>209</v>
      </c>
      <c r="F5213" s="1" t="s">
        <v>5017</v>
      </c>
      <c r="G5213" s="1" t="s">
        <v>5018</v>
      </c>
      <c r="H5213" s="1">
        <v>0.1</v>
      </c>
      <c r="I5213" s="1">
        <v>0.1</v>
      </c>
      <c r="J5213" s="1">
        <v>0.76193634473568139</v>
      </c>
      <c r="K5213" s="1" t="s">
        <v>181</v>
      </c>
    </row>
    <row r="5214" spans="1:11" x14ac:dyDescent="0.25">
      <c r="A5214" s="1" t="s">
        <v>16234</v>
      </c>
      <c r="B5214" s="1" t="s">
        <v>16235</v>
      </c>
      <c r="D5214" s="1" t="s">
        <v>16236</v>
      </c>
      <c r="E5214" s="1" t="s">
        <v>209</v>
      </c>
      <c r="F5214" s="1" t="s">
        <v>5017</v>
      </c>
      <c r="G5214" s="1" t="s">
        <v>5018</v>
      </c>
      <c r="H5214" s="1">
        <v>0.1</v>
      </c>
      <c r="I5214" s="1">
        <v>0.1</v>
      </c>
      <c r="J5214" s="1">
        <v>0.91756513952372043</v>
      </c>
      <c r="K5214" s="1" t="s">
        <v>181</v>
      </c>
    </row>
    <row r="5215" spans="1:11" x14ac:dyDescent="0.25">
      <c r="A5215" s="1" t="s">
        <v>16237</v>
      </c>
      <c r="B5215" s="1" t="s">
        <v>16238</v>
      </c>
      <c r="D5215" s="1" t="s">
        <v>16239</v>
      </c>
      <c r="E5215" s="1" t="s">
        <v>209</v>
      </c>
      <c r="F5215" s="1" t="s">
        <v>5017</v>
      </c>
      <c r="G5215" s="1" t="s">
        <v>5018</v>
      </c>
      <c r="H5215" s="1">
        <v>0.1</v>
      </c>
      <c r="I5215" s="1">
        <v>0.1</v>
      </c>
      <c r="J5215" s="1">
        <v>0.6454593387247658</v>
      </c>
      <c r="K5215" s="1" t="s">
        <v>181</v>
      </c>
    </row>
    <row r="5216" spans="1:11" x14ac:dyDescent="0.25">
      <c r="A5216" s="1" t="s">
        <v>16240</v>
      </c>
      <c r="B5216" s="1" t="s">
        <v>16241</v>
      </c>
      <c r="D5216" s="1" t="s">
        <v>16242</v>
      </c>
      <c r="E5216" s="1" t="s">
        <v>209</v>
      </c>
      <c r="F5216" s="1" t="s">
        <v>5017</v>
      </c>
      <c r="G5216" s="1" t="s">
        <v>5018</v>
      </c>
      <c r="H5216" s="1">
        <v>0.1</v>
      </c>
      <c r="I5216" s="1">
        <v>0.1</v>
      </c>
      <c r="J5216" s="1">
        <v>0.69635606289807361</v>
      </c>
      <c r="K5216" s="1" t="s">
        <v>181</v>
      </c>
    </row>
    <row r="5217" spans="1:11" x14ac:dyDescent="0.25">
      <c r="A5217" s="1" t="s">
        <v>16243</v>
      </c>
      <c r="B5217" s="1" t="s">
        <v>16244</v>
      </c>
      <c r="D5217" s="1" t="s">
        <v>16245</v>
      </c>
      <c r="E5217" s="1" t="s">
        <v>209</v>
      </c>
      <c r="F5217" s="1" t="s">
        <v>5017</v>
      </c>
      <c r="G5217" s="1" t="s">
        <v>5018</v>
      </c>
      <c r="H5217" s="1">
        <v>0.1</v>
      </c>
      <c r="I5217" s="1">
        <v>0.1</v>
      </c>
      <c r="J5217" s="1">
        <v>1.0027174281471891</v>
      </c>
      <c r="K5217" s="1" t="s">
        <v>181</v>
      </c>
    </row>
    <row r="5218" spans="1:11" x14ac:dyDescent="0.25">
      <c r="A5218" s="1" t="s">
        <v>16246</v>
      </c>
      <c r="B5218" s="1" t="s">
        <v>16247</v>
      </c>
      <c r="D5218" s="1" t="s">
        <v>16248</v>
      </c>
      <c r="E5218" s="1" t="s">
        <v>209</v>
      </c>
      <c r="F5218" s="1" t="s">
        <v>5017</v>
      </c>
      <c r="G5218" s="1" t="s">
        <v>5018</v>
      </c>
      <c r="H5218" s="1">
        <v>0.1</v>
      </c>
      <c r="I5218" s="1">
        <v>0.1</v>
      </c>
      <c r="J5218" s="1">
        <v>0.47007566939786039</v>
      </c>
      <c r="K5218" s="1" t="s">
        <v>181</v>
      </c>
    </row>
    <row r="5219" spans="1:11" x14ac:dyDescent="0.25">
      <c r="A5219" s="1" t="s">
        <v>16249</v>
      </c>
      <c r="B5219" s="1" t="s">
        <v>16250</v>
      </c>
      <c r="D5219" s="1" t="s">
        <v>16251</v>
      </c>
      <c r="E5219" s="1" t="s">
        <v>209</v>
      </c>
      <c r="F5219" s="1" t="s">
        <v>5017</v>
      </c>
      <c r="G5219" s="1" t="s">
        <v>5018</v>
      </c>
      <c r="H5219" s="1">
        <v>0.1</v>
      </c>
      <c r="I5219" s="1">
        <v>0.1</v>
      </c>
      <c r="J5219" s="1">
        <v>0.7775654641239893</v>
      </c>
      <c r="K5219" s="1" t="s">
        <v>181</v>
      </c>
    </row>
    <row r="5220" spans="1:11" x14ac:dyDescent="0.25">
      <c r="A5220" s="1" t="s">
        <v>16252</v>
      </c>
      <c r="B5220" s="1" t="s">
        <v>16253</v>
      </c>
      <c r="D5220" s="1" t="s">
        <v>16254</v>
      </c>
      <c r="E5220" s="1" t="s">
        <v>209</v>
      </c>
      <c r="F5220" s="1" t="s">
        <v>5017</v>
      </c>
      <c r="G5220" s="1" t="s">
        <v>5018</v>
      </c>
      <c r="H5220" s="1">
        <v>0.1</v>
      </c>
      <c r="I5220" s="1">
        <v>0.1</v>
      </c>
      <c r="J5220" s="1">
        <v>0.69473368042117745</v>
      </c>
      <c r="K5220" s="1" t="s">
        <v>181</v>
      </c>
    </row>
    <row r="5221" spans="1:11" x14ac:dyDescent="0.25">
      <c r="A5221" s="1" t="s">
        <v>16255</v>
      </c>
      <c r="B5221" s="1" t="s">
        <v>16256</v>
      </c>
      <c r="D5221" s="1" t="s">
        <v>16257</v>
      </c>
      <c r="E5221" s="1" t="s">
        <v>209</v>
      </c>
      <c r="F5221" s="1" t="s">
        <v>5017</v>
      </c>
      <c r="G5221" s="1" t="s">
        <v>5018</v>
      </c>
      <c r="H5221" s="1">
        <v>0.1</v>
      </c>
      <c r="I5221" s="1">
        <v>0.1</v>
      </c>
      <c r="J5221" s="1">
        <v>0.74606054587871662</v>
      </c>
      <c r="K5221" s="1" t="s">
        <v>181</v>
      </c>
    </row>
    <row r="5222" spans="1:11" x14ac:dyDescent="0.25">
      <c r="A5222" s="1" t="s">
        <v>16258</v>
      </c>
      <c r="B5222" s="1" t="s">
        <v>16259</v>
      </c>
      <c r="D5222" s="1" t="s">
        <v>16260</v>
      </c>
      <c r="E5222" s="1" t="s">
        <v>209</v>
      </c>
      <c r="F5222" s="1" t="s">
        <v>5017</v>
      </c>
      <c r="G5222" s="1" t="s">
        <v>5018</v>
      </c>
      <c r="H5222" s="1">
        <v>0.1</v>
      </c>
      <c r="I5222" s="1">
        <v>0.1</v>
      </c>
      <c r="J5222" s="1">
        <v>0.76278054574219378</v>
      </c>
      <c r="K5222" s="1" t="s">
        <v>181</v>
      </c>
    </row>
    <row r="5223" spans="1:11" x14ac:dyDescent="0.25">
      <c r="A5223" s="1" t="s">
        <v>16261</v>
      </c>
      <c r="B5223" s="1" t="s">
        <v>16262</v>
      </c>
      <c r="D5223" s="1" t="s">
        <v>16263</v>
      </c>
      <c r="E5223" s="1" t="s">
        <v>209</v>
      </c>
      <c r="F5223" s="1" t="s">
        <v>5017</v>
      </c>
      <c r="G5223" s="1" t="s">
        <v>5018</v>
      </c>
      <c r="H5223" s="1">
        <v>0.1</v>
      </c>
      <c r="I5223" s="1">
        <v>0.1</v>
      </c>
      <c r="J5223" s="1">
        <v>0.96739125607256571</v>
      </c>
      <c r="K5223" s="1" t="s">
        <v>181</v>
      </c>
    </row>
    <row r="5224" spans="1:11" x14ac:dyDescent="0.25">
      <c r="A5224" s="1" t="s">
        <v>16264</v>
      </c>
      <c r="B5224" s="1" t="s">
        <v>16265</v>
      </c>
      <c r="D5224" s="1" t="s">
        <v>16266</v>
      </c>
      <c r="E5224" s="1" t="s">
        <v>209</v>
      </c>
      <c r="F5224" s="1" t="s">
        <v>5017</v>
      </c>
      <c r="G5224" s="1" t="s">
        <v>5018</v>
      </c>
      <c r="H5224" s="1">
        <v>0.1</v>
      </c>
      <c r="I5224" s="1">
        <v>0.1</v>
      </c>
      <c r="J5224" s="1">
        <v>0.54067915744127759</v>
      </c>
      <c r="K5224" s="1" t="s">
        <v>181</v>
      </c>
    </row>
    <row r="5225" spans="1:11" x14ac:dyDescent="0.25">
      <c r="A5225" s="1" t="s">
        <v>16267</v>
      </c>
      <c r="B5225" s="1" t="s">
        <v>16268</v>
      </c>
      <c r="D5225" s="1" t="s">
        <v>16269</v>
      </c>
      <c r="E5225" s="1" t="s">
        <v>209</v>
      </c>
      <c r="F5225" s="1" t="s">
        <v>5017</v>
      </c>
      <c r="G5225" s="1" t="s">
        <v>5018</v>
      </c>
      <c r="H5225" s="1">
        <v>0.1</v>
      </c>
      <c r="I5225" s="1">
        <v>0.1</v>
      </c>
      <c r="J5225" s="1">
        <v>0.58666389485857007</v>
      </c>
      <c r="K5225" s="1" t="s">
        <v>181</v>
      </c>
    </row>
    <row r="5226" spans="1:11" x14ac:dyDescent="0.25">
      <c r="A5226" s="1" t="s">
        <v>16270</v>
      </c>
      <c r="B5226" s="1" t="s">
        <v>16271</v>
      </c>
      <c r="D5226" s="1" t="s">
        <v>16272</v>
      </c>
      <c r="E5226" s="1" t="s">
        <v>209</v>
      </c>
      <c r="F5226" s="1" t="s">
        <v>5017</v>
      </c>
      <c r="G5226" s="1" t="s">
        <v>5018</v>
      </c>
      <c r="H5226" s="1">
        <v>0.1</v>
      </c>
      <c r="I5226" s="1">
        <v>0.1</v>
      </c>
      <c r="J5226" s="1">
        <v>1.0047435949534367</v>
      </c>
      <c r="K5226" s="1" t="s">
        <v>181</v>
      </c>
    </row>
    <row r="5227" spans="1:11" x14ac:dyDescent="0.25">
      <c r="A5227" s="1" t="s">
        <v>16273</v>
      </c>
      <c r="B5227" s="1" t="s">
        <v>16274</v>
      </c>
      <c r="D5227" s="1" t="s">
        <v>16275</v>
      </c>
      <c r="E5227" s="1" t="s">
        <v>209</v>
      </c>
      <c r="F5227" s="1" t="s">
        <v>5017</v>
      </c>
      <c r="G5227" s="1" t="s">
        <v>5018</v>
      </c>
      <c r="H5227" s="1">
        <v>0.1</v>
      </c>
      <c r="I5227" s="1">
        <v>0.1</v>
      </c>
      <c r="J5227" s="1">
        <v>0.95523534507294339</v>
      </c>
      <c r="K5227" s="1" t="s">
        <v>181</v>
      </c>
    </row>
    <row r="5228" spans="1:11" x14ac:dyDescent="0.25">
      <c r="A5228" s="1" t="s">
        <v>16276</v>
      </c>
      <c r="B5228" s="1" t="s">
        <v>16277</v>
      </c>
      <c r="D5228" s="1" t="s">
        <v>16278</v>
      </c>
      <c r="E5228" s="1" t="s">
        <v>209</v>
      </c>
      <c r="F5228" s="1" t="s">
        <v>5017</v>
      </c>
      <c r="G5228" s="1" t="s">
        <v>5018</v>
      </c>
      <c r="H5228" s="1">
        <v>0.1</v>
      </c>
      <c r="I5228" s="1">
        <v>0.1</v>
      </c>
      <c r="J5228" s="1">
        <v>0.96500880957994417</v>
      </c>
      <c r="K5228" s="1" t="s">
        <v>181</v>
      </c>
    </row>
    <row r="5229" spans="1:11" x14ac:dyDescent="0.25">
      <c r="A5229" s="1" t="s">
        <v>16279</v>
      </c>
      <c r="B5229" s="1" t="s">
        <v>16280</v>
      </c>
      <c r="D5229" s="1" t="s">
        <v>16281</v>
      </c>
      <c r="E5229" s="1" t="s">
        <v>209</v>
      </c>
      <c r="F5229" s="1" t="s">
        <v>5017</v>
      </c>
      <c r="G5229" s="1" t="s">
        <v>5018</v>
      </c>
      <c r="H5229" s="1">
        <v>0.1</v>
      </c>
      <c r="I5229" s="1">
        <v>0.1</v>
      </c>
      <c r="J5229" s="1">
        <v>0.53132021396430074</v>
      </c>
      <c r="K5229" s="1" t="s">
        <v>181</v>
      </c>
    </row>
    <row r="5230" spans="1:11" x14ac:dyDescent="0.25">
      <c r="A5230" s="1" t="s">
        <v>16282</v>
      </c>
      <c r="B5230" s="1" t="s">
        <v>16283</v>
      </c>
      <c r="D5230" s="1" t="s">
        <v>16284</v>
      </c>
      <c r="E5230" s="1" t="s">
        <v>209</v>
      </c>
      <c r="F5230" s="1" t="s">
        <v>5017</v>
      </c>
      <c r="G5230" s="1" t="s">
        <v>5018</v>
      </c>
      <c r="H5230" s="1">
        <v>0.1</v>
      </c>
      <c r="I5230" s="1">
        <v>0.1</v>
      </c>
      <c r="J5230" s="1">
        <v>0.55952961262215195</v>
      </c>
      <c r="K5230" s="1" t="s">
        <v>181</v>
      </c>
    </row>
    <row r="5231" spans="1:11" x14ac:dyDescent="0.25">
      <c r="A5231" s="1" t="s">
        <v>16285</v>
      </c>
      <c r="B5231" s="1" t="s">
        <v>16286</v>
      </c>
      <c r="D5231" s="1" t="s">
        <v>16287</v>
      </c>
      <c r="E5231" s="1" t="s">
        <v>209</v>
      </c>
      <c r="F5231" s="1" t="s">
        <v>5017</v>
      </c>
      <c r="G5231" s="1" t="s">
        <v>5018</v>
      </c>
      <c r="H5231" s="1">
        <v>0.1</v>
      </c>
      <c r="I5231" s="1">
        <v>0.1</v>
      </c>
      <c r="J5231" s="1">
        <v>0.75997526182948494</v>
      </c>
      <c r="K5231" s="1" t="s">
        <v>181</v>
      </c>
    </row>
    <row r="5232" spans="1:11" x14ac:dyDescent="0.25">
      <c r="A5232" s="1" t="s">
        <v>16288</v>
      </c>
      <c r="B5232" s="1" t="s">
        <v>16289</v>
      </c>
      <c r="D5232" s="1" t="s">
        <v>16290</v>
      </c>
      <c r="E5232" s="1" t="s">
        <v>209</v>
      </c>
      <c r="F5232" s="1" t="s">
        <v>5017</v>
      </c>
      <c r="G5232" s="1" t="s">
        <v>5018</v>
      </c>
      <c r="H5232" s="1">
        <v>0.1</v>
      </c>
      <c r="I5232" s="1">
        <v>0.1</v>
      </c>
      <c r="J5232" s="1">
        <v>0.63494619360665749</v>
      </c>
      <c r="K5232" s="1" t="s">
        <v>181</v>
      </c>
    </row>
    <row r="5233" spans="1:11" x14ac:dyDescent="0.25">
      <c r="A5233" s="1" t="s">
        <v>16291</v>
      </c>
      <c r="B5233" s="1" t="s">
        <v>16292</v>
      </c>
      <c r="D5233" s="1" t="s">
        <v>16293</v>
      </c>
      <c r="E5233" s="1" t="s">
        <v>209</v>
      </c>
      <c r="F5233" s="1" t="s">
        <v>5017</v>
      </c>
      <c r="G5233" s="1" t="s">
        <v>5018</v>
      </c>
      <c r="H5233" s="1">
        <v>0.1</v>
      </c>
      <c r="I5233" s="1">
        <v>0.1</v>
      </c>
      <c r="J5233" s="1">
        <v>0.54930392420783181</v>
      </c>
      <c r="K5233" s="1" t="s">
        <v>181</v>
      </c>
    </row>
    <row r="5234" spans="1:11" x14ac:dyDescent="0.25">
      <c r="A5234" s="1" t="s">
        <v>16294</v>
      </c>
      <c r="B5234" s="1" t="s">
        <v>16295</v>
      </c>
      <c r="D5234" s="1" t="s">
        <v>16296</v>
      </c>
      <c r="E5234" s="1" t="s">
        <v>209</v>
      </c>
      <c r="F5234" s="1" t="s">
        <v>5017</v>
      </c>
      <c r="G5234" s="1" t="s">
        <v>5018</v>
      </c>
      <c r="H5234" s="1">
        <v>0.1</v>
      </c>
      <c r="I5234" s="1">
        <v>0.1</v>
      </c>
      <c r="J5234" s="1">
        <v>0.99561270025929594</v>
      </c>
      <c r="K5234" s="1" t="s">
        <v>181</v>
      </c>
    </row>
    <row r="5235" spans="1:11" x14ac:dyDescent="0.25">
      <c r="A5235" s="1" t="s">
        <v>16297</v>
      </c>
      <c r="B5235" s="1" t="s">
        <v>16298</v>
      </c>
      <c r="D5235" s="1" t="s">
        <v>16299</v>
      </c>
      <c r="E5235" s="1" t="s">
        <v>209</v>
      </c>
      <c r="F5235" s="1" t="s">
        <v>5017</v>
      </c>
      <c r="G5235" s="1" t="s">
        <v>5018</v>
      </c>
      <c r="H5235" s="1">
        <v>0.1</v>
      </c>
      <c r="I5235" s="1">
        <v>0.1</v>
      </c>
      <c r="J5235" s="1">
        <v>0.7538900842464854</v>
      </c>
      <c r="K5235" s="1" t="s">
        <v>181</v>
      </c>
    </row>
    <row r="5236" spans="1:11" x14ac:dyDescent="0.25">
      <c r="A5236" s="1" t="s">
        <v>16300</v>
      </c>
      <c r="B5236" s="1" t="s">
        <v>16301</v>
      </c>
      <c r="D5236" s="1" t="s">
        <v>16302</v>
      </c>
      <c r="E5236" s="1" t="s">
        <v>209</v>
      </c>
      <c r="F5236" s="1" t="s">
        <v>5017</v>
      </c>
      <c r="G5236" s="1" t="s">
        <v>5018</v>
      </c>
      <c r="H5236" s="1">
        <v>0.1</v>
      </c>
      <c r="I5236" s="1">
        <v>0.1</v>
      </c>
      <c r="J5236" s="1">
        <v>0.88330170117841456</v>
      </c>
      <c r="K5236" s="1" t="s">
        <v>181</v>
      </c>
    </row>
    <row r="5237" spans="1:11" x14ac:dyDescent="0.25">
      <c r="A5237" s="1" t="s">
        <v>16303</v>
      </c>
      <c r="B5237" s="1" t="s">
        <v>16304</v>
      </c>
      <c r="D5237" s="1" t="s">
        <v>16305</v>
      </c>
      <c r="E5237" s="1" t="s">
        <v>209</v>
      </c>
      <c r="F5237" s="1" t="s">
        <v>5017</v>
      </c>
      <c r="G5237" s="1" t="s">
        <v>5018</v>
      </c>
      <c r="H5237" s="1">
        <v>0.1</v>
      </c>
      <c r="I5237" s="1">
        <v>0.1</v>
      </c>
      <c r="J5237" s="1">
        <v>0.82293744950613656</v>
      </c>
      <c r="K5237" s="1" t="s">
        <v>181</v>
      </c>
    </row>
    <row r="5238" spans="1:11" x14ac:dyDescent="0.25">
      <c r="A5238" s="1" t="s">
        <v>16306</v>
      </c>
      <c r="B5238" s="1" t="s">
        <v>16307</v>
      </c>
      <c r="D5238" s="1" t="s">
        <v>16308</v>
      </c>
      <c r="E5238" s="1" t="s">
        <v>209</v>
      </c>
      <c r="F5238" s="1" t="s">
        <v>5017</v>
      </c>
      <c r="G5238" s="1" t="s">
        <v>5018</v>
      </c>
      <c r="H5238" s="1">
        <v>0.1</v>
      </c>
      <c r="I5238" s="1">
        <v>0.1</v>
      </c>
      <c r="J5238" s="1">
        <v>0.7871170306201718</v>
      </c>
      <c r="K5238" s="1" t="s">
        <v>181</v>
      </c>
    </row>
    <row r="5239" spans="1:11" x14ac:dyDescent="0.25">
      <c r="A5239" s="1" t="s">
        <v>16309</v>
      </c>
      <c r="B5239" s="1" t="s">
        <v>16310</v>
      </c>
      <c r="D5239" s="1" t="s">
        <v>16311</v>
      </c>
      <c r="E5239" s="1" t="s">
        <v>209</v>
      </c>
      <c r="F5239" s="1" t="s">
        <v>5017</v>
      </c>
      <c r="G5239" s="1" t="s">
        <v>5018</v>
      </c>
      <c r="H5239" s="1">
        <v>0.1</v>
      </c>
      <c r="I5239" s="1">
        <v>0.1</v>
      </c>
      <c r="J5239" s="1">
        <v>0.58452805587487877</v>
      </c>
      <c r="K5239" s="1" t="s">
        <v>181</v>
      </c>
    </row>
    <row r="5240" spans="1:11" x14ac:dyDescent="0.25">
      <c r="A5240" s="1" t="s">
        <v>16312</v>
      </c>
      <c r="B5240" s="1" t="s">
        <v>16313</v>
      </c>
      <c r="D5240" s="1" t="s">
        <v>16314</v>
      </c>
      <c r="E5240" s="1" t="s">
        <v>209</v>
      </c>
      <c r="F5240" s="1" t="s">
        <v>5017</v>
      </c>
      <c r="G5240" s="1" t="s">
        <v>5018</v>
      </c>
      <c r="H5240" s="1">
        <v>0.1</v>
      </c>
      <c r="I5240" s="1">
        <v>0.1</v>
      </c>
      <c r="J5240" s="1">
        <v>0.79390421573088088</v>
      </c>
      <c r="K5240" s="1" t="s">
        <v>181</v>
      </c>
    </row>
    <row r="5241" spans="1:11" x14ac:dyDescent="0.25">
      <c r="A5241" s="1" t="s">
        <v>16315</v>
      </c>
      <c r="B5241" s="1" t="s">
        <v>16316</v>
      </c>
      <c r="D5241" s="1" t="s">
        <v>16317</v>
      </c>
      <c r="E5241" s="1" t="s">
        <v>209</v>
      </c>
      <c r="F5241" s="1" t="s">
        <v>5017</v>
      </c>
      <c r="G5241" s="1" t="s">
        <v>5018</v>
      </c>
      <c r="H5241" s="1">
        <v>0.1</v>
      </c>
      <c r="I5241" s="1">
        <v>0.1</v>
      </c>
      <c r="J5241" s="1">
        <v>0.72524220011317908</v>
      </c>
      <c r="K5241" s="1" t="s">
        <v>181</v>
      </c>
    </row>
    <row r="5242" spans="1:11" x14ac:dyDescent="0.25">
      <c r="A5242" s="1" t="s">
        <v>16318</v>
      </c>
      <c r="B5242" s="1" t="s">
        <v>16319</v>
      </c>
      <c r="D5242" s="1" t="s">
        <v>16320</v>
      </c>
      <c r="E5242" s="1" t="s">
        <v>209</v>
      </c>
      <c r="F5242" s="1" t="s">
        <v>5017</v>
      </c>
      <c r="G5242" s="1" t="s">
        <v>5018</v>
      </c>
      <c r="H5242" s="1">
        <v>0.1</v>
      </c>
      <c r="I5242" s="1">
        <v>0.1</v>
      </c>
      <c r="J5242" s="1">
        <v>0.83086484790506421</v>
      </c>
      <c r="K5242" s="1" t="s">
        <v>181</v>
      </c>
    </row>
    <row r="5243" spans="1:11" x14ac:dyDescent="0.25">
      <c r="A5243" s="1" t="s">
        <v>16321</v>
      </c>
      <c r="B5243" s="1" t="s">
        <v>16322</v>
      </c>
      <c r="D5243" s="1" t="s">
        <v>16323</v>
      </c>
      <c r="E5243" s="1" t="s">
        <v>209</v>
      </c>
      <c r="F5243" s="1" t="s">
        <v>5017</v>
      </c>
      <c r="G5243" s="1" t="s">
        <v>5018</v>
      </c>
      <c r="H5243" s="1">
        <v>0.1</v>
      </c>
      <c r="I5243" s="1">
        <v>0.1</v>
      </c>
      <c r="J5243" s="1">
        <v>0.85306969573976466</v>
      </c>
      <c r="K5243" s="1" t="s">
        <v>181</v>
      </c>
    </row>
    <row r="5244" spans="1:11" x14ac:dyDescent="0.25">
      <c r="A5244" s="1" t="s">
        <v>16324</v>
      </c>
      <c r="B5244" s="1" t="s">
        <v>16325</v>
      </c>
      <c r="D5244" s="1" t="s">
        <v>16326</v>
      </c>
      <c r="E5244" s="1" t="s">
        <v>209</v>
      </c>
      <c r="F5244" s="1" t="s">
        <v>5017</v>
      </c>
      <c r="G5244" s="1" t="s">
        <v>5018</v>
      </c>
      <c r="H5244" s="1">
        <v>0.1</v>
      </c>
      <c r="I5244" s="1">
        <v>0.1</v>
      </c>
      <c r="J5244" s="1">
        <v>0.55733704082963509</v>
      </c>
      <c r="K5244" s="1" t="s">
        <v>181</v>
      </c>
    </row>
    <row r="5245" spans="1:11" x14ac:dyDescent="0.25">
      <c r="A5245" s="1" t="s">
        <v>16327</v>
      </c>
      <c r="B5245" s="1" t="s">
        <v>16328</v>
      </c>
      <c r="D5245" s="1" t="s">
        <v>16329</v>
      </c>
      <c r="E5245" s="1" t="s">
        <v>209</v>
      </c>
      <c r="F5245" s="1" t="s">
        <v>5017</v>
      </c>
      <c r="G5245" s="1" t="s">
        <v>5018</v>
      </c>
      <c r="H5245" s="1">
        <v>0.1</v>
      </c>
      <c r="I5245" s="1">
        <v>0.1</v>
      </c>
      <c r="J5245" s="1">
        <v>0.78863411927180371</v>
      </c>
      <c r="K5245" s="1" t="s">
        <v>181</v>
      </c>
    </row>
    <row r="5246" spans="1:11" x14ac:dyDescent="0.25">
      <c r="A5246" s="1" t="s">
        <v>16330</v>
      </c>
      <c r="B5246" s="1" t="s">
        <v>16331</v>
      </c>
      <c r="D5246" s="1" t="s">
        <v>16332</v>
      </c>
      <c r="E5246" s="1" t="s">
        <v>209</v>
      </c>
      <c r="F5246" s="1" t="s">
        <v>5017</v>
      </c>
      <c r="G5246" s="1" t="s">
        <v>5018</v>
      </c>
      <c r="H5246" s="1">
        <v>0.1</v>
      </c>
      <c r="I5246" s="1">
        <v>0.1</v>
      </c>
      <c r="J5246" s="1">
        <v>0.74298982283996851</v>
      </c>
      <c r="K5246" s="1" t="s">
        <v>181</v>
      </c>
    </row>
    <row r="5247" spans="1:11" x14ac:dyDescent="0.25">
      <c r="A5247" s="1" t="s">
        <v>16333</v>
      </c>
      <c r="B5247" s="1" t="s">
        <v>16334</v>
      </c>
      <c r="D5247" s="1" t="s">
        <v>16335</v>
      </c>
      <c r="E5247" s="1" t="s">
        <v>209</v>
      </c>
      <c r="F5247" s="1" t="s">
        <v>5017</v>
      </c>
      <c r="G5247" s="1" t="s">
        <v>5018</v>
      </c>
      <c r="H5247" s="1">
        <v>0.1</v>
      </c>
      <c r="I5247" s="1">
        <v>0.1</v>
      </c>
      <c r="J5247" s="1">
        <v>0.68392613658258461</v>
      </c>
      <c r="K5247" s="1" t="s">
        <v>181</v>
      </c>
    </row>
    <row r="5248" spans="1:11" x14ac:dyDescent="0.25">
      <c r="A5248" s="1" t="s">
        <v>16336</v>
      </c>
      <c r="B5248" s="1" t="s">
        <v>16337</v>
      </c>
      <c r="D5248" s="1" t="s">
        <v>16338</v>
      </c>
      <c r="E5248" s="1" t="s">
        <v>209</v>
      </c>
      <c r="F5248" s="1" t="s">
        <v>5017</v>
      </c>
      <c r="G5248" s="1" t="s">
        <v>5018</v>
      </c>
      <c r="H5248" s="1">
        <v>0.1</v>
      </c>
      <c r="I5248" s="1">
        <v>0.1</v>
      </c>
      <c r="J5248" s="1">
        <v>0.55076328910484851</v>
      </c>
      <c r="K5248" s="1" t="s">
        <v>181</v>
      </c>
    </row>
    <row r="5249" spans="1:11" x14ac:dyDescent="0.25">
      <c r="A5249" s="1" t="s">
        <v>16339</v>
      </c>
      <c r="B5249" s="1" t="s">
        <v>16340</v>
      </c>
      <c r="D5249" s="1" t="s">
        <v>16341</v>
      </c>
      <c r="E5249" s="1" t="s">
        <v>209</v>
      </c>
      <c r="F5249" s="1" t="s">
        <v>5017</v>
      </c>
      <c r="G5249" s="1" t="s">
        <v>5018</v>
      </c>
      <c r="H5249" s="1">
        <v>0.1</v>
      </c>
      <c r="I5249" s="1">
        <v>0.1</v>
      </c>
      <c r="J5249" s="1">
        <v>0.57615105417667756</v>
      </c>
      <c r="K5249" s="1" t="s">
        <v>181</v>
      </c>
    </row>
    <row r="5250" spans="1:11" x14ac:dyDescent="0.25">
      <c r="A5250" s="1" t="s">
        <v>16342</v>
      </c>
      <c r="B5250" s="1" t="s">
        <v>16343</v>
      </c>
      <c r="D5250" s="1" t="s">
        <v>16344</v>
      </c>
      <c r="E5250" s="1" t="s">
        <v>209</v>
      </c>
      <c r="F5250" s="1" t="s">
        <v>5017</v>
      </c>
      <c r="G5250" s="1" t="s">
        <v>5018</v>
      </c>
      <c r="H5250" s="1">
        <v>0.1</v>
      </c>
      <c r="I5250" s="1">
        <v>0.1</v>
      </c>
      <c r="J5250" s="1">
        <v>0.82443957082589225</v>
      </c>
      <c r="K5250" s="1" t="s">
        <v>181</v>
      </c>
    </row>
    <row r="5251" spans="1:11" x14ac:dyDescent="0.25">
      <c r="A5251" s="1" t="s">
        <v>16345</v>
      </c>
      <c r="B5251" s="1" t="s">
        <v>16346</v>
      </c>
      <c r="D5251" s="1" t="s">
        <v>16347</v>
      </c>
      <c r="E5251" s="1" t="s">
        <v>209</v>
      </c>
      <c r="F5251" s="1" t="s">
        <v>5017</v>
      </c>
      <c r="G5251" s="1" t="s">
        <v>5018</v>
      </c>
      <c r="H5251" s="1">
        <v>0.1</v>
      </c>
      <c r="I5251" s="1">
        <v>0.1</v>
      </c>
      <c r="J5251" s="1">
        <v>0.63264453296241807</v>
      </c>
      <c r="K5251" s="1" t="s">
        <v>181</v>
      </c>
    </row>
    <row r="5252" spans="1:11" x14ac:dyDescent="0.25">
      <c r="A5252" s="1" t="s">
        <v>16348</v>
      </c>
      <c r="B5252" s="1" t="s">
        <v>16349</v>
      </c>
      <c r="D5252" s="1" t="s">
        <v>16350</v>
      </c>
      <c r="E5252" s="1" t="s">
        <v>209</v>
      </c>
      <c r="F5252" s="1" t="s">
        <v>5017</v>
      </c>
      <c r="G5252" s="1" t="s">
        <v>5018</v>
      </c>
      <c r="H5252" s="1">
        <v>0.1</v>
      </c>
      <c r="I5252" s="1">
        <v>0.1</v>
      </c>
      <c r="J5252" s="1">
        <v>0.92937586520814708</v>
      </c>
      <c r="K5252" s="1" t="s">
        <v>181</v>
      </c>
    </row>
    <row r="5253" spans="1:11" x14ac:dyDescent="0.25">
      <c r="A5253" s="1" t="s">
        <v>16351</v>
      </c>
      <c r="B5253" s="1" t="s">
        <v>16352</v>
      </c>
      <c r="D5253" s="1" t="s">
        <v>16353</v>
      </c>
      <c r="E5253" s="1" t="s">
        <v>209</v>
      </c>
      <c r="F5253" s="1" t="s">
        <v>5017</v>
      </c>
      <c r="G5253" s="1" t="s">
        <v>5018</v>
      </c>
      <c r="H5253" s="1">
        <v>0.1</v>
      </c>
      <c r="I5253" s="1">
        <v>0.1</v>
      </c>
      <c r="J5253" s="1">
        <v>0.64345993080769637</v>
      </c>
      <c r="K5253" s="1" t="s">
        <v>181</v>
      </c>
    </row>
    <row r="5254" spans="1:11" x14ac:dyDescent="0.25">
      <c r="A5254" s="1" t="s">
        <v>16354</v>
      </c>
      <c r="B5254" s="1" t="s">
        <v>16355</v>
      </c>
      <c r="D5254" s="1" t="s">
        <v>16356</v>
      </c>
      <c r="E5254" s="1" t="s">
        <v>209</v>
      </c>
      <c r="F5254" s="1" t="s">
        <v>5017</v>
      </c>
      <c r="G5254" s="1" t="s">
        <v>5018</v>
      </c>
      <c r="H5254" s="1">
        <v>0.1</v>
      </c>
      <c r="I5254" s="1">
        <v>0.1</v>
      </c>
      <c r="J5254" s="1">
        <v>0.5282042919680584</v>
      </c>
      <c r="K5254" s="1" t="s">
        <v>181</v>
      </c>
    </row>
    <row r="5255" spans="1:11" x14ac:dyDescent="0.25">
      <c r="A5255" s="1" t="s">
        <v>16357</v>
      </c>
      <c r="B5255" s="1" t="s">
        <v>16358</v>
      </c>
      <c r="D5255" s="1" t="s">
        <v>16359</v>
      </c>
      <c r="E5255" s="1" t="s">
        <v>209</v>
      </c>
      <c r="F5255" s="1" t="s">
        <v>5017</v>
      </c>
      <c r="G5255" s="1" t="s">
        <v>5018</v>
      </c>
      <c r="H5255" s="1">
        <v>0.1</v>
      </c>
      <c r="I5255" s="1">
        <v>0.1</v>
      </c>
      <c r="J5255" s="1">
        <v>0.46495754647445098</v>
      </c>
      <c r="K5255" s="1" t="s">
        <v>181</v>
      </c>
    </row>
    <row r="5256" spans="1:11" x14ac:dyDescent="0.25">
      <c r="A5256" s="1" t="s">
        <v>16360</v>
      </c>
      <c r="B5256" s="1" t="s">
        <v>16361</v>
      </c>
      <c r="D5256" s="1" t="s">
        <v>16362</v>
      </c>
      <c r="E5256" s="1" t="s">
        <v>209</v>
      </c>
      <c r="F5256" s="1" t="s">
        <v>5017</v>
      </c>
      <c r="G5256" s="1" t="s">
        <v>5018</v>
      </c>
      <c r="H5256" s="1">
        <v>0.1</v>
      </c>
      <c r="I5256" s="1">
        <v>0.1</v>
      </c>
      <c r="J5256" s="1">
        <v>0.5111342415446406</v>
      </c>
      <c r="K5256" s="1" t="s">
        <v>181</v>
      </c>
    </row>
    <row r="5257" spans="1:11" x14ac:dyDescent="0.25">
      <c r="A5257" s="1" t="s">
        <v>16363</v>
      </c>
      <c r="B5257" s="1" t="s">
        <v>16364</v>
      </c>
      <c r="D5257" s="1" t="s">
        <v>16365</v>
      </c>
      <c r="E5257" s="1" t="s">
        <v>209</v>
      </c>
      <c r="F5257" s="1" t="s">
        <v>5017</v>
      </c>
      <c r="G5257" s="1" t="s">
        <v>5018</v>
      </c>
      <c r="H5257" s="1">
        <v>0.1</v>
      </c>
      <c r="I5257" s="1">
        <v>0.1</v>
      </c>
      <c r="J5257" s="1">
        <v>0.5151476927076255</v>
      </c>
      <c r="K5257" s="1" t="s">
        <v>181</v>
      </c>
    </row>
    <row r="5258" spans="1:11" x14ac:dyDescent="0.25">
      <c r="A5258" s="1" t="s">
        <v>16366</v>
      </c>
      <c r="B5258" s="1" t="s">
        <v>16367</v>
      </c>
      <c r="D5258" s="1" t="s">
        <v>16368</v>
      </c>
      <c r="E5258" s="1" t="s">
        <v>209</v>
      </c>
      <c r="F5258" s="1" t="s">
        <v>5017</v>
      </c>
      <c r="G5258" s="1" t="s">
        <v>5018</v>
      </c>
      <c r="H5258" s="1">
        <v>0.1</v>
      </c>
      <c r="I5258" s="1">
        <v>0.1</v>
      </c>
      <c r="J5258" s="1">
        <v>0.65369882349440178</v>
      </c>
      <c r="K5258" s="1" t="s">
        <v>181</v>
      </c>
    </row>
    <row r="5259" spans="1:11" x14ac:dyDescent="0.25">
      <c r="A5259" s="1" t="s">
        <v>16369</v>
      </c>
      <c r="B5259" s="1" t="s">
        <v>16370</v>
      </c>
      <c r="D5259" s="1" t="s">
        <v>16371</v>
      </c>
      <c r="E5259" s="1" t="s">
        <v>209</v>
      </c>
      <c r="F5259" s="1" t="s">
        <v>5017</v>
      </c>
      <c r="G5259" s="1" t="s">
        <v>5018</v>
      </c>
      <c r="H5259" s="1">
        <v>0.1</v>
      </c>
      <c r="I5259" s="1">
        <v>0.1</v>
      </c>
      <c r="J5259" s="1">
        <v>0.56239077448606878</v>
      </c>
      <c r="K5259" s="1" t="s">
        <v>181</v>
      </c>
    </row>
    <row r="5260" spans="1:11" x14ac:dyDescent="0.25">
      <c r="A5260" s="1" t="s">
        <v>16372</v>
      </c>
      <c r="B5260" s="1" t="s">
        <v>16373</v>
      </c>
      <c r="D5260" s="1" t="s">
        <v>16374</v>
      </c>
      <c r="E5260" s="1" t="s">
        <v>209</v>
      </c>
      <c r="F5260" s="1" t="s">
        <v>5017</v>
      </c>
      <c r="G5260" s="1" t="s">
        <v>5018</v>
      </c>
      <c r="H5260" s="1">
        <v>0.1</v>
      </c>
      <c r="I5260" s="1">
        <v>0.1</v>
      </c>
      <c r="J5260" s="1">
        <v>0.43017130158156491</v>
      </c>
      <c r="K5260" s="1" t="s">
        <v>181</v>
      </c>
    </row>
    <row r="5261" spans="1:11" x14ac:dyDescent="0.25">
      <c r="A5261" s="1" t="s">
        <v>16375</v>
      </c>
      <c r="B5261" s="1" t="s">
        <v>16376</v>
      </c>
      <c r="D5261" s="1" t="s">
        <v>16377</v>
      </c>
      <c r="E5261" s="1" t="s">
        <v>209</v>
      </c>
      <c r="F5261" s="1" t="s">
        <v>5017</v>
      </c>
      <c r="G5261" s="1" t="s">
        <v>5018</v>
      </c>
      <c r="H5261" s="1">
        <v>0.1</v>
      </c>
      <c r="I5261" s="1">
        <v>0.1</v>
      </c>
      <c r="J5261" s="1">
        <v>0.4569668106516967</v>
      </c>
      <c r="K5261" s="1" t="s">
        <v>181</v>
      </c>
    </row>
    <row r="5262" spans="1:11" x14ac:dyDescent="0.25">
      <c r="A5262" s="1" t="s">
        <v>16378</v>
      </c>
      <c r="B5262" s="1" t="s">
        <v>16379</v>
      </c>
      <c r="D5262" s="1" t="s">
        <v>16380</v>
      </c>
      <c r="E5262" s="1" t="s">
        <v>209</v>
      </c>
      <c r="F5262" s="1" t="s">
        <v>5017</v>
      </c>
      <c r="G5262" s="1" t="s">
        <v>5018</v>
      </c>
      <c r="H5262" s="1">
        <v>0.1</v>
      </c>
      <c r="I5262" s="1">
        <v>0.1</v>
      </c>
      <c r="J5262" s="1">
        <v>0.48123479740040315</v>
      </c>
      <c r="K5262" s="1" t="s">
        <v>181</v>
      </c>
    </row>
    <row r="5263" spans="1:11" x14ac:dyDescent="0.25">
      <c r="A5263" s="1" t="s">
        <v>16381</v>
      </c>
      <c r="B5263" s="1" t="s">
        <v>16382</v>
      </c>
      <c r="D5263" s="1" t="s">
        <v>16383</v>
      </c>
      <c r="E5263" s="1" t="s">
        <v>209</v>
      </c>
      <c r="F5263" s="1" t="s">
        <v>5017</v>
      </c>
      <c r="G5263" s="1" t="s">
        <v>5018</v>
      </c>
      <c r="H5263" s="1">
        <v>0.1</v>
      </c>
      <c r="I5263" s="1">
        <v>0.1</v>
      </c>
      <c r="J5263" s="1">
        <v>0.92021235305744464</v>
      </c>
      <c r="K5263" s="1" t="s">
        <v>181</v>
      </c>
    </row>
    <row r="5264" spans="1:11" x14ac:dyDescent="0.25">
      <c r="A5264" s="1" t="s">
        <v>16384</v>
      </c>
      <c r="B5264" s="1" t="s">
        <v>16385</v>
      </c>
      <c r="D5264" s="1" t="s">
        <v>16386</v>
      </c>
      <c r="E5264" s="1" t="s">
        <v>209</v>
      </c>
      <c r="F5264" s="1" t="s">
        <v>5017</v>
      </c>
      <c r="G5264" s="1" t="s">
        <v>5018</v>
      </c>
      <c r="H5264" s="1">
        <v>0.1</v>
      </c>
      <c r="I5264" s="1">
        <v>0.1</v>
      </c>
      <c r="J5264" s="1">
        <v>0.73253660615172034</v>
      </c>
      <c r="K5264" s="1" t="s">
        <v>181</v>
      </c>
    </row>
    <row r="5265" spans="1:11" x14ac:dyDescent="0.25">
      <c r="A5265" s="1" t="s">
        <v>16387</v>
      </c>
      <c r="B5265" s="1" t="s">
        <v>16388</v>
      </c>
      <c r="D5265" s="1" t="s">
        <v>16389</v>
      </c>
      <c r="E5265" s="1" t="s">
        <v>209</v>
      </c>
      <c r="F5265" s="1" t="s">
        <v>5017</v>
      </c>
      <c r="G5265" s="1" t="s">
        <v>5018</v>
      </c>
      <c r="H5265" s="1">
        <v>0.1</v>
      </c>
      <c r="I5265" s="1">
        <v>0.1</v>
      </c>
      <c r="J5265" s="1">
        <v>0.75431011790324698</v>
      </c>
      <c r="K5265" s="1" t="s">
        <v>181</v>
      </c>
    </row>
    <row r="5266" spans="1:11" x14ac:dyDescent="0.25">
      <c r="A5266" s="1" t="s">
        <v>16390</v>
      </c>
      <c r="B5266" s="1" t="s">
        <v>16391</v>
      </c>
      <c r="D5266" s="1" t="s">
        <v>16392</v>
      </c>
      <c r="E5266" s="1" t="s">
        <v>209</v>
      </c>
      <c r="F5266" s="1" t="s">
        <v>5017</v>
      </c>
      <c r="G5266" s="1" t="s">
        <v>5018</v>
      </c>
      <c r="H5266" s="1">
        <v>0.1</v>
      </c>
      <c r="I5266" s="1">
        <v>0.1</v>
      </c>
      <c r="J5266" s="1">
        <v>0.53821044503310278</v>
      </c>
      <c r="K5266" s="1" t="s">
        <v>181</v>
      </c>
    </row>
    <row r="5267" spans="1:11" x14ac:dyDescent="0.25">
      <c r="A5267" s="1" t="s">
        <v>16393</v>
      </c>
      <c r="B5267" s="1" t="s">
        <v>16394</v>
      </c>
      <c r="D5267" s="1" t="s">
        <v>16395</v>
      </c>
      <c r="E5267" s="1" t="s">
        <v>209</v>
      </c>
      <c r="F5267" s="1" t="s">
        <v>5017</v>
      </c>
      <c r="G5267" s="1" t="s">
        <v>5018</v>
      </c>
      <c r="H5267" s="1">
        <v>0.1</v>
      </c>
      <c r="I5267" s="1">
        <v>0.1</v>
      </c>
      <c r="J5267" s="1">
        <v>0.67055965646684612</v>
      </c>
      <c r="K5267" s="1" t="s">
        <v>181</v>
      </c>
    </row>
    <row r="5268" spans="1:11" x14ac:dyDescent="0.25">
      <c r="A5268" s="1" t="s">
        <v>16396</v>
      </c>
      <c r="B5268" s="1" t="s">
        <v>16397</v>
      </c>
      <c r="D5268" s="1" t="s">
        <v>16398</v>
      </c>
      <c r="E5268" s="1" t="s">
        <v>209</v>
      </c>
      <c r="F5268" s="1" t="s">
        <v>5017</v>
      </c>
      <c r="G5268" s="1" t="s">
        <v>5018</v>
      </c>
      <c r="H5268" s="1">
        <v>0.1</v>
      </c>
      <c r="I5268" s="1">
        <v>0.1</v>
      </c>
      <c r="J5268" s="1">
        <v>0.81920652422973994</v>
      </c>
      <c r="K5268" s="1" t="s">
        <v>181</v>
      </c>
    </row>
    <row r="5269" spans="1:11" x14ac:dyDescent="0.25">
      <c r="A5269" s="1" t="s">
        <v>16399</v>
      </c>
      <c r="B5269" s="1" t="s">
        <v>16400</v>
      </c>
      <c r="D5269" s="1" t="s">
        <v>16401</v>
      </c>
      <c r="E5269" s="1" t="s">
        <v>209</v>
      </c>
      <c r="F5269" s="1" t="s">
        <v>5017</v>
      </c>
      <c r="G5269" s="1" t="s">
        <v>5018</v>
      </c>
      <c r="H5269" s="1">
        <v>0.1</v>
      </c>
      <c r="I5269" s="1">
        <v>0.1</v>
      </c>
      <c r="J5269" s="1">
        <v>0.69888776476090542</v>
      </c>
      <c r="K5269" s="1" t="s">
        <v>181</v>
      </c>
    </row>
    <row r="5270" spans="1:11" x14ac:dyDescent="0.25">
      <c r="A5270" s="1" t="s">
        <v>16402</v>
      </c>
      <c r="B5270" s="1" t="s">
        <v>16403</v>
      </c>
      <c r="D5270" s="1" t="s">
        <v>16404</v>
      </c>
      <c r="E5270" s="1" t="s">
        <v>209</v>
      </c>
      <c r="F5270" s="1" t="s">
        <v>5017</v>
      </c>
      <c r="G5270" s="1" t="s">
        <v>5018</v>
      </c>
      <c r="H5270" s="1">
        <v>0.1</v>
      </c>
      <c r="I5270" s="1">
        <v>0.1</v>
      </c>
      <c r="J5270" s="1">
        <v>0.43599115269752931</v>
      </c>
      <c r="K5270" s="1" t="s">
        <v>181</v>
      </c>
    </row>
    <row r="5271" spans="1:11" x14ac:dyDescent="0.25">
      <c r="A5271" s="1" t="s">
        <v>16405</v>
      </c>
      <c r="B5271" s="1" t="s">
        <v>16406</v>
      </c>
      <c r="D5271" s="1" t="s">
        <v>16407</v>
      </c>
      <c r="E5271" s="1" t="s">
        <v>209</v>
      </c>
      <c r="F5271" s="1" t="s">
        <v>5017</v>
      </c>
      <c r="G5271" s="1" t="s">
        <v>5018</v>
      </c>
      <c r="H5271" s="1">
        <v>0.1</v>
      </c>
      <c r="I5271" s="1">
        <v>0.1</v>
      </c>
      <c r="J5271" s="1">
        <v>1.2545581492087268</v>
      </c>
      <c r="K5271" s="1" t="s">
        <v>181</v>
      </c>
    </row>
    <row r="5272" spans="1:11" x14ac:dyDescent="0.25">
      <c r="A5272" s="1" t="s">
        <v>16408</v>
      </c>
      <c r="B5272" s="1" t="s">
        <v>16409</v>
      </c>
      <c r="D5272" s="1" t="s">
        <v>16410</v>
      </c>
      <c r="E5272" s="1" t="s">
        <v>209</v>
      </c>
      <c r="F5272" s="1" t="s">
        <v>5017</v>
      </c>
      <c r="G5272" s="1" t="s">
        <v>5018</v>
      </c>
      <c r="H5272" s="1">
        <v>0.1</v>
      </c>
      <c r="I5272" s="1">
        <v>0.1</v>
      </c>
      <c r="J5272" s="1">
        <v>0.8308303511594588</v>
      </c>
      <c r="K5272" s="1" t="s">
        <v>181</v>
      </c>
    </row>
    <row r="5273" spans="1:11" x14ac:dyDescent="0.25">
      <c r="A5273" s="1" t="s">
        <v>16411</v>
      </c>
      <c r="B5273" s="1" t="s">
        <v>16412</v>
      </c>
      <c r="D5273" s="1" t="s">
        <v>16413</v>
      </c>
      <c r="E5273" s="1" t="s">
        <v>209</v>
      </c>
      <c r="F5273" s="1" t="s">
        <v>5017</v>
      </c>
      <c r="G5273" s="1" t="s">
        <v>5018</v>
      </c>
      <c r="H5273" s="1">
        <v>0.1</v>
      </c>
      <c r="I5273" s="1">
        <v>0.1</v>
      </c>
      <c r="J5273" s="1">
        <v>0.418678481997522</v>
      </c>
      <c r="K5273" s="1" t="s">
        <v>181</v>
      </c>
    </row>
    <row r="5274" spans="1:11" x14ac:dyDescent="0.25">
      <c r="A5274" s="1" t="s">
        <v>16414</v>
      </c>
      <c r="B5274" s="1" t="s">
        <v>16415</v>
      </c>
      <c r="D5274" s="1" t="s">
        <v>16416</v>
      </c>
      <c r="E5274" s="1" t="s">
        <v>209</v>
      </c>
      <c r="F5274" s="1" t="s">
        <v>5017</v>
      </c>
      <c r="G5274" s="1" t="s">
        <v>5018</v>
      </c>
      <c r="H5274" s="1">
        <v>0.1</v>
      </c>
      <c r="I5274" s="1">
        <v>0.1</v>
      </c>
      <c r="J5274" s="1">
        <v>0.7187074062558011</v>
      </c>
      <c r="K5274" s="1" t="s">
        <v>181</v>
      </c>
    </row>
    <row r="5275" spans="1:11" x14ac:dyDescent="0.25">
      <c r="A5275" s="1" t="s">
        <v>16417</v>
      </c>
      <c r="B5275" s="1" t="s">
        <v>16418</v>
      </c>
      <c r="D5275" s="1" t="s">
        <v>16419</v>
      </c>
      <c r="E5275" s="1" t="s">
        <v>209</v>
      </c>
      <c r="F5275" s="1" t="s">
        <v>5017</v>
      </c>
      <c r="G5275" s="1" t="s">
        <v>5018</v>
      </c>
      <c r="H5275" s="1">
        <v>0.1</v>
      </c>
      <c r="I5275" s="1">
        <v>0.1</v>
      </c>
      <c r="J5275" s="1">
        <v>0.67497313804943604</v>
      </c>
      <c r="K5275" s="1" t="s">
        <v>181</v>
      </c>
    </row>
    <row r="5276" spans="1:11" x14ac:dyDescent="0.25">
      <c r="A5276" s="1" t="s">
        <v>16420</v>
      </c>
      <c r="B5276" s="1" t="s">
        <v>16421</v>
      </c>
      <c r="D5276" s="1" t="s">
        <v>16422</v>
      </c>
      <c r="E5276" s="1" t="s">
        <v>209</v>
      </c>
      <c r="F5276" s="1" t="s">
        <v>5017</v>
      </c>
      <c r="G5276" s="1" t="s">
        <v>5018</v>
      </c>
      <c r="H5276" s="1">
        <v>0.1</v>
      </c>
      <c r="I5276" s="1">
        <v>0.1</v>
      </c>
      <c r="J5276" s="1">
        <v>0.68691463757801607</v>
      </c>
      <c r="K5276" s="1" t="s">
        <v>181</v>
      </c>
    </row>
    <row r="5277" spans="1:11" x14ac:dyDescent="0.25">
      <c r="A5277" s="1" t="s">
        <v>16423</v>
      </c>
      <c r="B5277" s="1" t="s">
        <v>16424</v>
      </c>
      <c r="D5277" s="1" t="s">
        <v>16425</v>
      </c>
      <c r="E5277" s="1" t="s">
        <v>209</v>
      </c>
      <c r="F5277" s="1" t="s">
        <v>5017</v>
      </c>
      <c r="G5277" s="1" t="s">
        <v>5018</v>
      </c>
      <c r="H5277" s="1">
        <v>0.1</v>
      </c>
      <c r="I5277" s="1">
        <v>0.1</v>
      </c>
      <c r="J5277" s="1">
        <v>0.71257415772805788</v>
      </c>
      <c r="K5277" s="1" t="s">
        <v>181</v>
      </c>
    </row>
    <row r="5278" spans="1:11" x14ac:dyDescent="0.25">
      <c r="A5278" s="1" t="s">
        <v>16426</v>
      </c>
      <c r="B5278" s="1" t="s">
        <v>16427</v>
      </c>
      <c r="D5278" s="1" t="s">
        <v>16428</v>
      </c>
      <c r="E5278" s="1" t="s">
        <v>209</v>
      </c>
      <c r="F5278" s="1" t="s">
        <v>5017</v>
      </c>
      <c r="G5278" s="1" t="s">
        <v>5018</v>
      </c>
      <c r="H5278" s="1">
        <v>0.1</v>
      </c>
      <c r="I5278" s="1">
        <v>0.1</v>
      </c>
      <c r="J5278" s="1">
        <v>0.68410165196521833</v>
      </c>
      <c r="K5278" s="1" t="s">
        <v>181</v>
      </c>
    </row>
    <row r="5279" spans="1:11" x14ac:dyDescent="0.25">
      <c r="A5279" s="1" t="s">
        <v>16429</v>
      </c>
      <c r="B5279" s="1" t="s">
        <v>16430</v>
      </c>
      <c r="D5279" s="1" t="s">
        <v>16431</v>
      </c>
      <c r="E5279" s="1" t="s">
        <v>209</v>
      </c>
      <c r="F5279" s="1" t="s">
        <v>5017</v>
      </c>
      <c r="G5279" s="1" t="s">
        <v>5018</v>
      </c>
      <c r="H5279" s="1">
        <v>0.1</v>
      </c>
      <c r="I5279" s="1">
        <v>0.1</v>
      </c>
      <c r="J5279" s="1">
        <v>0.65182928499235993</v>
      </c>
      <c r="K5279" s="1" t="s">
        <v>181</v>
      </c>
    </row>
    <row r="5280" spans="1:11" x14ac:dyDescent="0.25">
      <c r="A5280" s="1" t="s">
        <v>16432</v>
      </c>
      <c r="B5280" s="1" t="s">
        <v>16433</v>
      </c>
      <c r="D5280" s="1" t="s">
        <v>16434</v>
      </c>
      <c r="E5280" s="1" t="s">
        <v>209</v>
      </c>
      <c r="F5280" s="1" t="s">
        <v>5017</v>
      </c>
      <c r="G5280" s="1" t="s">
        <v>5018</v>
      </c>
      <c r="H5280" s="1">
        <v>0.1</v>
      </c>
      <c r="I5280" s="1">
        <v>0.1</v>
      </c>
      <c r="J5280" s="1">
        <v>0.54068514940557055</v>
      </c>
      <c r="K5280" s="1" t="s">
        <v>181</v>
      </c>
    </row>
    <row r="5281" spans="1:11" x14ac:dyDescent="0.25">
      <c r="A5281" s="1" t="s">
        <v>16435</v>
      </c>
      <c r="B5281" s="1" t="s">
        <v>16436</v>
      </c>
      <c r="D5281" s="1" t="s">
        <v>16437</v>
      </c>
      <c r="E5281" s="1" t="s">
        <v>209</v>
      </c>
      <c r="F5281" s="1" t="s">
        <v>5017</v>
      </c>
      <c r="G5281" s="1" t="s">
        <v>5018</v>
      </c>
      <c r="H5281" s="1">
        <v>0.1</v>
      </c>
      <c r="I5281" s="1">
        <v>0.1</v>
      </c>
      <c r="J5281" s="1">
        <v>0.6470174114260363</v>
      </c>
      <c r="K5281" s="1" t="s">
        <v>181</v>
      </c>
    </row>
    <row r="5282" spans="1:11" x14ac:dyDescent="0.25">
      <c r="A5282" s="1" t="s">
        <v>16438</v>
      </c>
      <c r="B5282" s="1" t="s">
        <v>16439</v>
      </c>
      <c r="D5282" s="1" t="s">
        <v>16440</v>
      </c>
      <c r="E5282" s="1" t="s">
        <v>209</v>
      </c>
      <c r="F5282" s="1" t="s">
        <v>5017</v>
      </c>
      <c r="G5282" s="1" t="s">
        <v>5018</v>
      </c>
      <c r="H5282" s="1">
        <v>0.1</v>
      </c>
      <c r="I5282" s="1">
        <v>0.1</v>
      </c>
      <c r="J5282" s="1">
        <v>0.84253649114470142</v>
      </c>
      <c r="K5282" s="1" t="s">
        <v>181</v>
      </c>
    </row>
    <row r="5283" spans="1:11" x14ac:dyDescent="0.25">
      <c r="A5283" s="1" t="s">
        <v>16441</v>
      </c>
      <c r="B5283" s="1" t="s">
        <v>16442</v>
      </c>
      <c r="D5283" s="1" t="s">
        <v>16443</v>
      </c>
      <c r="E5283" s="1" t="s">
        <v>209</v>
      </c>
      <c r="F5283" s="1" t="s">
        <v>5017</v>
      </c>
      <c r="G5283" s="1" t="s">
        <v>5018</v>
      </c>
      <c r="H5283" s="1">
        <v>0.1</v>
      </c>
      <c r="I5283" s="1">
        <v>0.1</v>
      </c>
      <c r="J5283" s="1">
        <v>0.84554129662356103</v>
      </c>
      <c r="K5283" s="1" t="s">
        <v>181</v>
      </c>
    </row>
    <row r="5284" spans="1:11" x14ac:dyDescent="0.25">
      <c r="A5284" s="1" t="s">
        <v>16444</v>
      </c>
      <c r="B5284" s="1" t="s">
        <v>16445</v>
      </c>
      <c r="D5284" s="1" t="s">
        <v>16446</v>
      </c>
      <c r="E5284" s="1" t="s">
        <v>209</v>
      </c>
      <c r="F5284" s="1" t="s">
        <v>5017</v>
      </c>
      <c r="G5284" s="1" t="s">
        <v>5018</v>
      </c>
      <c r="H5284" s="1">
        <v>0.1</v>
      </c>
      <c r="I5284" s="1">
        <v>0.1</v>
      </c>
      <c r="J5284" s="1">
        <v>0.68373558439147275</v>
      </c>
      <c r="K5284" s="1" t="s">
        <v>181</v>
      </c>
    </row>
    <row r="5285" spans="1:11" x14ac:dyDescent="0.25">
      <c r="A5285" s="1" t="s">
        <v>16447</v>
      </c>
      <c r="B5285" s="1" t="s">
        <v>16448</v>
      </c>
      <c r="D5285" s="1" t="s">
        <v>16449</v>
      </c>
      <c r="E5285" s="1" t="s">
        <v>209</v>
      </c>
      <c r="F5285" s="1" t="s">
        <v>5017</v>
      </c>
      <c r="G5285" s="1" t="s">
        <v>5018</v>
      </c>
      <c r="H5285" s="1">
        <v>0.1</v>
      </c>
      <c r="I5285" s="1">
        <v>0.1</v>
      </c>
      <c r="J5285" s="1">
        <v>0.50153325696283224</v>
      </c>
      <c r="K5285" s="1" t="s">
        <v>181</v>
      </c>
    </row>
    <row r="5286" spans="1:11" x14ac:dyDescent="0.25">
      <c r="A5286" s="1" t="s">
        <v>16450</v>
      </c>
      <c r="B5286" s="1" t="s">
        <v>16451</v>
      </c>
      <c r="D5286" s="1" t="s">
        <v>16452</v>
      </c>
      <c r="E5286" s="1" t="s">
        <v>209</v>
      </c>
      <c r="F5286" s="1" t="s">
        <v>5017</v>
      </c>
      <c r="G5286" s="1" t="s">
        <v>5018</v>
      </c>
      <c r="H5286" s="1">
        <v>0.1</v>
      </c>
      <c r="I5286" s="1">
        <v>0.1</v>
      </c>
      <c r="J5286" s="1">
        <v>0.66282153639538799</v>
      </c>
      <c r="K5286" s="1" t="s">
        <v>181</v>
      </c>
    </row>
    <row r="5287" spans="1:11" x14ac:dyDescent="0.25">
      <c r="A5287" s="1" t="s">
        <v>16453</v>
      </c>
      <c r="B5287" s="1" t="s">
        <v>16454</v>
      </c>
      <c r="D5287" s="1" t="s">
        <v>16455</v>
      </c>
      <c r="E5287" s="1" t="s">
        <v>209</v>
      </c>
      <c r="F5287" s="1" t="s">
        <v>5017</v>
      </c>
      <c r="G5287" s="1" t="s">
        <v>5018</v>
      </c>
      <c r="H5287" s="1">
        <v>0.1</v>
      </c>
      <c r="I5287" s="1">
        <v>0.1</v>
      </c>
      <c r="J5287" s="1">
        <v>0.81060251396354011</v>
      </c>
      <c r="K5287" s="1" t="s">
        <v>181</v>
      </c>
    </row>
    <row r="5288" spans="1:11" x14ac:dyDescent="0.25">
      <c r="A5288" s="1" t="s">
        <v>16456</v>
      </c>
      <c r="B5288" s="1" t="s">
        <v>16457</v>
      </c>
      <c r="D5288" s="1" t="s">
        <v>16458</v>
      </c>
      <c r="E5288" s="1" t="s">
        <v>209</v>
      </c>
      <c r="F5288" s="1" t="s">
        <v>5017</v>
      </c>
      <c r="G5288" s="1" t="s">
        <v>5018</v>
      </c>
      <c r="H5288" s="1">
        <v>0.1</v>
      </c>
      <c r="I5288" s="1">
        <v>0.1</v>
      </c>
      <c r="J5288" s="1">
        <v>0.35376508614104202</v>
      </c>
      <c r="K5288" s="1" t="s">
        <v>181</v>
      </c>
    </row>
    <row r="5289" spans="1:11" x14ac:dyDescent="0.25">
      <c r="A5289" s="1" t="s">
        <v>16459</v>
      </c>
      <c r="B5289" s="1" t="s">
        <v>16460</v>
      </c>
      <c r="D5289" s="1" t="s">
        <v>16461</v>
      </c>
      <c r="E5289" s="1" t="s">
        <v>209</v>
      </c>
      <c r="F5289" s="1" t="s">
        <v>5017</v>
      </c>
      <c r="G5289" s="1" t="s">
        <v>5018</v>
      </c>
      <c r="H5289" s="1">
        <v>0.1</v>
      </c>
      <c r="I5289" s="1">
        <v>0.1</v>
      </c>
      <c r="J5289" s="1">
        <v>0.52451499923741518</v>
      </c>
      <c r="K5289" s="1" t="s">
        <v>181</v>
      </c>
    </row>
    <row r="5290" spans="1:11" x14ac:dyDescent="0.25">
      <c r="A5290" s="1" t="s">
        <v>16462</v>
      </c>
      <c r="B5290" s="1" t="s">
        <v>16463</v>
      </c>
      <c r="D5290" s="1" t="s">
        <v>16464</v>
      </c>
      <c r="E5290" s="1" t="s">
        <v>209</v>
      </c>
      <c r="F5290" s="1" t="s">
        <v>5017</v>
      </c>
      <c r="G5290" s="1" t="s">
        <v>5018</v>
      </c>
      <c r="H5290" s="1">
        <v>0.1</v>
      </c>
      <c r="I5290" s="1">
        <v>0.1</v>
      </c>
      <c r="J5290" s="1">
        <v>0.63148127867167225</v>
      </c>
      <c r="K5290" s="1" t="s">
        <v>181</v>
      </c>
    </row>
    <row r="5291" spans="1:11" x14ac:dyDescent="0.25">
      <c r="A5291" s="1" t="s">
        <v>16465</v>
      </c>
      <c r="B5291" s="1" t="s">
        <v>16466</v>
      </c>
      <c r="D5291" s="1" t="s">
        <v>16467</v>
      </c>
      <c r="E5291" s="1" t="s">
        <v>209</v>
      </c>
      <c r="F5291" s="1" t="s">
        <v>5017</v>
      </c>
      <c r="G5291" s="1" t="s">
        <v>5018</v>
      </c>
      <c r="H5291" s="1">
        <v>0.1</v>
      </c>
      <c r="I5291" s="1">
        <v>0.1</v>
      </c>
      <c r="J5291" s="1">
        <v>0.49743687494385969</v>
      </c>
      <c r="K5291" s="1" t="s">
        <v>181</v>
      </c>
    </row>
    <row r="5292" spans="1:11" x14ac:dyDescent="0.25">
      <c r="A5292" s="1" t="s">
        <v>16468</v>
      </c>
      <c r="B5292" s="1" t="s">
        <v>16469</v>
      </c>
      <c r="D5292" s="1" t="s">
        <v>16470</v>
      </c>
      <c r="E5292" s="1" t="s">
        <v>209</v>
      </c>
      <c r="F5292" s="1" t="s">
        <v>5017</v>
      </c>
      <c r="G5292" s="1" t="s">
        <v>5018</v>
      </c>
      <c r="H5292" s="1">
        <v>0.1</v>
      </c>
      <c r="I5292" s="1">
        <v>0.1</v>
      </c>
      <c r="J5292" s="1">
        <v>0.79950760850301639</v>
      </c>
      <c r="K5292" s="1" t="s">
        <v>181</v>
      </c>
    </row>
    <row r="5293" spans="1:11" x14ac:dyDescent="0.25">
      <c r="A5293" s="1" t="s">
        <v>16471</v>
      </c>
      <c r="B5293" s="1" t="s">
        <v>16472</v>
      </c>
      <c r="D5293" s="1" t="s">
        <v>16473</v>
      </c>
      <c r="E5293" s="1" t="s">
        <v>209</v>
      </c>
      <c r="F5293" s="1" t="s">
        <v>5017</v>
      </c>
      <c r="G5293" s="1" t="s">
        <v>5018</v>
      </c>
      <c r="H5293" s="1">
        <v>0.1</v>
      </c>
      <c r="I5293" s="1">
        <v>0.1</v>
      </c>
      <c r="J5293" s="1">
        <v>0.55814722651770166</v>
      </c>
      <c r="K5293" s="1" t="s">
        <v>181</v>
      </c>
    </row>
    <row r="5294" spans="1:11" x14ac:dyDescent="0.25">
      <c r="A5294" s="1" t="s">
        <v>16474</v>
      </c>
      <c r="B5294" s="1" t="s">
        <v>16475</v>
      </c>
      <c r="D5294" s="1" t="s">
        <v>16476</v>
      </c>
      <c r="E5294" s="1" t="s">
        <v>209</v>
      </c>
      <c r="F5294" s="1" t="s">
        <v>5017</v>
      </c>
      <c r="G5294" s="1" t="s">
        <v>5018</v>
      </c>
      <c r="H5294" s="1">
        <v>0.1</v>
      </c>
      <c r="I5294" s="1">
        <v>0.1</v>
      </c>
      <c r="J5294" s="1">
        <v>0.75873385676958749</v>
      </c>
      <c r="K5294" s="1" t="s">
        <v>181</v>
      </c>
    </row>
    <row r="5295" spans="1:11" x14ac:dyDescent="0.25">
      <c r="A5295" s="1" t="s">
        <v>16477</v>
      </c>
      <c r="B5295" s="1" t="s">
        <v>16478</v>
      </c>
      <c r="D5295" s="1" t="s">
        <v>16479</v>
      </c>
      <c r="E5295" s="1" t="s">
        <v>209</v>
      </c>
      <c r="F5295" s="1" t="s">
        <v>5017</v>
      </c>
      <c r="G5295" s="1" t="s">
        <v>5018</v>
      </c>
      <c r="H5295" s="1">
        <v>0.1</v>
      </c>
      <c r="I5295" s="1">
        <v>0.1</v>
      </c>
      <c r="J5295" s="1">
        <v>0.66679002469698789</v>
      </c>
      <c r="K5295" s="1" t="s">
        <v>181</v>
      </c>
    </row>
    <row r="5296" spans="1:11" x14ac:dyDescent="0.25">
      <c r="A5296" s="1" t="s">
        <v>16480</v>
      </c>
      <c r="B5296" s="1" t="s">
        <v>16481</v>
      </c>
      <c r="D5296" s="1" t="s">
        <v>16482</v>
      </c>
      <c r="E5296" s="1" t="s">
        <v>209</v>
      </c>
      <c r="F5296" s="1" t="s">
        <v>5017</v>
      </c>
      <c r="G5296" s="1" t="s">
        <v>5018</v>
      </c>
      <c r="H5296" s="1">
        <v>0.1</v>
      </c>
      <c r="I5296" s="1">
        <v>0.1</v>
      </c>
      <c r="J5296" s="1">
        <v>0.76266425718829489</v>
      </c>
      <c r="K5296" s="1" t="s">
        <v>181</v>
      </c>
    </row>
    <row r="5297" spans="1:11" x14ac:dyDescent="0.25">
      <c r="A5297" s="1" t="s">
        <v>16483</v>
      </c>
      <c r="B5297" s="1" t="s">
        <v>16484</v>
      </c>
      <c r="D5297" s="1" t="s">
        <v>16485</v>
      </c>
      <c r="E5297" s="1" t="s">
        <v>209</v>
      </c>
      <c r="F5297" s="1" t="s">
        <v>5017</v>
      </c>
      <c r="G5297" s="1" t="s">
        <v>5018</v>
      </c>
      <c r="H5297" s="1">
        <v>0.1</v>
      </c>
      <c r="I5297" s="1">
        <v>0.1</v>
      </c>
      <c r="J5297" s="1">
        <v>0.75143914855418259</v>
      </c>
      <c r="K5297" s="1" t="s">
        <v>181</v>
      </c>
    </row>
    <row r="5298" spans="1:11" x14ac:dyDescent="0.25">
      <c r="A5298" s="1" t="s">
        <v>16486</v>
      </c>
      <c r="B5298" s="1" t="s">
        <v>16487</v>
      </c>
      <c r="D5298" s="1" t="s">
        <v>16488</v>
      </c>
      <c r="E5298" s="1" t="s">
        <v>209</v>
      </c>
      <c r="F5298" s="1" t="s">
        <v>5017</v>
      </c>
      <c r="G5298" s="1" t="s">
        <v>5018</v>
      </c>
      <c r="H5298" s="1">
        <v>0.1</v>
      </c>
      <c r="I5298" s="1">
        <v>0.1</v>
      </c>
      <c r="J5298" s="1">
        <v>0.6280573547763395</v>
      </c>
      <c r="K5298" s="1" t="s">
        <v>181</v>
      </c>
    </row>
    <row r="5299" spans="1:11" x14ac:dyDescent="0.25">
      <c r="A5299" s="1" t="s">
        <v>16489</v>
      </c>
      <c r="B5299" s="1" t="s">
        <v>16490</v>
      </c>
      <c r="D5299" s="1" t="s">
        <v>16491</v>
      </c>
      <c r="E5299" s="1" t="s">
        <v>209</v>
      </c>
      <c r="F5299" s="1" t="s">
        <v>5017</v>
      </c>
      <c r="G5299" s="1" t="s">
        <v>5018</v>
      </c>
      <c r="H5299" s="1">
        <v>0.1</v>
      </c>
      <c r="I5299" s="1">
        <v>0.1</v>
      </c>
      <c r="J5299" s="1">
        <v>0.59757003299889833</v>
      </c>
      <c r="K5299" s="1" t="s">
        <v>181</v>
      </c>
    </row>
    <row r="5300" spans="1:11" x14ac:dyDescent="0.25">
      <c r="A5300" s="1" t="s">
        <v>16492</v>
      </c>
      <c r="B5300" s="1" t="s">
        <v>16493</v>
      </c>
      <c r="D5300" s="1" t="s">
        <v>16494</v>
      </c>
      <c r="E5300" s="1" t="s">
        <v>209</v>
      </c>
      <c r="F5300" s="1" t="s">
        <v>5017</v>
      </c>
      <c r="G5300" s="1" t="s">
        <v>5018</v>
      </c>
      <c r="H5300" s="1">
        <v>0.1</v>
      </c>
      <c r="I5300" s="1">
        <v>0.1</v>
      </c>
      <c r="J5300" s="1">
        <v>0.688215541462321</v>
      </c>
      <c r="K5300" s="1" t="s">
        <v>181</v>
      </c>
    </row>
    <row r="5301" spans="1:11" x14ac:dyDescent="0.25">
      <c r="A5301" s="1" t="s">
        <v>16495</v>
      </c>
      <c r="B5301" s="1" t="s">
        <v>16496</v>
      </c>
      <c r="D5301" s="1" t="s">
        <v>16497</v>
      </c>
      <c r="E5301" s="1" t="s">
        <v>209</v>
      </c>
      <c r="F5301" s="1" t="s">
        <v>5017</v>
      </c>
      <c r="G5301" s="1" t="s">
        <v>5018</v>
      </c>
      <c r="H5301" s="1">
        <v>0.1</v>
      </c>
      <c r="I5301" s="1">
        <v>0.1</v>
      </c>
      <c r="J5301" s="1">
        <v>0.71333378608564602</v>
      </c>
      <c r="K5301" s="1" t="s">
        <v>181</v>
      </c>
    </row>
    <row r="5302" spans="1:11" x14ac:dyDescent="0.25">
      <c r="A5302" s="1" t="s">
        <v>16498</v>
      </c>
      <c r="B5302" s="1" t="s">
        <v>16499</v>
      </c>
      <c r="D5302" s="1" t="s">
        <v>16500</v>
      </c>
      <c r="E5302" s="1" t="s">
        <v>209</v>
      </c>
      <c r="F5302" s="1" t="s">
        <v>5017</v>
      </c>
      <c r="G5302" s="1" t="s">
        <v>5018</v>
      </c>
      <c r="H5302" s="1">
        <v>0.1</v>
      </c>
      <c r="I5302" s="1">
        <v>0.1</v>
      </c>
      <c r="J5302" s="1">
        <v>0.85190211181650743</v>
      </c>
      <c r="K5302" s="1" t="s">
        <v>181</v>
      </c>
    </row>
    <row r="5303" spans="1:11" x14ac:dyDescent="0.25">
      <c r="A5303" s="1" t="s">
        <v>16501</v>
      </c>
      <c r="B5303" s="1" t="s">
        <v>16502</v>
      </c>
      <c r="D5303" s="1" t="s">
        <v>16503</v>
      </c>
      <c r="E5303" s="1" t="s">
        <v>209</v>
      </c>
      <c r="F5303" s="1" t="s">
        <v>5017</v>
      </c>
      <c r="G5303" s="1" t="s">
        <v>5018</v>
      </c>
      <c r="H5303" s="1">
        <v>0.1</v>
      </c>
      <c r="I5303" s="1">
        <v>0.1</v>
      </c>
      <c r="J5303" s="1">
        <v>0.71071172464265164</v>
      </c>
      <c r="K5303" s="1" t="s">
        <v>181</v>
      </c>
    </row>
    <row r="5304" spans="1:11" x14ac:dyDescent="0.25">
      <c r="A5304" s="1" t="s">
        <v>16504</v>
      </c>
      <c r="B5304" s="1" t="s">
        <v>16505</v>
      </c>
      <c r="D5304" s="1" t="s">
        <v>16506</v>
      </c>
      <c r="E5304" s="1" t="s">
        <v>209</v>
      </c>
      <c r="F5304" s="1" t="s">
        <v>5017</v>
      </c>
      <c r="G5304" s="1" t="s">
        <v>5018</v>
      </c>
      <c r="H5304" s="1">
        <v>0.1</v>
      </c>
      <c r="I5304" s="1">
        <v>0.1</v>
      </c>
      <c r="J5304" s="1">
        <v>0.66733997474947548</v>
      </c>
      <c r="K5304" s="1" t="s">
        <v>181</v>
      </c>
    </row>
    <row r="5305" spans="1:11" x14ac:dyDescent="0.25">
      <c r="A5305" s="1" t="s">
        <v>16507</v>
      </c>
      <c r="B5305" s="1" t="s">
        <v>16508</v>
      </c>
      <c r="D5305" s="1" t="s">
        <v>16509</v>
      </c>
      <c r="E5305" s="1" t="s">
        <v>209</v>
      </c>
      <c r="F5305" s="1" t="s">
        <v>5017</v>
      </c>
      <c r="G5305" s="1" t="s">
        <v>5018</v>
      </c>
      <c r="H5305" s="1">
        <v>0.1</v>
      </c>
      <c r="I5305" s="1">
        <v>0.1</v>
      </c>
      <c r="J5305" s="1">
        <v>0.55796327693570613</v>
      </c>
      <c r="K5305" s="1" t="s">
        <v>181</v>
      </c>
    </row>
    <row r="5306" spans="1:11" x14ac:dyDescent="0.25">
      <c r="A5306" s="1" t="s">
        <v>16510</v>
      </c>
      <c r="B5306" s="1" t="s">
        <v>16511</v>
      </c>
      <c r="D5306" s="1" t="s">
        <v>16512</v>
      </c>
      <c r="E5306" s="1" t="s">
        <v>209</v>
      </c>
      <c r="F5306" s="1" t="s">
        <v>5017</v>
      </c>
      <c r="G5306" s="1" t="s">
        <v>5018</v>
      </c>
      <c r="H5306" s="1">
        <v>0.1</v>
      </c>
      <c r="I5306" s="1">
        <v>0.1</v>
      </c>
      <c r="J5306" s="1">
        <v>0.53455208944256094</v>
      </c>
      <c r="K5306" s="1" t="s">
        <v>181</v>
      </c>
    </row>
    <row r="5307" spans="1:11" x14ac:dyDescent="0.25">
      <c r="A5307" s="1" t="s">
        <v>16513</v>
      </c>
      <c r="B5307" s="1" t="s">
        <v>16514</v>
      </c>
      <c r="D5307" s="1" t="s">
        <v>16515</v>
      </c>
      <c r="E5307" s="1" t="s">
        <v>209</v>
      </c>
      <c r="F5307" s="1" t="s">
        <v>5017</v>
      </c>
      <c r="G5307" s="1" t="s">
        <v>5018</v>
      </c>
      <c r="H5307" s="1">
        <v>0.1</v>
      </c>
      <c r="I5307" s="1">
        <v>0.1</v>
      </c>
      <c r="J5307" s="1">
        <v>0.7823320948295639</v>
      </c>
      <c r="K5307" s="1" t="s">
        <v>181</v>
      </c>
    </row>
    <row r="5308" spans="1:11" x14ac:dyDescent="0.25">
      <c r="A5308" s="1" t="s">
        <v>16516</v>
      </c>
      <c r="B5308" s="1" t="s">
        <v>16517</v>
      </c>
      <c r="D5308" s="1" t="s">
        <v>16518</v>
      </c>
      <c r="E5308" s="1" t="s">
        <v>209</v>
      </c>
      <c r="F5308" s="1" t="s">
        <v>5017</v>
      </c>
      <c r="G5308" s="1" t="s">
        <v>5018</v>
      </c>
      <c r="H5308" s="1">
        <v>0.1</v>
      </c>
      <c r="I5308" s="1">
        <v>0.1</v>
      </c>
      <c r="J5308" s="1">
        <v>0.77826833303342458</v>
      </c>
      <c r="K5308" s="1" t="s">
        <v>181</v>
      </c>
    </row>
    <row r="5309" spans="1:11" x14ac:dyDescent="0.25">
      <c r="A5309" s="1" t="s">
        <v>16519</v>
      </c>
      <c r="B5309" s="1" t="s">
        <v>16520</v>
      </c>
      <c r="D5309" s="1" t="s">
        <v>16521</v>
      </c>
      <c r="E5309" s="1" t="s">
        <v>209</v>
      </c>
      <c r="F5309" s="1" t="s">
        <v>5017</v>
      </c>
      <c r="G5309" s="1" t="s">
        <v>5018</v>
      </c>
      <c r="H5309" s="1">
        <v>0.1</v>
      </c>
      <c r="I5309" s="1">
        <v>0.1</v>
      </c>
      <c r="J5309" s="1">
        <v>0.67772661298783321</v>
      </c>
      <c r="K5309" s="1" t="s">
        <v>181</v>
      </c>
    </row>
    <row r="5310" spans="1:11" x14ac:dyDescent="0.25">
      <c r="A5310" s="1" t="s">
        <v>16522</v>
      </c>
      <c r="B5310" s="1" t="s">
        <v>16523</v>
      </c>
      <c r="D5310" s="1" t="s">
        <v>16524</v>
      </c>
      <c r="E5310" s="1" t="s">
        <v>209</v>
      </c>
      <c r="F5310" s="1" t="s">
        <v>5017</v>
      </c>
      <c r="G5310" s="1" t="s">
        <v>5018</v>
      </c>
      <c r="H5310" s="1">
        <v>0.1</v>
      </c>
      <c r="I5310" s="1">
        <v>0.1</v>
      </c>
      <c r="J5310" s="1">
        <v>0.73750383259932162</v>
      </c>
      <c r="K5310" s="1" t="s">
        <v>181</v>
      </c>
    </row>
    <row r="5311" spans="1:11" x14ac:dyDescent="0.25">
      <c r="A5311" s="1" t="s">
        <v>16525</v>
      </c>
      <c r="B5311" s="1" t="s">
        <v>16526</v>
      </c>
      <c r="D5311" s="1" t="s">
        <v>16527</v>
      </c>
      <c r="E5311" s="1" t="s">
        <v>209</v>
      </c>
      <c r="F5311" s="1" t="s">
        <v>5017</v>
      </c>
      <c r="G5311" s="1" t="s">
        <v>5018</v>
      </c>
      <c r="H5311" s="1">
        <v>0.1</v>
      </c>
      <c r="I5311" s="1">
        <v>0.1</v>
      </c>
      <c r="J5311" s="1">
        <v>0.56354330506485373</v>
      </c>
      <c r="K5311" s="1" t="s">
        <v>181</v>
      </c>
    </row>
    <row r="5312" spans="1:11" x14ac:dyDescent="0.25">
      <c r="A5312" s="1" t="s">
        <v>16528</v>
      </c>
      <c r="B5312" s="1" t="s">
        <v>16529</v>
      </c>
      <c r="D5312" s="1" t="s">
        <v>16530</v>
      </c>
      <c r="E5312" s="1" t="s">
        <v>209</v>
      </c>
      <c r="F5312" s="1" t="s">
        <v>5017</v>
      </c>
      <c r="G5312" s="1" t="s">
        <v>5018</v>
      </c>
      <c r="H5312" s="1">
        <v>0.1</v>
      </c>
      <c r="I5312" s="1">
        <v>0.1</v>
      </c>
      <c r="J5312" s="1">
        <v>0.55121037288307817</v>
      </c>
      <c r="K5312" s="1" t="s">
        <v>181</v>
      </c>
    </row>
    <row r="5313" spans="1:11" x14ac:dyDescent="0.25">
      <c r="A5313" s="1" t="s">
        <v>16531</v>
      </c>
      <c r="B5313" s="1" t="s">
        <v>16532</v>
      </c>
      <c r="D5313" s="1" t="s">
        <v>16533</v>
      </c>
      <c r="E5313" s="1" t="s">
        <v>209</v>
      </c>
      <c r="F5313" s="1" t="s">
        <v>5017</v>
      </c>
      <c r="G5313" s="1" t="s">
        <v>5018</v>
      </c>
      <c r="H5313" s="1">
        <v>0.1</v>
      </c>
      <c r="I5313" s="1">
        <v>0.1</v>
      </c>
      <c r="J5313" s="1">
        <v>1.0006406602863143</v>
      </c>
      <c r="K5313" s="1" t="s">
        <v>181</v>
      </c>
    </row>
    <row r="5314" spans="1:11" x14ac:dyDescent="0.25">
      <c r="A5314" s="1" t="s">
        <v>16534</v>
      </c>
      <c r="B5314" s="1" t="s">
        <v>16535</v>
      </c>
      <c r="D5314" s="1" t="s">
        <v>16536</v>
      </c>
      <c r="E5314" s="1" t="s">
        <v>209</v>
      </c>
      <c r="F5314" s="1" t="s">
        <v>5017</v>
      </c>
      <c r="G5314" s="1" t="s">
        <v>5018</v>
      </c>
      <c r="H5314" s="1">
        <v>0.1</v>
      </c>
      <c r="I5314" s="1">
        <v>0.1</v>
      </c>
      <c r="J5314" s="1">
        <v>0.73766751557705579</v>
      </c>
      <c r="K5314" s="1" t="s">
        <v>181</v>
      </c>
    </row>
    <row r="5315" spans="1:11" x14ac:dyDescent="0.25">
      <c r="A5315" s="1" t="s">
        <v>16537</v>
      </c>
      <c r="B5315" s="1" t="s">
        <v>16538</v>
      </c>
      <c r="D5315" s="1" t="s">
        <v>16539</v>
      </c>
      <c r="E5315" s="1" t="s">
        <v>209</v>
      </c>
      <c r="F5315" s="1" t="s">
        <v>5017</v>
      </c>
      <c r="G5315" s="1" t="s">
        <v>5018</v>
      </c>
      <c r="H5315" s="1">
        <v>0.1</v>
      </c>
      <c r="I5315" s="1">
        <v>0.1</v>
      </c>
      <c r="J5315" s="1">
        <v>0.48972086756836364</v>
      </c>
      <c r="K5315" s="1" t="s">
        <v>181</v>
      </c>
    </row>
    <row r="5316" spans="1:11" x14ac:dyDescent="0.25">
      <c r="A5316" s="1" t="s">
        <v>16540</v>
      </c>
      <c r="B5316" s="1" t="s">
        <v>16541</v>
      </c>
      <c r="D5316" s="1" t="s">
        <v>16542</v>
      </c>
      <c r="E5316" s="1" t="s">
        <v>209</v>
      </c>
      <c r="F5316" s="1" t="s">
        <v>5017</v>
      </c>
      <c r="G5316" s="1" t="s">
        <v>5018</v>
      </c>
      <c r="H5316" s="1">
        <v>0.1</v>
      </c>
      <c r="I5316" s="1">
        <v>0.1</v>
      </c>
      <c r="J5316" s="1">
        <v>0.64734760815353909</v>
      </c>
      <c r="K5316" s="1" t="s">
        <v>181</v>
      </c>
    </row>
    <row r="5317" spans="1:11" x14ac:dyDescent="0.25">
      <c r="A5317" s="1" t="s">
        <v>16543</v>
      </c>
      <c r="B5317" s="1" t="s">
        <v>16544</v>
      </c>
      <c r="D5317" s="1" t="s">
        <v>16545</v>
      </c>
      <c r="E5317" s="1" t="s">
        <v>209</v>
      </c>
      <c r="F5317" s="1" t="s">
        <v>5017</v>
      </c>
      <c r="G5317" s="1" t="s">
        <v>5018</v>
      </c>
      <c r="H5317" s="1">
        <v>0.1</v>
      </c>
      <c r="I5317" s="1">
        <v>0.1</v>
      </c>
      <c r="J5317" s="1">
        <v>0.65538292313251079</v>
      </c>
      <c r="K5317" s="1" t="s">
        <v>181</v>
      </c>
    </row>
    <row r="5318" spans="1:11" x14ac:dyDescent="0.25">
      <c r="A5318" s="1" t="s">
        <v>16546</v>
      </c>
      <c r="B5318" s="1" t="s">
        <v>16547</v>
      </c>
      <c r="D5318" s="1" t="s">
        <v>16548</v>
      </c>
      <c r="E5318" s="1" t="s">
        <v>209</v>
      </c>
      <c r="F5318" s="1" t="s">
        <v>5017</v>
      </c>
      <c r="G5318" s="1" t="s">
        <v>5018</v>
      </c>
      <c r="H5318" s="1">
        <v>0.1</v>
      </c>
      <c r="I5318" s="1">
        <v>0.1</v>
      </c>
      <c r="J5318" s="1">
        <v>0.82907880552307422</v>
      </c>
      <c r="K5318" s="1" t="s">
        <v>181</v>
      </c>
    </row>
    <row r="5319" spans="1:11" x14ac:dyDescent="0.25">
      <c r="A5319" s="1" t="s">
        <v>16549</v>
      </c>
      <c r="B5319" s="1" t="s">
        <v>16550</v>
      </c>
      <c r="D5319" s="1" t="s">
        <v>16551</v>
      </c>
      <c r="E5319" s="1" t="s">
        <v>209</v>
      </c>
      <c r="F5319" s="1" t="s">
        <v>5017</v>
      </c>
      <c r="G5319" s="1" t="s">
        <v>5018</v>
      </c>
      <c r="H5319" s="1">
        <v>0.1</v>
      </c>
      <c r="I5319" s="1">
        <v>0.1</v>
      </c>
      <c r="J5319" s="1">
        <v>0.61544436819807047</v>
      </c>
      <c r="K5319" s="1" t="s">
        <v>181</v>
      </c>
    </row>
    <row r="5320" spans="1:11" x14ac:dyDescent="0.25">
      <c r="A5320" s="1" t="s">
        <v>16552</v>
      </c>
      <c r="B5320" s="1" t="s">
        <v>16553</v>
      </c>
      <c r="D5320" s="1" t="s">
        <v>16554</v>
      </c>
      <c r="E5320" s="1" t="s">
        <v>209</v>
      </c>
      <c r="F5320" s="1" t="s">
        <v>5017</v>
      </c>
      <c r="G5320" s="1" t="s">
        <v>5018</v>
      </c>
      <c r="H5320" s="1">
        <v>0.1</v>
      </c>
      <c r="I5320" s="1">
        <v>0.1</v>
      </c>
      <c r="J5320" s="1">
        <v>0.60693157256884489</v>
      </c>
      <c r="K5320" s="1" t="s">
        <v>181</v>
      </c>
    </row>
    <row r="5321" spans="1:11" x14ac:dyDescent="0.25">
      <c r="A5321" s="1" t="s">
        <v>16555</v>
      </c>
      <c r="B5321" s="1" t="s">
        <v>16556</v>
      </c>
      <c r="D5321" s="1" t="s">
        <v>16557</v>
      </c>
      <c r="E5321" s="1" t="s">
        <v>209</v>
      </c>
      <c r="F5321" s="1" t="s">
        <v>5017</v>
      </c>
      <c r="G5321" s="1" t="s">
        <v>5018</v>
      </c>
      <c r="H5321" s="1">
        <v>0.1</v>
      </c>
      <c r="I5321" s="1">
        <v>0.1</v>
      </c>
      <c r="J5321" s="1">
        <v>0.83508809529673378</v>
      </c>
      <c r="K5321" s="1" t="s">
        <v>181</v>
      </c>
    </row>
    <row r="5322" spans="1:11" x14ac:dyDescent="0.25">
      <c r="A5322" s="1" t="s">
        <v>16558</v>
      </c>
      <c r="B5322" s="1" t="s">
        <v>16559</v>
      </c>
      <c r="D5322" s="1" t="s">
        <v>16560</v>
      </c>
      <c r="E5322" s="1" t="s">
        <v>209</v>
      </c>
      <c r="F5322" s="1" t="s">
        <v>5017</v>
      </c>
      <c r="G5322" s="1" t="s">
        <v>5018</v>
      </c>
      <c r="H5322" s="1">
        <v>0.1</v>
      </c>
      <c r="I5322" s="1">
        <v>0.1</v>
      </c>
      <c r="J5322" s="1">
        <v>0.83630852629821206</v>
      </c>
      <c r="K5322" s="1" t="s">
        <v>181</v>
      </c>
    </row>
    <row r="5323" spans="1:11" x14ac:dyDescent="0.25">
      <c r="A5323" s="1" t="s">
        <v>16561</v>
      </c>
      <c r="B5323" s="1" t="s">
        <v>16562</v>
      </c>
      <c r="D5323" s="1" t="s">
        <v>16563</v>
      </c>
      <c r="E5323" s="1" t="s">
        <v>209</v>
      </c>
      <c r="F5323" s="1" t="s">
        <v>5017</v>
      </c>
      <c r="G5323" s="1" t="s">
        <v>5018</v>
      </c>
      <c r="H5323" s="1">
        <v>0.1</v>
      </c>
      <c r="I5323" s="1">
        <v>0.1</v>
      </c>
      <c r="J5323" s="1">
        <v>0.88148603819700588</v>
      </c>
      <c r="K5323" s="1" t="s">
        <v>181</v>
      </c>
    </row>
    <row r="5324" spans="1:11" x14ac:dyDescent="0.25">
      <c r="A5324" s="1" t="s">
        <v>16564</v>
      </c>
      <c r="B5324" s="1" t="s">
        <v>16565</v>
      </c>
      <c r="D5324" s="1" t="s">
        <v>16566</v>
      </c>
      <c r="E5324" s="1" t="s">
        <v>209</v>
      </c>
      <c r="F5324" s="1" t="s">
        <v>5017</v>
      </c>
      <c r="G5324" s="1" t="s">
        <v>5018</v>
      </c>
      <c r="H5324" s="1">
        <v>0.1</v>
      </c>
      <c r="I5324" s="1">
        <v>0.1</v>
      </c>
      <c r="J5324" s="1">
        <v>0.91646385187265234</v>
      </c>
      <c r="K5324" s="1" t="s">
        <v>181</v>
      </c>
    </row>
    <row r="5325" spans="1:11" x14ac:dyDescent="0.25">
      <c r="A5325" s="1" t="s">
        <v>16567</v>
      </c>
      <c r="B5325" s="1" t="s">
        <v>16568</v>
      </c>
      <c r="D5325" s="1" t="s">
        <v>16569</v>
      </c>
      <c r="E5325" s="1" t="s">
        <v>209</v>
      </c>
      <c r="F5325" s="1" t="s">
        <v>5017</v>
      </c>
      <c r="G5325" s="1" t="s">
        <v>5018</v>
      </c>
      <c r="H5325" s="1">
        <v>0.1</v>
      </c>
      <c r="I5325" s="1">
        <v>0.1</v>
      </c>
      <c r="J5325" s="1">
        <v>0.92276913223119206</v>
      </c>
      <c r="K5325" s="1" t="s">
        <v>181</v>
      </c>
    </row>
    <row r="5326" spans="1:11" x14ac:dyDescent="0.25">
      <c r="A5326" s="1" t="s">
        <v>16570</v>
      </c>
      <c r="B5326" s="1" t="s">
        <v>16571</v>
      </c>
      <c r="D5326" s="1" t="s">
        <v>16572</v>
      </c>
      <c r="E5326" s="1" t="s">
        <v>209</v>
      </c>
      <c r="F5326" s="1" t="s">
        <v>5017</v>
      </c>
      <c r="G5326" s="1" t="s">
        <v>5018</v>
      </c>
      <c r="H5326" s="1">
        <v>0.1</v>
      </c>
      <c r="I5326" s="1">
        <v>0.1</v>
      </c>
      <c r="J5326" s="1">
        <v>0.64353395813864855</v>
      </c>
      <c r="K5326" s="1" t="s">
        <v>181</v>
      </c>
    </row>
    <row r="5327" spans="1:11" x14ac:dyDescent="0.25">
      <c r="A5327" s="1" t="s">
        <v>16573</v>
      </c>
      <c r="B5327" s="1" t="s">
        <v>16574</v>
      </c>
      <c r="D5327" s="1" t="s">
        <v>16575</v>
      </c>
      <c r="E5327" s="1" t="s">
        <v>209</v>
      </c>
      <c r="F5327" s="1" t="s">
        <v>5017</v>
      </c>
      <c r="G5327" s="1" t="s">
        <v>5018</v>
      </c>
      <c r="H5327" s="1">
        <v>0.1</v>
      </c>
      <c r="I5327" s="1">
        <v>0.1</v>
      </c>
      <c r="J5327" s="1">
        <v>1.0548086512825898</v>
      </c>
      <c r="K5327" s="1" t="s">
        <v>181</v>
      </c>
    </row>
    <row r="5328" spans="1:11" x14ac:dyDescent="0.25">
      <c r="A5328" s="1" t="s">
        <v>16576</v>
      </c>
      <c r="B5328" s="1" t="s">
        <v>16577</v>
      </c>
      <c r="D5328" s="1" t="s">
        <v>16578</v>
      </c>
      <c r="E5328" s="1" t="s">
        <v>209</v>
      </c>
      <c r="F5328" s="1" t="s">
        <v>5017</v>
      </c>
      <c r="G5328" s="1" t="s">
        <v>5018</v>
      </c>
      <c r="H5328" s="1">
        <v>0.1</v>
      </c>
      <c r="I5328" s="1">
        <v>0.1</v>
      </c>
      <c r="J5328" s="1">
        <v>0.7904312003811117</v>
      </c>
      <c r="K5328" s="1" t="s">
        <v>181</v>
      </c>
    </row>
    <row r="5329" spans="1:11" x14ac:dyDescent="0.25">
      <c r="A5329" s="1" t="s">
        <v>16579</v>
      </c>
      <c r="B5329" s="1" t="s">
        <v>16580</v>
      </c>
      <c r="D5329" s="1" t="s">
        <v>16581</v>
      </c>
      <c r="E5329" s="1" t="s">
        <v>209</v>
      </c>
      <c r="F5329" s="1" t="s">
        <v>5017</v>
      </c>
      <c r="G5329" s="1" t="s">
        <v>5018</v>
      </c>
      <c r="H5329" s="1">
        <v>0.1</v>
      </c>
      <c r="I5329" s="1">
        <v>0.1</v>
      </c>
      <c r="J5329" s="1">
        <v>0.91527374023676722</v>
      </c>
      <c r="K5329" s="1" t="s">
        <v>181</v>
      </c>
    </row>
    <row r="5330" spans="1:11" x14ac:dyDescent="0.25">
      <c r="A5330" s="1" t="s">
        <v>16582</v>
      </c>
      <c r="B5330" s="1" t="s">
        <v>16583</v>
      </c>
      <c r="D5330" s="1" t="s">
        <v>16584</v>
      </c>
      <c r="E5330" s="1" t="s">
        <v>209</v>
      </c>
      <c r="F5330" s="1" t="s">
        <v>5017</v>
      </c>
      <c r="G5330" s="1" t="s">
        <v>5018</v>
      </c>
      <c r="H5330" s="1">
        <v>0.1</v>
      </c>
      <c r="I5330" s="1">
        <v>0.1</v>
      </c>
      <c r="J5330" s="1">
        <v>0.43296898495085562</v>
      </c>
      <c r="K5330" s="1" t="s">
        <v>181</v>
      </c>
    </row>
    <row r="5331" spans="1:11" x14ac:dyDescent="0.25">
      <c r="A5331" s="1" t="s">
        <v>16585</v>
      </c>
      <c r="B5331" s="1" t="s">
        <v>16586</v>
      </c>
      <c r="D5331" s="1" t="s">
        <v>16587</v>
      </c>
      <c r="E5331" s="1" t="s">
        <v>209</v>
      </c>
      <c r="F5331" s="1" t="s">
        <v>5017</v>
      </c>
      <c r="G5331" s="1" t="s">
        <v>5018</v>
      </c>
      <c r="H5331" s="1">
        <v>0.1</v>
      </c>
      <c r="I5331" s="1">
        <v>0.1</v>
      </c>
      <c r="J5331" s="1">
        <v>0.51492768699441205</v>
      </c>
      <c r="K5331" s="1" t="s">
        <v>181</v>
      </c>
    </row>
    <row r="5332" spans="1:11" x14ac:dyDescent="0.25">
      <c r="A5332" s="1" t="s">
        <v>154</v>
      </c>
      <c r="B5332" s="1" t="s">
        <v>16588</v>
      </c>
      <c r="D5332" s="1" t="s">
        <v>16589</v>
      </c>
      <c r="E5332" s="1" t="s">
        <v>209</v>
      </c>
      <c r="F5332" s="1" t="s">
        <v>5017</v>
      </c>
      <c r="G5332" s="1" t="s">
        <v>5018</v>
      </c>
      <c r="H5332" s="1">
        <v>0.1</v>
      </c>
      <c r="I5332" s="1">
        <v>0.1</v>
      </c>
      <c r="J5332" s="1">
        <v>0.63953811193057664</v>
      </c>
      <c r="K5332" s="1" t="s">
        <v>181</v>
      </c>
    </row>
    <row r="5333" spans="1:11" x14ac:dyDescent="0.25">
      <c r="A5333" s="1" t="s">
        <v>16590</v>
      </c>
      <c r="B5333" s="1" t="s">
        <v>16591</v>
      </c>
      <c r="D5333" s="1" t="s">
        <v>16592</v>
      </c>
      <c r="E5333" s="1" t="s">
        <v>209</v>
      </c>
      <c r="F5333" s="1" t="s">
        <v>5017</v>
      </c>
      <c r="G5333" s="1" t="s">
        <v>5018</v>
      </c>
      <c r="H5333" s="1">
        <v>0.1</v>
      </c>
      <c r="I5333" s="1">
        <v>0.1</v>
      </c>
      <c r="J5333" s="1">
        <v>0.52843571737777373</v>
      </c>
      <c r="K5333" s="1" t="s">
        <v>181</v>
      </c>
    </row>
    <row r="5334" spans="1:11" x14ac:dyDescent="0.25">
      <c r="A5334" s="1" t="s">
        <v>16593</v>
      </c>
      <c r="B5334" s="1" t="s">
        <v>16594</v>
      </c>
      <c r="D5334" s="1" t="s">
        <v>16595</v>
      </c>
      <c r="E5334" s="1" t="s">
        <v>209</v>
      </c>
      <c r="F5334" s="1" t="s">
        <v>5017</v>
      </c>
      <c r="G5334" s="1" t="s">
        <v>5018</v>
      </c>
      <c r="H5334" s="1">
        <v>0.1</v>
      </c>
      <c r="I5334" s="1">
        <v>0.1</v>
      </c>
      <c r="J5334" s="1">
        <v>0.64216844530581418</v>
      </c>
      <c r="K5334" s="1" t="s">
        <v>181</v>
      </c>
    </row>
    <row r="5335" spans="1:11" x14ac:dyDescent="0.25">
      <c r="A5335" s="1" t="s">
        <v>16596</v>
      </c>
      <c r="B5335" s="1" t="s">
        <v>16597</v>
      </c>
      <c r="D5335" s="1" t="s">
        <v>16598</v>
      </c>
      <c r="E5335" s="1" t="s">
        <v>209</v>
      </c>
      <c r="F5335" s="1" t="s">
        <v>5017</v>
      </c>
      <c r="G5335" s="1" t="s">
        <v>5018</v>
      </c>
      <c r="H5335" s="1">
        <v>0.1</v>
      </c>
      <c r="I5335" s="1">
        <v>0.1</v>
      </c>
      <c r="J5335" s="1">
        <v>0.70472920536640893</v>
      </c>
      <c r="K5335" s="1" t="s">
        <v>181</v>
      </c>
    </row>
    <row r="5336" spans="1:11" x14ac:dyDescent="0.25">
      <c r="A5336" s="1" t="s">
        <v>16599</v>
      </c>
      <c r="B5336" s="1" t="s">
        <v>16600</v>
      </c>
      <c r="D5336" s="1" t="s">
        <v>16601</v>
      </c>
      <c r="E5336" s="1" t="s">
        <v>209</v>
      </c>
      <c r="F5336" s="1" t="s">
        <v>5017</v>
      </c>
      <c r="G5336" s="1" t="s">
        <v>5018</v>
      </c>
      <c r="H5336" s="1">
        <v>0.1</v>
      </c>
      <c r="I5336" s="1">
        <v>0.1</v>
      </c>
      <c r="J5336" s="1">
        <v>0.9052864462029323</v>
      </c>
      <c r="K5336" s="1" t="s">
        <v>181</v>
      </c>
    </row>
    <row r="5337" spans="1:11" x14ac:dyDescent="0.25">
      <c r="A5337" s="1" t="s">
        <v>16602</v>
      </c>
      <c r="B5337" s="1" t="s">
        <v>16603</v>
      </c>
      <c r="D5337" s="1" t="s">
        <v>16604</v>
      </c>
      <c r="E5337" s="1" t="s">
        <v>209</v>
      </c>
      <c r="F5337" s="1" t="s">
        <v>5017</v>
      </c>
      <c r="G5337" s="1" t="s">
        <v>5018</v>
      </c>
      <c r="H5337" s="1">
        <v>0.1</v>
      </c>
      <c r="I5337" s="1">
        <v>0.1</v>
      </c>
      <c r="J5337" s="1">
        <v>0.8823116573658748</v>
      </c>
      <c r="K5337" s="1" t="s">
        <v>181</v>
      </c>
    </row>
    <row r="5338" spans="1:11" x14ac:dyDescent="0.25">
      <c r="A5338" s="1" t="s">
        <v>16605</v>
      </c>
      <c r="B5338" s="1" t="s">
        <v>16606</v>
      </c>
      <c r="D5338" s="1" t="s">
        <v>16607</v>
      </c>
      <c r="E5338" s="1" t="s">
        <v>209</v>
      </c>
      <c r="F5338" s="1" t="s">
        <v>5017</v>
      </c>
      <c r="G5338" s="1" t="s">
        <v>5018</v>
      </c>
      <c r="H5338" s="1">
        <v>0.1</v>
      </c>
      <c r="I5338" s="1">
        <v>0.1</v>
      </c>
      <c r="J5338" s="1">
        <v>1.0729960902979243</v>
      </c>
      <c r="K5338" s="1" t="s">
        <v>181</v>
      </c>
    </row>
    <row r="5339" spans="1:11" x14ac:dyDescent="0.25">
      <c r="A5339" s="1" t="s">
        <v>16608</v>
      </c>
      <c r="B5339" s="1" t="s">
        <v>16609</v>
      </c>
      <c r="D5339" s="1" t="s">
        <v>16610</v>
      </c>
      <c r="E5339" s="1" t="s">
        <v>209</v>
      </c>
      <c r="F5339" s="1" t="s">
        <v>5017</v>
      </c>
      <c r="G5339" s="1" t="s">
        <v>5018</v>
      </c>
      <c r="H5339" s="1">
        <v>0.1</v>
      </c>
      <c r="I5339" s="1">
        <v>0.1</v>
      </c>
      <c r="J5339" s="1">
        <v>0.5720514222893055</v>
      </c>
      <c r="K5339" s="1" t="s">
        <v>181</v>
      </c>
    </row>
    <row r="5340" spans="1:11" x14ac:dyDescent="0.25">
      <c r="A5340" s="1" t="s">
        <v>16611</v>
      </c>
      <c r="B5340" s="1" t="s">
        <v>16612</v>
      </c>
      <c r="D5340" s="1" t="s">
        <v>16613</v>
      </c>
      <c r="E5340" s="1" t="s">
        <v>209</v>
      </c>
      <c r="F5340" s="1" t="s">
        <v>5017</v>
      </c>
      <c r="G5340" s="1" t="s">
        <v>5018</v>
      </c>
      <c r="H5340" s="1">
        <v>0.1</v>
      </c>
      <c r="I5340" s="1">
        <v>0.1</v>
      </c>
      <c r="J5340" s="1">
        <v>0.67734734532375274</v>
      </c>
      <c r="K5340" s="1" t="s">
        <v>181</v>
      </c>
    </row>
    <row r="5341" spans="1:11" x14ac:dyDescent="0.25">
      <c r="A5341" s="1" t="s">
        <v>16614</v>
      </c>
      <c r="B5341" s="1" t="s">
        <v>16615</v>
      </c>
      <c r="D5341" s="1" t="s">
        <v>16616</v>
      </c>
      <c r="E5341" s="1" t="s">
        <v>209</v>
      </c>
      <c r="F5341" s="1" t="s">
        <v>5017</v>
      </c>
      <c r="G5341" s="1" t="s">
        <v>5018</v>
      </c>
      <c r="H5341" s="1">
        <v>0.1</v>
      </c>
      <c r="I5341" s="1">
        <v>0.1</v>
      </c>
      <c r="J5341" s="1">
        <v>0.53634862751370216</v>
      </c>
      <c r="K5341" s="1" t="s">
        <v>181</v>
      </c>
    </row>
    <row r="5342" spans="1:11" x14ac:dyDescent="0.25">
      <c r="A5342" s="1" t="s">
        <v>16617</v>
      </c>
      <c r="B5342" s="1" t="s">
        <v>16618</v>
      </c>
      <c r="D5342" s="1" t="s">
        <v>16619</v>
      </c>
      <c r="E5342" s="1" t="s">
        <v>209</v>
      </c>
      <c r="F5342" s="1" t="s">
        <v>5017</v>
      </c>
      <c r="G5342" s="1" t="s">
        <v>5018</v>
      </c>
      <c r="H5342" s="1">
        <v>0.1</v>
      </c>
      <c r="I5342" s="1">
        <v>0.1</v>
      </c>
      <c r="J5342" s="1">
        <v>0.806977894024975</v>
      </c>
      <c r="K5342" s="1" t="s">
        <v>181</v>
      </c>
    </row>
    <row r="5343" spans="1:11" x14ac:dyDescent="0.25">
      <c r="A5343" s="1" t="s">
        <v>16620</v>
      </c>
      <c r="B5343" s="1" t="s">
        <v>16621</v>
      </c>
      <c r="D5343" s="1" t="s">
        <v>16622</v>
      </c>
      <c r="E5343" s="1" t="s">
        <v>209</v>
      </c>
      <c r="F5343" s="1" t="s">
        <v>5017</v>
      </c>
      <c r="G5343" s="1" t="s">
        <v>5018</v>
      </c>
      <c r="H5343" s="1">
        <v>0.1</v>
      </c>
      <c r="I5343" s="1">
        <v>0.1</v>
      </c>
      <c r="J5343" s="1">
        <v>0.65928905372731905</v>
      </c>
      <c r="K5343" s="1" t="s">
        <v>181</v>
      </c>
    </row>
    <row r="5344" spans="1:11" x14ac:dyDescent="0.25">
      <c r="A5344" s="1" t="s">
        <v>16623</v>
      </c>
      <c r="B5344" s="1" t="s">
        <v>16624</v>
      </c>
      <c r="D5344" s="1" t="s">
        <v>16625</v>
      </c>
      <c r="E5344" s="1" t="s">
        <v>209</v>
      </c>
      <c r="F5344" s="1" t="s">
        <v>5017</v>
      </c>
      <c r="G5344" s="1" t="s">
        <v>5018</v>
      </c>
      <c r="H5344" s="1">
        <v>0.1</v>
      </c>
      <c r="I5344" s="1">
        <v>0.1</v>
      </c>
      <c r="J5344" s="1">
        <v>0.65979350165918016</v>
      </c>
      <c r="K5344" s="1" t="s">
        <v>181</v>
      </c>
    </row>
    <row r="5345" spans="1:11" x14ac:dyDescent="0.25">
      <c r="A5345" s="1" t="s">
        <v>16626</v>
      </c>
      <c r="B5345" s="1" t="s">
        <v>16627</v>
      </c>
      <c r="D5345" s="1" t="s">
        <v>16628</v>
      </c>
      <c r="E5345" s="1" t="s">
        <v>209</v>
      </c>
      <c r="F5345" s="1" t="s">
        <v>5017</v>
      </c>
      <c r="G5345" s="1" t="s">
        <v>5018</v>
      </c>
      <c r="H5345" s="1">
        <v>0.1</v>
      </c>
      <c r="I5345" s="1">
        <v>0.1</v>
      </c>
      <c r="J5345" s="1">
        <v>0.50179038795369324</v>
      </c>
      <c r="K5345" s="1" t="s">
        <v>181</v>
      </c>
    </row>
    <row r="5346" spans="1:11" x14ac:dyDescent="0.25">
      <c r="A5346" s="1" t="s">
        <v>16629</v>
      </c>
      <c r="B5346" s="1" t="s">
        <v>16630</v>
      </c>
      <c r="D5346" s="1" t="s">
        <v>16631</v>
      </c>
      <c r="E5346" s="1" t="s">
        <v>209</v>
      </c>
      <c r="F5346" s="1" t="s">
        <v>5017</v>
      </c>
      <c r="G5346" s="1" t="s">
        <v>5018</v>
      </c>
      <c r="H5346" s="1">
        <v>0.1</v>
      </c>
      <c r="I5346" s="1">
        <v>0.1</v>
      </c>
      <c r="J5346" s="1">
        <v>0.94437052757345552</v>
      </c>
      <c r="K5346" s="1" t="s">
        <v>181</v>
      </c>
    </row>
    <row r="5347" spans="1:11" x14ac:dyDescent="0.25">
      <c r="A5347" s="1" t="s">
        <v>16632</v>
      </c>
      <c r="B5347" s="1" t="s">
        <v>16633</v>
      </c>
      <c r="D5347" s="1" t="s">
        <v>16634</v>
      </c>
      <c r="E5347" s="1" t="s">
        <v>209</v>
      </c>
      <c r="F5347" s="1" t="s">
        <v>5017</v>
      </c>
      <c r="G5347" s="1" t="s">
        <v>5018</v>
      </c>
      <c r="H5347" s="1">
        <v>0.1</v>
      </c>
      <c r="I5347" s="1">
        <v>0.1</v>
      </c>
      <c r="J5347" s="1">
        <v>0.92300943350393239</v>
      </c>
      <c r="K5347" s="1" t="s">
        <v>181</v>
      </c>
    </row>
    <row r="5348" spans="1:11" x14ac:dyDescent="0.25">
      <c r="A5348" s="1" t="s">
        <v>16635</v>
      </c>
      <c r="B5348" s="1" t="s">
        <v>16636</v>
      </c>
      <c r="D5348" s="1" t="s">
        <v>16637</v>
      </c>
      <c r="E5348" s="1" t="s">
        <v>209</v>
      </c>
      <c r="F5348" s="1" t="s">
        <v>5017</v>
      </c>
      <c r="G5348" s="1" t="s">
        <v>5018</v>
      </c>
      <c r="H5348" s="1">
        <v>0.1</v>
      </c>
      <c r="I5348" s="1">
        <v>0.1</v>
      </c>
      <c r="J5348" s="1">
        <v>0.6447549815270075</v>
      </c>
      <c r="K5348" s="1" t="s">
        <v>181</v>
      </c>
    </row>
    <row r="5349" spans="1:11" x14ac:dyDescent="0.25">
      <c r="A5349" s="1" t="s">
        <v>16638</v>
      </c>
      <c r="B5349" s="1" t="s">
        <v>16639</v>
      </c>
      <c r="D5349" s="1" t="s">
        <v>16640</v>
      </c>
      <c r="E5349" s="1" t="s">
        <v>209</v>
      </c>
      <c r="F5349" s="1" t="s">
        <v>5017</v>
      </c>
      <c r="G5349" s="1" t="s">
        <v>5018</v>
      </c>
      <c r="H5349" s="1">
        <v>0.1</v>
      </c>
      <c r="I5349" s="1">
        <v>0.1</v>
      </c>
      <c r="J5349" s="1">
        <v>0.66379815738383929</v>
      </c>
      <c r="K5349" s="1" t="s">
        <v>181</v>
      </c>
    </row>
    <row r="5350" spans="1:11" x14ac:dyDescent="0.25">
      <c r="A5350" s="1" t="s">
        <v>16641</v>
      </c>
      <c r="B5350" s="1" t="s">
        <v>16642</v>
      </c>
      <c r="D5350" s="1" t="s">
        <v>16643</v>
      </c>
      <c r="E5350" s="1" t="s">
        <v>209</v>
      </c>
      <c r="F5350" s="1" t="s">
        <v>5017</v>
      </c>
      <c r="G5350" s="1" t="s">
        <v>5018</v>
      </c>
      <c r="H5350" s="1">
        <v>0.1</v>
      </c>
      <c r="I5350" s="1">
        <v>0.1</v>
      </c>
      <c r="J5350" s="1">
        <v>0.57400822500060589</v>
      </c>
      <c r="K5350" s="1" t="s">
        <v>181</v>
      </c>
    </row>
    <row r="5351" spans="1:11" x14ac:dyDescent="0.25">
      <c r="A5351" s="1" t="s">
        <v>16644</v>
      </c>
      <c r="B5351" s="1" t="s">
        <v>16645</v>
      </c>
      <c r="D5351" s="1" t="s">
        <v>16646</v>
      </c>
      <c r="E5351" s="1" t="s">
        <v>209</v>
      </c>
      <c r="F5351" s="1" t="s">
        <v>5017</v>
      </c>
      <c r="G5351" s="1" t="s">
        <v>5018</v>
      </c>
      <c r="H5351" s="1">
        <v>0.1</v>
      </c>
      <c r="I5351" s="1">
        <v>0.1</v>
      </c>
      <c r="J5351" s="1">
        <v>0.81930212914718215</v>
      </c>
      <c r="K5351" s="1" t="s">
        <v>181</v>
      </c>
    </row>
    <row r="5352" spans="1:11" x14ac:dyDescent="0.25">
      <c r="A5352" s="1" t="s">
        <v>16647</v>
      </c>
      <c r="B5352" s="1" t="s">
        <v>16648</v>
      </c>
      <c r="D5352" s="1" t="s">
        <v>16649</v>
      </c>
      <c r="E5352" s="1" t="s">
        <v>209</v>
      </c>
      <c r="F5352" s="1" t="s">
        <v>5017</v>
      </c>
      <c r="G5352" s="1" t="s">
        <v>5018</v>
      </c>
      <c r="H5352" s="1">
        <v>0.1</v>
      </c>
      <c r="I5352" s="1">
        <v>0.1</v>
      </c>
      <c r="J5352" s="1">
        <v>0.75234225933754306</v>
      </c>
      <c r="K5352" s="1" t="s">
        <v>181</v>
      </c>
    </row>
    <row r="5353" spans="1:11" x14ac:dyDescent="0.25">
      <c r="A5353" s="1" t="s">
        <v>16650</v>
      </c>
      <c r="B5353" s="1" t="s">
        <v>16651</v>
      </c>
      <c r="D5353" s="1" t="s">
        <v>16652</v>
      </c>
      <c r="E5353" s="1" t="s">
        <v>209</v>
      </c>
      <c r="F5353" s="1" t="s">
        <v>5017</v>
      </c>
      <c r="G5353" s="1" t="s">
        <v>5018</v>
      </c>
      <c r="H5353" s="1">
        <v>0.1</v>
      </c>
      <c r="I5353" s="1">
        <v>0.1</v>
      </c>
      <c r="J5353" s="1">
        <v>0.38467414766657121</v>
      </c>
      <c r="K5353" s="1" t="s">
        <v>181</v>
      </c>
    </row>
    <row r="5354" spans="1:11" x14ac:dyDescent="0.25">
      <c r="A5354" s="1" t="s">
        <v>16653</v>
      </c>
      <c r="B5354" s="1" t="s">
        <v>16654</v>
      </c>
      <c r="D5354" s="1" t="s">
        <v>16655</v>
      </c>
      <c r="E5354" s="1" t="s">
        <v>209</v>
      </c>
      <c r="F5354" s="1" t="s">
        <v>5017</v>
      </c>
      <c r="G5354" s="1" t="s">
        <v>5018</v>
      </c>
      <c r="H5354" s="1">
        <v>0.1</v>
      </c>
      <c r="I5354" s="1">
        <v>0.1</v>
      </c>
      <c r="J5354" s="1">
        <v>0.4636930159571942</v>
      </c>
      <c r="K5354" s="1" t="s">
        <v>181</v>
      </c>
    </row>
    <row r="5355" spans="1:11" x14ac:dyDescent="0.25">
      <c r="A5355" s="1" t="s">
        <v>16656</v>
      </c>
      <c r="B5355" s="1" t="s">
        <v>16657</v>
      </c>
      <c r="D5355" s="1" t="s">
        <v>16658</v>
      </c>
      <c r="E5355" s="1" t="s">
        <v>209</v>
      </c>
      <c r="F5355" s="1" t="s">
        <v>5017</v>
      </c>
      <c r="G5355" s="1" t="s">
        <v>5018</v>
      </c>
      <c r="H5355" s="1">
        <v>0.1</v>
      </c>
      <c r="I5355" s="1">
        <v>0.1</v>
      </c>
      <c r="J5355" s="1">
        <v>0.72764065927181409</v>
      </c>
      <c r="K5355" s="1" t="s">
        <v>181</v>
      </c>
    </row>
    <row r="5356" spans="1:11" x14ac:dyDescent="0.25">
      <c r="A5356" s="1" t="s">
        <v>16659</v>
      </c>
      <c r="B5356" s="1" t="s">
        <v>16660</v>
      </c>
      <c r="D5356" s="1" t="s">
        <v>16661</v>
      </c>
      <c r="E5356" s="1" t="s">
        <v>209</v>
      </c>
      <c r="F5356" s="1" t="s">
        <v>5017</v>
      </c>
      <c r="G5356" s="1" t="s">
        <v>5018</v>
      </c>
      <c r="H5356" s="1">
        <v>0.1</v>
      </c>
      <c r="I5356" s="1">
        <v>0.1</v>
      </c>
      <c r="J5356" s="1">
        <v>0.6970778999063858</v>
      </c>
      <c r="K5356" s="1" t="s">
        <v>181</v>
      </c>
    </row>
    <row r="5357" spans="1:11" x14ac:dyDescent="0.25">
      <c r="A5357" s="1" t="s">
        <v>16662</v>
      </c>
      <c r="B5357" s="1" t="s">
        <v>16663</v>
      </c>
      <c r="D5357" s="1" t="s">
        <v>16664</v>
      </c>
      <c r="E5357" s="1" t="s">
        <v>209</v>
      </c>
      <c r="F5357" s="1" t="s">
        <v>5017</v>
      </c>
      <c r="G5357" s="1" t="s">
        <v>5018</v>
      </c>
      <c r="H5357" s="1">
        <v>0.1</v>
      </c>
      <c r="I5357" s="1">
        <v>0.1</v>
      </c>
      <c r="J5357" s="1">
        <v>0.60307081462520462</v>
      </c>
      <c r="K5357" s="1" t="s">
        <v>181</v>
      </c>
    </row>
    <row r="5358" spans="1:11" x14ac:dyDescent="0.25">
      <c r="A5358" s="1" t="s">
        <v>16665</v>
      </c>
      <c r="B5358" s="1" t="s">
        <v>16666</v>
      </c>
      <c r="D5358" s="1" t="s">
        <v>16667</v>
      </c>
      <c r="E5358" s="1" t="s">
        <v>209</v>
      </c>
      <c r="F5358" s="1" t="s">
        <v>5017</v>
      </c>
      <c r="G5358" s="1" t="s">
        <v>5018</v>
      </c>
      <c r="H5358" s="1">
        <v>0.1</v>
      </c>
      <c r="I5358" s="1">
        <v>0.1</v>
      </c>
      <c r="J5358" s="1">
        <v>0.81614388876159494</v>
      </c>
      <c r="K5358" s="1" t="s">
        <v>181</v>
      </c>
    </row>
    <row r="5359" spans="1:11" x14ac:dyDescent="0.25">
      <c r="A5359" s="1" t="s">
        <v>16668</v>
      </c>
      <c r="B5359" s="1" t="s">
        <v>16669</v>
      </c>
      <c r="D5359" s="1" t="s">
        <v>16670</v>
      </c>
      <c r="E5359" s="1" t="s">
        <v>209</v>
      </c>
      <c r="F5359" s="1" t="s">
        <v>5017</v>
      </c>
      <c r="G5359" s="1" t="s">
        <v>5018</v>
      </c>
      <c r="H5359" s="1">
        <v>0.1</v>
      </c>
      <c r="I5359" s="1">
        <v>0.1</v>
      </c>
      <c r="J5359" s="1">
        <v>0.75001616219766476</v>
      </c>
      <c r="K5359" s="1" t="s">
        <v>181</v>
      </c>
    </row>
    <row r="5360" spans="1:11" x14ac:dyDescent="0.25">
      <c r="A5360" s="1" t="s">
        <v>16671</v>
      </c>
      <c r="B5360" s="1" t="s">
        <v>16672</v>
      </c>
      <c r="D5360" s="1" t="s">
        <v>16673</v>
      </c>
      <c r="E5360" s="1" t="s">
        <v>209</v>
      </c>
      <c r="F5360" s="1" t="s">
        <v>5017</v>
      </c>
      <c r="G5360" s="1" t="s">
        <v>5018</v>
      </c>
      <c r="H5360" s="1">
        <v>0.1</v>
      </c>
      <c r="I5360" s="1">
        <v>0.1</v>
      </c>
      <c r="J5360" s="1">
        <v>0.83126070311481559</v>
      </c>
      <c r="K5360" s="1" t="s">
        <v>181</v>
      </c>
    </row>
    <row r="5361" spans="1:11" x14ac:dyDescent="0.25">
      <c r="A5361" s="1" t="s">
        <v>16674</v>
      </c>
      <c r="B5361" s="1" t="s">
        <v>16675</v>
      </c>
      <c r="D5361" s="1" t="s">
        <v>16676</v>
      </c>
      <c r="E5361" s="1" t="s">
        <v>209</v>
      </c>
      <c r="F5361" s="1" t="s">
        <v>5017</v>
      </c>
      <c r="G5361" s="1" t="s">
        <v>5018</v>
      </c>
      <c r="H5361" s="1">
        <v>0.1</v>
      </c>
      <c r="I5361" s="1">
        <v>0.1</v>
      </c>
      <c r="J5361" s="1">
        <v>0.79331802286478015</v>
      </c>
      <c r="K5361" s="1" t="s">
        <v>181</v>
      </c>
    </row>
    <row r="5362" spans="1:11" x14ac:dyDescent="0.25">
      <c r="A5362" s="1" t="s">
        <v>16677</v>
      </c>
      <c r="B5362" s="1" t="s">
        <v>16678</v>
      </c>
      <c r="D5362" s="1" t="s">
        <v>16679</v>
      </c>
      <c r="E5362" s="1" t="s">
        <v>209</v>
      </c>
      <c r="F5362" s="1" t="s">
        <v>5017</v>
      </c>
      <c r="G5362" s="1" t="s">
        <v>5018</v>
      </c>
      <c r="H5362" s="1">
        <v>0.1</v>
      </c>
      <c r="I5362" s="1">
        <v>0.1</v>
      </c>
      <c r="J5362" s="1">
        <v>0.75484040314028977</v>
      </c>
      <c r="K5362" s="1" t="s">
        <v>181</v>
      </c>
    </row>
    <row r="5363" spans="1:11" x14ac:dyDescent="0.25">
      <c r="A5363" s="1" t="s">
        <v>16680</v>
      </c>
      <c r="B5363" s="1" t="s">
        <v>16681</v>
      </c>
      <c r="D5363" s="1" t="s">
        <v>16682</v>
      </c>
      <c r="E5363" s="1" t="s">
        <v>209</v>
      </c>
      <c r="F5363" s="1" t="s">
        <v>5017</v>
      </c>
      <c r="G5363" s="1" t="s">
        <v>5018</v>
      </c>
      <c r="H5363" s="1">
        <v>0.1</v>
      </c>
      <c r="I5363" s="1">
        <v>0.1</v>
      </c>
      <c r="J5363" s="1">
        <v>0.80766885687185308</v>
      </c>
      <c r="K5363" s="1" t="s">
        <v>181</v>
      </c>
    </row>
    <row r="5364" spans="1:11" x14ac:dyDescent="0.25">
      <c r="A5364" s="1" t="s">
        <v>16683</v>
      </c>
      <c r="B5364" s="1" t="s">
        <v>16684</v>
      </c>
      <c r="D5364" s="1" t="s">
        <v>16685</v>
      </c>
      <c r="E5364" s="1" t="s">
        <v>209</v>
      </c>
      <c r="F5364" s="1" t="s">
        <v>5017</v>
      </c>
      <c r="G5364" s="1" t="s">
        <v>5018</v>
      </c>
      <c r="H5364" s="1">
        <v>0.1</v>
      </c>
      <c r="I5364" s="1">
        <v>0.1</v>
      </c>
      <c r="J5364" s="1">
        <v>0.50908706891921951</v>
      </c>
      <c r="K5364" s="1" t="s">
        <v>181</v>
      </c>
    </row>
    <row r="5365" spans="1:11" x14ac:dyDescent="0.25">
      <c r="A5365" s="1" t="s">
        <v>16686</v>
      </c>
      <c r="B5365" s="1" t="s">
        <v>16687</v>
      </c>
      <c r="D5365" s="1" t="s">
        <v>16688</v>
      </c>
      <c r="E5365" s="1" t="s">
        <v>209</v>
      </c>
      <c r="F5365" s="1" t="s">
        <v>5017</v>
      </c>
      <c r="G5365" s="1" t="s">
        <v>5018</v>
      </c>
      <c r="H5365" s="1">
        <v>0.1</v>
      </c>
      <c r="I5365" s="1">
        <v>0.1</v>
      </c>
      <c r="J5365" s="1">
        <v>0.56157069744720856</v>
      </c>
      <c r="K5365" s="1" t="s">
        <v>181</v>
      </c>
    </row>
    <row r="5366" spans="1:11" x14ac:dyDescent="0.25">
      <c r="A5366" s="1" t="s">
        <v>16689</v>
      </c>
      <c r="B5366" s="1" t="s">
        <v>16690</v>
      </c>
      <c r="D5366" s="1" t="s">
        <v>16691</v>
      </c>
      <c r="E5366" s="1" t="s">
        <v>209</v>
      </c>
      <c r="F5366" s="1" t="s">
        <v>5017</v>
      </c>
      <c r="G5366" s="1" t="s">
        <v>5018</v>
      </c>
      <c r="H5366" s="1">
        <v>0.1</v>
      </c>
      <c r="I5366" s="1">
        <v>0.1</v>
      </c>
      <c r="J5366" s="1">
        <v>0.49750368536546186</v>
      </c>
      <c r="K5366" s="1" t="s">
        <v>181</v>
      </c>
    </row>
    <row r="5367" spans="1:11" x14ac:dyDescent="0.25">
      <c r="A5367" s="1" t="s">
        <v>16692</v>
      </c>
      <c r="B5367" s="1" t="s">
        <v>16693</v>
      </c>
      <c r="D5367" s="1" t="s">
        <v>16694</v>
      </c>
      <c r="E5367" s="1" t="s">
        <v>209</v>
      </c>
      <c r="F5367" s="1" t="s">
        <v>5017</v>
      </c>
      <c r="G5367" s="1" t="s">
        <v>5018</v>
      </c>
      <c r="H5367" s="1">
        <v>0.1</v>
      </c>
      <c r="I5367" s="1">
        <v>0.1</v>
      </c>
      <c r="J5367" s="1">
        <v>0.91162022320965197</v>
      </c>
      <c r="K5367" s="1" t="s">
        <v>181</v>
      </c>
    </row>
    <row r="5368" spans="1:11" x14ac:dyDescent="0.25">
      <c r="A5368" s="1" t="s">
        <v>16695</v>
      </c>
      <c r="B5368" s="1" t="s">
        <v>16696</v>
      </c>
      <c r="D5368" s="1" t="s">
        <v>16697</v>
      </c>
      <c r="E5368" s="1" t="s">
        <v>209</v>
      </c>
      <c r="F5368" s="1" t="s">
        <v>5017</v>
      </c>
      <c r="G5368" s="1" t="s">
        <v>5018</v>
      </c>
      <c r="H5368" s="1">
        <v>0.1</v>
      </c>
      <c r="I5368" s="1">
        <v>0.1</v>
      </c>
      <c r="J5368" s="1">
        <v>0.69941060558788104</v>
      </c>
      <c r="K5368" s="1" t="s">
        <v>181</v>
      </c>
    </row>
    <row r="5369" spans="1:11" x14ac:dyDescent="0.25">
      <c r="A5369" s="1" t="s">
        <v>16698</v>
      </c>
      <c r="B5369" s="1" t="s">
        <v>16699</v>
      </c>
      <c r="D5369" s="1" t="s">
        <v>16700</v>
      </c>
      <c r="E5369" s="1" t="s">
        <v>209</v>
      </c>
      <c r="F5369" s="1" t="s">
        <v>5017</v>
      </c>
      <c r="G5369" s="1" t="s">
        <v>5018</v>
      </c>
      <c r="H5369" s="1">
        <v>0.1</v>
      </c>
      <c r="I5369" s="1">
        <v>0.1</v>
      </c>
      <c r="J5369" s="1">
        <v>0.60959955750289507</v>
      </c>
      <c r="K5369" s="1" t="s">
        <v>181</v>
      </c>
    </row>
    <row r="5370" spans="1:11" x14ac:dyDescent="0.25">
      <c r="A5370" s="1" t="s">
        <v>16701</v>
      </c>
      <c r="B5370" s="1" t="s">
        <v>16702</v>
      </c>
      <c r="D5370" s="1" t="s">
        <v>16703</v>
      </c>
      <c r="E5370" s="1" t="s">
        <v>209</v>
      </c>
      <c r="F5370" s="1" t="s">
        <v>5017</v>
      </c>
      <c r="G5370" s="1" t="s">
        <v>5018</v>
      </c>
      <c r="H5370" s="1">
        <v>0.1</v>
      </c>
      <c r="I5370" s="1">
        <v>0.1</v>
      </c>
      <c r="J5370" s="1">
        <v>0.58476646285166822</v>
      </c>
      <c r="K5370" s="1" t="s">
        <v>181</v>
      </c>
    </row>
    <row r="5371" spans="1:11" x14ac:dyDescent="0.25">
      <c r="A5371" s="1" t="s">
        <v>16704</v>
      </c>
      <c r="B5371" s="1" t="s">
        <v>16705</v>
      </c>
      <c r="D5371" s="1" t="s">
        <v>16706</v>
      </c>
      <c r="E5371" s="1" t="s">
        <v>209</v>
      </c>
      <c r="F5371" s="1" t="s">
        <v>5017</v>
      </c>
      <c r="G5371" s="1" t="s">
        <v>5018</v>
      </c>
      <c r="H5371" s="1">
        <v>0.1</v>
      </c>
      <c r="I5371" s="1">
        <v>0.1</v>
      </c>
      <c r="J5371" s="1">
        <v>0.42458549916211119</v>
      </c>
      <c r="K5371" s="1" t="s">
        <v>181</v>
      </c>
    </row>
    <row r="5372" spans="1:11" x14ac:dyDescent="0.25">
      <c r="A5372" s="1" t="s">
        <v>16707</v>
      </c>
      <c r="B5372" s="1" t="s">
        <v>16708</v>
      </c>
      <c r="D5372" s="1" t="s">
        <v>16709</v>
      </c>
      <c r="E5372" s="1" t="s">
        <v>209</v>
      </c>
      <c r="F5372" s="1" t="s">
        <v>5017</v>
      </c>
      <c r="G5372" s="1" t="s">
        <v>5018</v>
      </c>
      <c r="H5372" s="1">
        <v>0.1</v>
      </c>
      <c r="I5372" s="1">
        <v>0.1</v>
      </c>
      <c r="J5372" s="1">
        <v>0.8814115888530335</v>
      </c>
      <c r="K5372" s="1" t="s">
        <v>181</v>
      </c>
    </row>
    <row r="5373" spans="1:11" x14ac:dyDescent="0.25">
      <c r="A5373" s="1" t="s">
        <v>16710</v>
      </c>
      <c r="B5373" s="1" t="s">
        <v>16711</v>
      </c>
      <c r="D5373" s="1" t="s">
        <v>16712</v>
      </c>
      <c r="E5373" s="1" t="s">
        <v>209</v>
      </c>
      <c r="F5373" s="1" t="s">
        <v>5017</v>
      </c>
      <c r="G5373" s="1" t="s">
        <v>5018</v>
      </c>
      <c r="H5373" s="1">
        <v>0.1</v>
      </c>
      <c r="I5373" s="1">
        <v>0.1</v>
      </c>
      <c r="J5373" s="1">
        <v>0.66839217746650248</v>
      </c>
      <c r="K5373" s="1" t="s">
        <v>181</v>
      </c>
    </row>
    <row r="5374" spans="1:11" x14ac:dyDescent="0.25">
      <c r="A5374" s="1" t="s">
        <v>16713</v>
      </c>
      <c r="B5374" s="1" t="s">
        <v>16714</v>
      </c>
      <c r="D5374" s="1" t="s">
        <v>16715</v>
      </c>
      <c r="E5374" s="1" t="s">
        <v>209</v>
      </c>
      <c r="F5374" s="1" t="s">
        <v>5017</v>
      </c>
      <c r="G5374" s="1" t="s">
        <v>5018</v>
      </c>
      <c r="H5374" s="1">
        <v>0.1</v>
      </c>
      <c r="I5374" s="1">
        <v>0.1</v>
      </c>
      <c r="J5374" s="1">
        <v>0.71090284598402242</v>
      </c>
      <c r="K5374" s="1" t="s">
        <v>181</v>
      </c>
    </row>
    <row r="5375" spans="1:11" x14ac:dyDescent="0.25">
      <c r="A5375" s="1" t="s">
        <v>16716</v>
      </c>
      <c r="B5375" s="1" t="s">
        <v>16717</v>
      </c>
      <c r="D5375" s="1" t="s">
        <v>16718</v>
      </c>
      <c r="E5375" s="1" t="s">
        <v>209</v>
      </c>
      <c r="F5375" s="1" t="s">
        <v>5017</v>
      </c>
      <c r="G5375" s="1" t="s">
        <v>5018</v>
      </c>
      <c r="H5375" s="1">
        <v>0.1</v>
      </c>
      <c r="I5375" s="1">
        <v>0.1</v>
      </c>
      <c r="J5375" s="1">
        <v>0.60994642458241621</v>
      </c>
      <c r="K5375" s="1" t="s">
        <v>181</v>
      </c>
    </row>
    <row r="5376" spans="1:11" x14ac:dyDescent="0.25">
      <c r="A5376" s="1" t="s">
        <v>16719</v>
      </c>
      <c r="B5376" s="1" t="s">
        <v>16720</v>
      </c>
      <c r="D5376" s="1" t="s">
        <v>16721</v>
      </c>
      <c r="E5376" s="1" t="s">
        <v>209</v>
      </c>
      <c r="F5376" s="1" t="s">
        <v>5017</v>
      </c>
      <c r="G5376" s="1" t="s">
        <v>5018</v>
      </c>
      <c r="H5376" s="1">
        <v>0.1</v>
      </c>
      <c r="I5376" s="1">
        <v>0.1</v>
      </c>
      <c r="J5376" s="1">
        <v>0.79875684557476967</v>
      </c>
      <c r="K5376" s="1" t="s">
        <v>181</v>
      </c>
    </row>
    <row r="5377" spans="1:11" x14ac:dyDescent="0.25">
      <c r="A5377" s="1" t="s">
        <v>16722</v>
      </c>
      <c r="B5377" s="1" t="s">
        <v>16723</v>
      </c>
      <c r="D5377" s="1" t="s">
        <v>16724</v>
      </c>
      <c r="E5377" s="1" t="s">
        <v>209</v>
      </c>
      <c r="F5377" s="1" t="s">
        <v>5017</v>
      </c>
      <c r="G5377" s="1" t="s">
        <v>5018</v>
      </c>
      <c r="H5377" s="1">
        <v>0.1</v>
      </c>
      <c r="I5377" s="1">
        <v>0.1</v>
      </c>
      <c r="J5377" s="1">
        <v>0.67144919362191069</v>
      </c>
      <c r="K5377" s="1" t="s">
        <v>181</v>
      </c>
    </row>
    <row r="5378" spans="1:11" x14ac:dyDescent="0.25">
      <c r="A5378" s="1" t="s">
        <v>16725</v>
      </c>
      <c r="B5378" s="1" t="s">
        <v>16726</v>
      </c>
      <c r="D5378" s="1" t="s">
        <v>16727</v>
      </c>
      <c r="E5378" s="1" t="s">
        <v>209</v>
      </c>
      <c r="F5378" s="1" t="s">
        <v>5017</v>
      </c>
      <c r="G5378" s="1" t="s">
        <v>5018</v>
      </c>
      <c r="H5378" s="1">
        <v>0.1</v>
      </c>
      <c r="I5378" s="1">
        <v>0.1</v>
      </c>
      <c r="J5378" s="1">
        <v>0.73263355187157486</v>
      </c>
      <c r="K5378" s="1" t="s">
        <v>181</v>
      </c>
    </row>
    <row r="5379" spans="1:11" x14ac:dyDescent="0.25">
      <c r="A5379" s="1" t="s">
        <v>16728</v>
      </c>
      <c r="B5379" s="1" t="s">
        <v>16729</v>
      </c>
      <c r="D5379" s="1" t="s">
        <v>16730</v>
      </c>
      <c r="E5379" s="1" t="s">
        <v>209</v>
      </c>
      <c r="F5379" s="1" t="s">
        <v>5017</v>
      </c>
      <c r="G5379" s="1" t="s">
        <v>5018</v>
      </c>
      <c r="H5379" s="1">
        <v>0.1</v>
      </c>
      <c r="I5379" s="1">
        <v>0.1</v>
      </c>
      <c r="J5379" s="1">
        <v>0.57498929444657687</v>
      </c>
      <c r="K5379" s="1" t="s">
        <v>181</v>
      </c>
    </row>
    <row r="5380" spans="1:11" x14ac:dyDescent="0.25">
      <c r="A5380" s="1" t="s">
        <v>16731</v>
      </c>
      <c r="B5380" s="1" t="s">
        <v>16732</v>
      </c>
      <c r="D5380" s="1" t="s">
        <v>16733</v>
      </c>
      <c r="E5380" s="1" t="s">
        <v>209</v>
      </c>
      <c r="F5380" s="1" t="s">
        <v>5017</v>
      </c>
      <c r="G5380" s="1" t="s">
        <v>5018</v>
      </c>
      <c r="H5380" s="1">
        <v>0.1</v>
      </c>
      <c r="I5380" s="1">
        <v>0.1</v>
      </c>
      <c r="J5380" s="1">
        <v>0.73180512951508447</v>
      </c>
      <c r="K5380" s="1" t="s">
        <v>181</v>
      </c>
    </row>
    <row r="5381" spans="1:11" x14ac:dyDescent="0.25">
      <c r="A5381" s="1" t="s">
        <v>16734</v>
      </c>
      <c r="B5381" s="1" t="s">
        <v>16735</v>
      </c>
      <c r="D5381" s="1" t="s">
        <v>16736</v>
      </c>
      <c r="E5381" s="1" t="s">
        <v>209</v>
      </c>
      <c r="F5381" s="1" t="s">
        <v>5017</v>
      </c>
      <c r="G5381" s="1" t="s">
        <v>5018</v>
      </c>
      <c r="H5381" s="1">
        <v>0.1</v>
      </c>
      <c r="I5381" s="1">
        <v>0.1</v>
      </c>
      <c r="J5381" s="1">
        <v>0.59375003394858483</v>
      </c>
      <c r="K5381" s="1" t="s">
        <v>181</v>
      </c>
    </row>
    <row r="5382" spans="1:11" x14ac:dyDescent="0.25">
      <c r="A5382" s="1" t="s">
        <v>16737</v>
      </c>
      <c r="B5382" s="1" t="s">
        <v>16738</v>
      </c>
      <c r="D5382" s="1" t="s">
        <v>16739</v>
      </c>
      <c r="E5382" s="1" t="s">
        <v>209</v>
      </c>
      <c r="F5382" s="1" t="s">
        <v>5017</v>
      </c>
      <c r="G5382" s="1" t="s">
        <v>5018</v>
      </c>
      <c r="H5382" s="1">
        <v>0.1</v>
      </c>
      <c r="I5382" s="1">
        <v>0.1</v>
      </c>
      <c r="J5382" s="1">
        <v>0.4773990586497539</v>
      </c>
      <c r="K5382" s="1" t="s">
        <v>181</v>
      </c>
    </row>
    <row r="5383" spans="1:11" x14ac:dyDescent="0.25">
      <c r="A5383" s="1" t="s">
        <v>16740</v>
      </c>
      <c r="B5383" s="1" t="s">
        <v>16741</v>
      </c>
      <c r="D5383" s="1" t="s">
        <v>16742</v>
      </c>
      <c r="E5383" s="1" t="s">
        <v>209</v>
      </c>
      <c r="F5383" s="1" t="s">
        <v>5017</v>
      </c>
      <c r="G5383" s="1" t="s">
        <v>5018</v>
      </c>
      <c r="H5383" s="1">
        <v>0.1</v>
      </c>
      <c r="I5383" s="1">
        <v>0.1</v>
      </c>
      <c r="J5383" s="1">
        <v>0.73564003408720946</v>
      </c>
      <c r="K5383" s="1" t="s">
        <v>181</v>
      </c>
    </row>
    <row r="5384" spans="1:11" x14ac:dyDescent="0.25">
      <c r="A5384" s="1" t="s">
        <v>16743</v>
      </c>
      <c r="B5384" s="1" t="s">
        <v>16744</v>
      </c>
      <c r="D5384" s="1" t="s">
        <v>16745</v>
      </c>
      <c r="E5384" s="1" t="s">
        <v>209</v>
      </c>
      <c r="F5384" s="1" t="s">
        <v>5017</v>
      </c>
      <c r="G5384" s="1" t="s">
        <v>5018</v>
      </c>
      <c r="H5384" s="1">
        <v>0.1</v>
      </c>
      <c r="I5384" s="1">
        <v>0.1</v>
      </c>
      <c r="J5384" s="1">
        <v>0.69934931355209196</v>
      </c>
      <c r="K5384" s="1" t="s">
        <v>181</v>
      </c>
    </row>
    <row r="5385" spans="1:11" x14ac:dyDescent="0.25">
      <c r="A5385" s="1" t="s">
        <v>16746</v>
      </c>
      <c r="B5385" s="1" t="s">
        <v>16747</v>
      </c>
      <c r="D5385" s="1" t="s">
        <v>16748</v>
      </c>
      <c r="E5385" s="1" t="s">
        <v>209</v>
      </c>
      <c r="F5385" s="1" t="s">
        <v>5017</v>
      </c>
      <c r="G5385" s="1" t="s">
        <v>5018</v>
      </c>
      <c r="H5385" s="1">
        <v>0.1</v>
      </c>
      <c r="I5385" s="1">
        <v>0.1</v>
      </c>
      <c r="J5385" s="1">
        <v>0.75336238368341835</v>
      </c>
      <c r="K5385" s="1" t="s">
        <v>181</v>
      </c>
    </row>
    <row r="5386" spans="1:11" x14ac:dyDescent="0.25">
      <c r="A5386" s="1" t="s">
        <v>16749</v>
      </c>
      <c r="B5386" s="1" t="s">
        <v>16750</v>
      </c>
      <c r="D5386" s="1" t="s">
        <v>16751</v>
      </c>
      <c r="E5386" s="1" t="s">
        <v>209</v>
      </c>
      <c r="F5386" s="1" t="s">
        <v>5017</v>
      </c>
      <c r="G5386" s="1" t="s">
        <v>5018</v>
      </c>
      <c r="H5386" s="1">
        <v>0.1</v>
      </c>
      <c r="I5386" s="1">
        <v>0.1</v>
      </c>
      <c r="J5386" s="1">
        <v>0.47836283920587219</v>
      </c>
      <c r="K5386" s="1" t="s">
        <v>181</v>
      </c>
    </row>
    <row r="5387" spans="1:11" x14ac:dyDescent="0.25">
      <c r="A5387" s="1" t="s">
        <v>16752</v>
      </c>
      <c r="B5387" s="1" t="s">
        <v>16753</v>
      </c>
      <c r="D5387" s="1" t="s">
        <v>16754</v>
      </c>
      <c r="E5387" s="1" t="s">
        <v>209</v>
      </c>
      <c r="F5387" s="1" t="s">
        <v>5017</v>
      </c>
      <c r="G5387" s="1" t="s">
        <v>5018</v>
      </c>
      <c r="H5387" s="1">
        <v>0.1</v>
      </c>
      <c r="I5387" s="1">
        <v>0.1</v>
      </c>
      <c r="J5387" s="1">
        <v>0.48042960347399366</v>
      </c>
      <c r="K5387" s="1" t="s">
        <v>181</v>
      </c>
    </row>
    <row r="5388" spans="1:11" x14ac:dyDescent="0.25">
      <c r="A5388" s="1" t="s">
        <v>16755</v>
      </c>
      <c r="B5388" s="1" t="s">
        <v>16756</v>
      </c>
      <c r="D5388" s="1" t="s">
        <v>16757</v>
      </c>
      <c r="E5388" s="1" t="s">
        <v>209</v>
      </c>
      <c r="F5388" s="1" t="s">
        <v>5017</v>
      </c>
      <c r="G5388" s="1" t="s">
        <v>5018</v>
      </c>
      <c r="H5388" s="1">
        <v>0.1</v>
      </c>
      <c r="I5388" s="1">
        <v>0.1</v>
      </c>
      <c r="J5388" s="1">
        <v>0.54001657106233347</v>
      </c>
      <c r="K5388" s="1" t="s">
        <v>181</v>
      </c>
    </row>
    <row r="5389" spans="1:11" x14ac:dyDescent="0.25">
      <c r="A5389" s="1" t="s">
        <v>16758</v>
      </c>
      <c r="B5389" s="1" t="s">
        <v>16759</v>
      </c>
      <c r="D5389" s="1" t="s">
        <v>16760</v>
      </c>
      <c r="E5389" s="1" t="s">
        <v>209</v>
      </c>
      <c r="F5389" s="1" t="s">
        <v>5017</v>
      </c>
      <c r="G5389" s="1" t="s">
        <v>5018</v>
      </c>
      <c r="H5389" s="1">
        <v>0.1</v>
      </c>
      <c r="I5389" s="1">
        <v>0.1</v>
      </c>
      <c r="J5389" s="1">
        <v>0.54274486092755769</v>
      </c>
      <c r="K5389" s="1" t="s">
        <v>181</v>
      </c>
    </row>
    <row r="5390" spans="1:11" x14ac:dyDescent="0.25">
      <c r="A5390" s="1" t="s">
        <v>16761</v>
      </c>
      <c r="B5390" s="1" t="s">
        <v>16762</v>
      </c>
      <c r="D5390" s="1" t="s">
        <v>16763</v>
      </c>
      <c r="E5390" s="1" t="s">
        <v>209</v>
      </c>
      <c r="F5390" s="1" t="s">
        <v>5017</v>
      </c>
      <c r="G5390" s="1" t="s">
        <v>5018</v>
      </c>
      <c r="H5390" s="1">
        <v>0.1</v>
      </c>
      <c r="I5390" s="1">
        <v>0.1</v>
      </c>
      <c r="J5390" s="1">
        <v>0.78081950806211364</v>
      </c>
      <c r="K5390" s="1" t="s">
        <v>181</v>
      </c>
    </row>
    <row r="5391" spans="1:11" x14ac:dyDescent="0.25">
      <c r="A5391" s="1" t="s">
        <v>16764</v>
      </c>
      <c r="B5391" s="1" t="s">
        <v>16765</v>
      </c>
      <c r="D5391" s="1" t="s">
        <v>16766</v>
      </c>
      <c r="E5391" s="1" t="s">
        <v>209</v>
      </c>
      <c r="F5391" s="1" t="s">
        <v>5017</v>
      </c>
      <c r="G5391" s="1" t="s">
        <v>5018</v>
      </c>
      <c r="H5391" s="1">
        <v>0.1</v>
      </c>
      <c r="I5391" s="1">
        <v>0.1</v>
      </c>
      <c r="J5391" s="1">
        <v>1.4334502851151405</v>
      </c>
      <c r="K5391" s="1" t="s">
        <v>181</v>
      </c>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A9BD0-D564-48E4-9535-BEFA99DED6F6}">
  <dimension ref="A1:G693"/>
  <sheetViews>
    <sheetView workbookViewId="0">
      <selection activeCell="E3" sqref="E3"/>
    </sheetView>
  </sheetViews>
  <sheetFormatPr baseColWidth="10" defaultColWidth="9.140625" defaultRowHeight="15" x14ac:dyDescent="0.25"/>
  <cols>
    <col min="1" max="1" width="18.42578125" customWidth="1"/>
    <col min="2" max="3" width="14.85546875" customWidth="1"/>
    <col min="4" max="4" width="20.7109375" customWidth="1"/>
    <col min="5" max="5" width="20.85546875" customWidth="1"/>
    <col min="6" max="6" width="19" customWidth="1"/>
    <col min="7" max="7" width="43.5703125" bestFit="1" customWidth="1"/>
  </cols>
  <sheetData>
    <row r="1" spans="1:7" x14ac:dyDescent="0.25">
      <c r="A1" s="11" t="s">
        <v>16776</v>
      </c>
      <c r="B1" s="11" t="s">
        <v>168</v>
      </c>
      <c r="C1" s="11" t="s">
        <v>16777</v>
      </c>
      <c r="D1" s="11" t="s">
        <v>16778</v>
      </c>
      <c r="E1" s="11" t="s">
        <v>16779</v>
      </c>
      <c r="F1" s="11" t="s">
        <v>172</v>
      </c>
      <c r="G1" s="11" t="s">
        <v>16780</v>
      </c>
    </row>
    <row r="2" spans="1:7" x14ac:dyDescent="0.25">
      <c r="A2" t="s">
        <v>77</v>
      </c>
      <c r="B2" t="s">
        <v>5017</v>
      </c>
      <c r="C2">
        <v>10</v>
      </c>
      <c r="D2">
        <v>39.226000000000013</v>
      </c>
      <c r="E2">
        <v>169.22300000000041</v>
      </c>
      <c r="F2">
        <v>1.319466077654359</v>
      </c>
      <c r="G2" t="s">
        <v>5</v>
      </c>
    </row>
    <row r="3" spans="1:7" x14ac:dyDescent="0.25">
      <c r="A3" t="s">
        <v>7</v>
      </c>
      <c r="B3" t="s">
        <v>5017</v>
      </c>
      <c r="C3">
        <v>10</v>
      </c>
      <c r="D3">
        <v>39.226000000000013</v>
      </c>
      <c r="E3">
        <v>169.22300000000041</v>
      </c>
      <c r="F3">
        <v>1.432837571208645</v>
      </c>
      <c r="G3" t="s">
        <v>5</v>
      </c>
    </row>
    <row r="4" spans="1:7" x14ac:dyDescent="0.25">
      <c r="A4" t="s">
        <v>78</v>
      </c>
      <c r="B4" t="s">
        <v>5017</v>
      </c>
      <c r="C4">
        <v>10</v>
      </c>
      <c r="D4">
        <v>39.226000000000013</v>
      </c>
      <c r="E4">
        <v>169.22300000000041</v>
      </c>
      <c r="F4">
        <v>1.318942227069785</v>
      </c>
      <c r="G4" t="s">
        <v>5</v>
      </c>
    </row>
    <row r="5" spans="1:7" x14ac:dyDescent="0.25">
      <c r="A5" t="s">
        <v>79</v>
      </c>
      <c r="B5" t="s">
        <v>5017</v>
      </c>
      <c r="C5">
        <v>10</v>
      </c>
      <c r="D5">
        <v>39.226000000000013</v>
      </c>
      <c r="E5">
        <v>169.22300000000041</v>
      </c>
      <c r="F5">
        <v>1.319466077654359</v>
      </c>
      <c r="G5" t="s">
        <v>5</v>
      </c>
    </row>
    <row r="6" spans="1:7" x14ac:dyDescent="0.25">
      <c r="A6" t="s">
        <v>9</v>
      </c>
      <c r="B6" t="s">
        <v>5017</v>
      </c>
      <c r="C6">
        <v>10</v>
      </c>
      <c r="D6">
        <v>39.644000000000013</v>
      </c>
      <c r="E6">
        <v>169.11399999999989</v>
      </c>
      <c r="F6">
        <v>1.417851338290637</v>
      </c>
      <c r="G6" t="s">
        <v>5</v>
      </c>
    </row>
    <row r="7" spans="1:7" x14ac:dyDescent="0.25">
      <c r="A7" t="s">
        <v>124</v>
      </c>
      <c r="B7" t="s">
        <v>5017</v>
      </c>
      <c r="C7">
        <v>10</v>
      </c>
      <c r="D7">
        <v>39.644000000000013</v>
      </c>
      <c r="E7">
        <v>169.11399999999989</v>
      </c>
      <c r="F7">
        <v>1.305148192929712</v>
      </c>
      <c r="G7" t="s">
        <v>5</v>
      </c>
    </row>
    <row r="8" spans="1:7" x14ac:dyDescent="0.25">
      <c r="A8" t="s">
        <v>123</v>
      </c>
      <c r="B8" t="s">
        <v>5017</v>
      </c>
      <c r="C8">
        <v>10</v>
      </c>
      <c r="D8">
        <v>39.644000000000013</v>
      </c>
      <c r="E8">
        <v>169.11399999999989</v>
      </c>
      <c r="F8">
        <v>1.3056945198666019</v>
      </c>
      <c r="G8" t="s">
        <v>5</v>
      </c>
    </row>
    <row r="9" spans="1:7" x14ac:dyDescent="0.25">
      <c r="A9" t="s">
        <v>122</v>
      </c>
      <c r="B9" t="s">
        <v>5017</v>
      </c>
      <c r="C9">
        <v>10</v>
      </c>
      <c r="D9">
        <v>39.644000000000013</v>
      </c>
      <c r="E9">
        <v>169.11399999999989</v>
      </c>
      <c r="F9">
        <v>1.3056945198666019</v>
      </c>
      <c r="G9" t="s">
        <v>5</v>
      </c>
    </row>
    <row r="10" spans="1:7" x14ac:dyDescent="0.25">
      <c r="A10" t="s">
        <v>7196</v>
      </c>
      <c r="B10" t="s">
        <v>5017</v>
      </c>
      <c r="C10">
        <v>10</v>
      </c>
      <c r="D10">
        <v>39.226000000000013</v>
      </c>
      <c r="E10">
        <v>168.79600000000039</v>
      </c>
      <c r="F10">
        <v>1.251885942393371</v>
      </c>
      <c r="G10" t="s">
        <v>5</v>
      </c>
    </row>
    <row r="11" spans="1:7" x14ac:dyDescent="0.25">
      <c r="A11" t="s">
        <v>7206</v>
      </c>
      <c r="B11" t="s">
        <v>5017</v>
      </c>
      <c r="C11">
        <v>10</v>
      </c>
      <c r="D11">
        <v>39.226000000000013</v>
      </c>
      <c r="E11">
        <v>168.7740000000004</v>
      </c>
      <c r="F11">
        <v>1.196322940779269</v>
      </c>
      <c r="G11" t="s">
        <v>5</v>
      </c>
    </row>
    <row r="12" spans="1:7" x14ac:dyDescent="0.25">
      <c r="A12" t="s">
        <v>7225</v>
      </c>
      <c r="B12" t="s">
        <v>5017</v>
      </c>
      <c r="C12">
        <v>10</v>
      </c>
      <c r="D12">
        <v>39.226000000000013</v>
      </c>
      <c r="E12">
        <v>168.7740000000004</v>
      </c>
      <c r="F12">
        <v>1.195830797945854</v>
      </c>
      <c r="G12" t="s">
        <v>5</v>
      </c>
    </row>
    <row r="13" spans="1:7" x14ac:dyDescent="0.25">
      <c r="A13" t="s">
        <v>7248</v>
      </c>
      <c r="B13" t="s">
        <v>5017</v>
      </c>
      <c r="C13">
        <v>10</v>
      </c>
      <c r="D13">
        <v>39.226000000000013</v>
      </c>
      <c r="E13">
        <v>168.7740000000004</v>
      </c>
      <c r="F13">
        <v>0.94145283940179703</v>
      </c>
      <c r="G13" t="s">
        <v>5</v>
      </c>
    </row>
    <row r="14" spans="1:7" x14ac:dyDescent="0.25">
      <c r="A14" t="s">
        <v>7222</v>
      </c>
      <c r="B14" t="s">
        <v>5017</v>
      </c>
      <c r="C14">
        <v>10</v>
      </c>
      <c r="D14">
        <v>39.326000000000001</v>
      </c>
      <c r="E14">
        <v>168.1930000000003</v>
      </c>
      <c r="F14">
        <v>1.31989308284856</v>
      </c>
      <c r="G14" t="s">
        <v>5</v>
      </c>
    </row>
    <row r="15" spans="1:7" x14ac:dyDescent="0.25">
      <c r="A15" t="s">
        <v>4</v>
      </c>
      <c r="B15" t="s">
        <v>5017</v>
      </c>
      <c r="C15">
        <v>10</v>
      </c>
      <c r="D15">
        <v>39.326000000000001</v>
      </c>
      <c r="E15">
        <v>168.1930000000003</v>
      </c>
      <c r="F15">
        <v>1.433302218020021</v>
      </c>
      <c r="G15" t="s">
        <v>5</v>
      </c>
    </row>
    <row r="16" spans="1:7" x14ac:dyDescent="0.25">
      <c r="A16" t="s">
        <v>7245</v>
      </c>
      <c r="B16" t="s">
        <v>5017</v>
      </c>
      <c r="C16">
        <v>10</v>
      </c>
      <c r="D16">
        <v>39.326000000000001</v>
      </c>
      <c r="E16">
        <v>168.1930000000003</v>
      </c>
      <c r="F16">
        <v>1.319369910501222</v>
      </c>
      <c r="G16" t="s">
        <v>5</v>
      </c>
    </row>
    <row r="17" spans="1:7" x14ac:dyDescent="0.25">
      <c r="A17" t="s">
        <v>7264</v>
      </c>
      <c r="B17" t="s">
        <v>5017</v>
      </c>
      <c r="C17">
        <v>10</v>
      </c>
      <c r="D17">
        <v>39.326000000000001</v>
      </c>
      <c r="E17">
        <v>168.1930000000003</v>
      </c>
      <c r="F17">
        <v>1.31989308284856</v>
      </c>
      <c r="G17" t="s">
        <v>5</v>
      </c>
    </row>
    <row r="18" spans="1:7" x14ac:dyDescent="0.25">
      <c r="A18" t="s">
        <v>8210</v>
      </c>
      <c r="B18" t="s">
        <v>5017</v>
      </c>
      <c r="C18">
        <v>10</v>
      </c>
      <c r="D18">
        <v>39.326000000000001</v>
      </c>
      <c r="E18">
        <v>168.09400000000039</v>
      </c>
      <c r="F18">
        <v>1.3165962375475311</v>
      </c>
      <c r="G18" t="s">
        <v>5</v>
      </c>
    </row>
    <row r="19" spans="1:7" x14ac:dyDescent="0.25">
      <c r="A19" t="s">
        <v>8213</v>
      </c>
      <c r="B19" t="s">
        <v>5017</v>
      </c>
      <c r="C19">
        <v>10</v>
      </c>
      <c r="D19">
        <v>39.326000000000001</v>
      </c>
      <c r="E19">
        <v>168.09400000000039</v>
      </c>
      <c r="F19">
        <v>1.3162193792775221</v>
      </c>
      <c r="G19" t="s">
        <v>5</v>
      </c>
    </row>
    <row r="20" spans="1:7" x14ac:dyDescent="0.25">
      <c r="A20" t="s">
        <v>7219</v>
      </c>
      <c r="B20" t="s">
        <v>5017</v>
      </c>
      <c r="C20">
        <v>10</v>
      </c>
      <c r="D20">
        <v>38.554999999999993</v>
      </c>
      <c r="E20">
        <v>168.06499999999991</v>
      </c>
      <c r="F20">
        <v>1.3062602415155311</v>
      </c>
      <c r="G20" t="s">
        <v>5</v>
      </c>
    </row>
    <row r="21" spans="1:7" x14ac:dyDescent="0.25">
      <c r="A21" t="s">
        <v>8</v>
      </c>
      <c r="B21" t="s">
        <v>5017</v>
      </c>
      <c r="C21">
        <v>10</v>
      </c>
      <c r="D21">
        <v>38.554999999999993</v>
      </c>
      <c r="E21">
        <v>168.06499999999991</v>
      </c>
      <c r="F21">
        <v>1.418466983956167</v>
      </c>
      <c r="G21" t="s">
        <v>5</v>
      </c>
    </row>
    <row r="22" spans="1:7" x14ac:dyDescent="0.25">
      <c r="A22" t="s">
        <v>7242</v>
      </c>
      <c r="B22" t="s">
        <v>5017</v>
      </c>
      <c r="C22">
        <v>10</v>
      </c>
      <c r="D22">
        <v>38.554999999999993</v>
      </c>
      <c r="E22">
        <v>168.06499999999991</v>
      </c>
      <c r="F22">
        <v>1.305714861376146</v>
      </c>
      <c r="G22" t="s">
        <v>5</v>
      </c>
    </row>
    <row r="23" spans="1:7" x14ac:dyDescent="0.25">
      <c r="A23" t="s">
        <v>7261</v>
      </c>
      <c r="B23" t="s">
        <v>5017</v>
      </c>
      <c r="C23">
        <v>10</v>
      </c>
      <c r="D23">
        <v>38.554999999999993</v>
      </c>
      <c r="E23">
        <v>168.06499999999991</v>
      </c>
      <c r="F23">
        <v>1.3062602415155311</v>
      </c>
      <c r="G23" t="s">
        <v>5</v>
      </c>
    </row>
    <row r="24" spans="1:7" x14ac:dyDescent="0.25">
      <c r="A24" t="s">
        <v>7212</v>
      </c>
      <c r="B24" t="s">
        <v>5017</v>
      </c>
      <c r="C24">
        <v>10</v>
      </c>
      <c r="D24">
        <v>39.326000000000001</v>
      </c>
      <c r="E24">
        <v>167.74400000000031</v>
      </c>
      <c r="F24">
        <v>1.196723288602151</v>
      </c>
      <c r="G24" t="s">
        <v>5</v>
      </c>
    </row>
    <row r="25" spans="1:7" x14ac:dyDescent="0.25">
      <c r="A25" t="s">
        <v>7231</v>
      </c>
      <c r="B25" t="s">
        <v>5017</v>
      </c>
      <c r="C25">
        <v>10</v>
      </c>
      <c r="D25">
        <v>39.326000000000001</v>
      </c>
      <c r="E25">
        <v>167.74400000000031</v>
      </c>
      <c r="F25">
        <v>1.19623180467413</v>
      </c>
      <c r="G25" t="s">
        <v>5</v>
      </c>
    </row>
    <row r="26" spans="1:7" x14ac:dyDescent="0.25">
      <c r="A26" t="s">
        <v>7254</v>
      </c>
      <c r="B26" t="s">
        <v>5017</v>
      </c>
      <c r="C26">
        <v>10</v>
      </c>
      <c r="D26">
        <v>39.326000000000001</v>
      </c>
      <c r="E26">
        <v>167.74400000000031</v>
      </c>
      <c r="F26">
        <v>0.94176789529661697</v>
      </c>
      <c r="G26" t="s">
        <v>5</v>
      </c>
    </row>
    <row r="27" spans="1:7" x14ac:dyDescent="0.25">
      <c r="A27" t="s">
        <v>7164</v>
      </c>
      <c r="B27" t="s">
        <v>5017</v>
      </c>
      <c r="C27">
        <v>10</v>
      </c>
      <c r="D27">
        <v>39.644000000000013</v>
      </c>
      <c r="E27">
        <v>167.12599999999989</v>
      </c>
      <c r="F27">
        <v>1.181774599048681</v>
      </c>
      <c r="G27" t="s">
        <v>5</v>
      </c>
    </row>
    <row r="28" spans="1:7" x14ac:dyDescent="0.25">
      <c r="A28" t="s">
        <v>121</v>
      </c>
      <c r="B28" t="s">
        <v>5017</v>
      </c>
      <c r="C28">
        <v>10</v>
      </c>
      <c r="D28">
        <v>39.644000000000013</v>
      </c>
      <c r="E28">
        <v>167.12599999999989</v>
      </c>
      <c r="F28">
        <v>1.181774599048681</v>
      </c>
      <c r="G28" t="s">
        <v>5</v>
      </c>
    </row>
    <row r="29" spans="1:7" x14ac:dyDescent="0.25">
      <c r="A29" t="s">
        <v>7199</v>
      </c>
      <c r="B29" t="s">
        <v>5017</v>
      </c>
      <c r="C29">
        <v>10</v>
      </c>
      <c r="D29">
        <v>39.644000000000013</v>
      </c>
      <c r="E29">
        <v>167.12599999999989</v>
      </c>
      <c r="F29">
        <v>1.1812577439003169</v>
      </c>
      <c r="G29" t="s">
        <v>5</v>
      </c>
    </row>
    <row r="30" spans="1:7" x14ac:dyDescent="0.25">
      <c r="A30" t="s">
        <v>7209</v>
      </c>
      <c r="B30" t="s">
        <v>5017</v>
      </c>
      <c r="C30">
        <v>10</v>
      </c>
      <c r="D30">
        <v>38.554999999999993</v>
      </c>
      <c r="E30">
        <v>166.07699999999991</v>
      </c>
      <c r="F30">
        <v>1.181415552054649</v>
      </c>
      <c r="G30" t="s">
        <v>5</v>
      </c>
    </row>
    <row r="31" spans="1:7" x14ac:dyDescent="0.25">
      <c r="A31" t="s">
        <v>7228</v>
      </c>
      <c r="B31" t="s">
        <v>5017</v>
      </c>
      <c r="C31">
        <v>10</v>
      </c>
      <c r="D31">
        <v>38.554999999999993</v>
      </c>
      <c r="E31">
        <v>166.07699999999991</v>
      </c>
      <c r="F31">
        <v>1.180898067615918</v>
      </c>
      <c r="G31" t="s">
        <v>5</v>
      </c>
    </row>
    <row r="32" spans="1:7" x14ac:dyDescent="0.25">
      <c r="A32" t="s">
        <v>7251</v>
      </c>
      <c r="B32" t="s">
        <v>5017</v>
      </c>
      <c r="C32">
        <v>10</v>
      </c>
      <c r="D32">
        <v>38.554999999999993</v>
      </c>
      <c r="E32">
        <v>166.07699999999991</v>
      </c>
      <c r="F32">
        <v>1.181415552054649</v>
      </c>
      <c r="G32" t="s">
        <v>5</v>
      </c>
    </row>
    <row r="33" spans="1:7" x14ac:dyDescent="0.25">
      <c r="A33" t="s">
        <v>8199</v>
      </c>
      <c r="B33" t="s">
        <v>5017</v>
      </c>
      <c r="C33">
        <v>10</v>
      </c>
      <c r="D33">
        <v>39.326000000000001</v>
      </c>
      <c r="E33">
        <v>165.62100000000041</v>
      </c>
      <c r="F33">
        <v>1.192775462853074</v>
      </c>
      <c r="G33" t="s">
        <v>5</v>
      </c>
    </row>
    <row r="34" spans="1:7" x14ac:dyDescent="0.25">
      <c r="A34" t="s">
        <v>8202</v>
      </c>
      <c r="B34" t="s">
        <v>5017</v>
      </c>
      <c r="C34">
        <v>10</v>
      </c>
      <c r="D34">
        <v>39.326000000000001</v>
      </c>
      <c r="E34">
        <v>165.62100000000041</v>
      </c>
      <c r="F34">
        <v>1.192431985797102</v>
      </c>
      <c r="G34" t="s">
        <v>5</v>
      </c>
    </row>
    <row r="35" spans="1:7" x14ac:dyDescent="0.25">
      <c r="A35" t="s">
        <v>6</v>
      </c>
      <c r="B35" t="s">
        <v>5017</v>
      </c>
      <c r="C35">
        <v>10</v>
      </c>
      <c r="D35">
        <v>38.554999999999993</v>
      </c>
      <c r="E35">
        <v>137.10499999999999</v>
      </c>
      <c r="F35">
        <v>1.4332762975683939</v>
      </c>
      <c r="G35" t="s">
        <v>5</v>
      </c>
    </row>
    <row r="36" spans="1:7" x14ac:dyDescent="0.25">
      <c r="A36" t="s">
        <v>8207</v>
      </c>
      <c r="B36" t="s">
        <v>5017</v>
      </c>
      <c r="C36">
        <v>10</v>
      </c>
      <c r="D36">
        <v>38.554999999999993</v>
      </c>
      <c r="E36">
        <v>137.10499999999999</v>
      </c>
      <c r="F36">
        <v>0.92783115057826915</v>
      </c>
      <c r="G36" t="s">
        <v>5</v>
      </c>
    </row>
    <row r="37" spans="1:7" x14ac:dyDescent="0.25">
      <c r="A37" t="s">
        <v>8189</v>
      </c>
      <c r="B37" t="s">
        <v>5017</v>
      </c>
      <c r="C37">
        <v>10</v>
      </c>
      <c r="D37">
        <v>38.554999999999993</v>
      </c>
      <c r="E37">
        <v>133.13800000000009</v>
      </c>
      <c r="F37">
        <v>1.1761681159094659</v>
      </c>
      <c r="G37" t="s">
        <v>5</v>
      </c>
    </row>
    <row r="38" spans="1:7" x14ac:dyDescent="0.25">
      <c r="A38" t="s">
        <v>8196</v>
      </c>
      <c r="B38" t="s">
        <v>5017</v>
      </c>
      <c r="C38">
        <v>10</v>
      </c>
      <c r="D38">
        <v>38.554999999999993</v>
      </c>
      <c r="E38">
        <v>133.13800000000009</v>
      </c>
      <c r="F38">
        <v>1.1758048094793669</v>
      </c>
      <c r="G38" t="s">
        <v>5</v>
      </c>
    </row>
    <row r="39" spans="1:7" x14ac:dyDescent="0.25">
      <c r="A39" t="s">
        <v>80</v>
      </c>
      <c r="B39" t="s">
        <v>5017</v>
      </c>
      <c r="C39">
        <v>11</v>
      </c>
      <c r="D39">
        <v>54.334000000000032</v>
      </c>
      <c r="E39">
        <v>128.98899999999949</v>
      </c>
      <c r="F39">
        <v>0.97977374367507508</v>
      </c>
      <c r="G39" t="s">
        <v>11</v>
      </c>
    </row>
    <row r="40" spans="1:7" x14ac:dyDescent="0.25">
      <c r="A40" t="s">
        <v>81</v>
      </c>
      <c r="B40" t="s">
        <v>5017</v>
      </c>
      <c r="C40">
        <v>11</v>
      </c>
      <c r="D40">
        <v>106.1870000000001</v>
      </c>
      <c r="E40">
        <v>52.12800000000005</v>
      </c>
      <c r="F40">
        <v>0.96052946807161987</v>
      </c>
      <c r="G40" t="s">
        <v>11</v>
      </c>
    </row>
    <row r="41" spans="1:7" x14ac:dyDescent="0.25">
      <c r="A41" t="s">
        <v>82</v>
      </c>
      <c r="B41" t="s">
        <v>5017</v>
      </c>
      <c r="C41">
        <v>11</v>
      </c>
      <c r="D41">
        <v>106.1870000000001</v>
      </c>
      <c r="E41">
        <v>52.12800000000005</v>
      </c>
      <c r="F41">
        <v>0.88636053635882261</v>
      </c>
      <c r="G41" t="s">
        <v>11</v>
      </c>
    </row>
    <row r="42" spans="1:7" x14ac:dyDescent="0.25">
      <c r="A42" t="s">
        <v>15</v>
      </c>
      <c r="B42" t="s">
        <v>5017</v>
      </c>
      <c r="C42">
        <v>11</v>
      </c>
      <c r="D42">
        <v>106.1870000000001</v>
      </c>
      <c r="E42">
        <v>52.12800000000005</v>
      </c>
      <c r="F42">
        <v>1.0316846578304071</v>
      </c>
      <c r="G42" t="s">
        <v>11</v>
      </c>
    </row>
    <row r="43" spans="1:7" x14ac:dyDescent="0.25">
      <c r="A43" t="s">
        <v>83</v>
      </c>
      <c r="B43" t="s">
        <v>5017</v>
      </c>
      <c r="C43">
        <v>11</v>
      </c>
      <c r="D43">
        <v>106.1870000000001</v>
      </c>
      <c r="E43">
        <v>52.12800000000005</v>
      </c>
      <c r="F43">
        <v>1.0316846578304071</v>
      </c>
      <c r="G43" t="s">
        <v>11</v>
      </c>
    </row>
    <row r="44" spans="1:7" x14ac:dyDescent="0.25">
      <c r="A44" t="s">
        <v>7646</v>
      </c>
      <c r="B44" t="s">
        <v>5017</v>
      </c>
      <c r="C44">
        <v>11</v>
      </c>
      <c r="D44">
        <v>106.1870000000001</v>
      </c>
      <c r="E44">
        <v>52.12800000000005</v>
      </c>
      <c r="F44">
        <v>0.88636053635882261</v>
      </c>
      <c r="G44" t="s">
        <v>11</v>
      </c>
    </row>
    <row r="45" spans="1:7" x14ac:dyDescent="0.25">
      <c r="A45" t="s">
        <v>9265</v>
      </c>
      <c r="B45" t="s">
        <v>5017</v>
      </c>
      <c r="C45">
        <v>11</v>
      </c>
      <c r="D45">
        <v>106.1870000000001</v>
      </c>
      <c r="E45">
        <v>52.12800000000005</v>
      </c>
      <c r="F45">
        <v>0.86016298108725009</v>
      </c>
      <c r="G45" t="s">
        <v>11</v>
      </c>
    </row>
    <row r="46" spans="1:7" x14ac:dyDescent="0.25">
      <c r="A46" t="s">
        <v>9274</v>
      </c>
      <c r="B46" t="s">
        <v>5017</v>
      </c>
      <c r="C46">
        <v>11</v>
      </c>
      <c r="D46">
        <v>106.1870000000001</v>
      </c>
      <c r="E46">
        <v>52.12800000000005</v>
      </c>
      <c r="F46">
        <v>1.0316846578304071</v>
      </c>
      <c r="G46" t="s">
        <v>11</v>
      </c>
    </row>
    <row r="47" spans="1:7" x14ac:dyDescent="0.25">
      <c r="A47" t="s">
        <v>9280</v>
      </c>
      <c r="B47" t="s">
        <v>5017</v>
      </c>
      <c r="C47">
        <v>11</v>
      </c>
      <c r="D47">
        <v>106.1870000000001</v>
      </c>
      <c r="E47">
        <v>52.12800000000005</v>
      </c>
      <c r="F47">
        <v>0.88636053635882261</v>
      </c>
      <c r="G47" t="s">
        <v>11</v>
      </c>
    </row>
    <row r="48" spans="1:7" x14ac:dyDescent="0.25">
      <c r="A48" t="s">
        <v>84</v>
      </c>
      <c r="B48" t="s">
        <v>5017</v>
      </c>
      <c r="C48">
        <v>5</v>
      </c>
      <c r="D48">
        <v>57.192999999999977</v>
      </c>
      <c r="E48">
        <v>51.461999999999946</v>
      </c>
      <c r="F48">
        <v>0.8038074200509121</v>
      </c>
      <c r="G48" t="s">
        <v>17</v>
      </c>
    </row>
    <row r="49" spans="1:7" x14ac:dyDescent="0.25">
      <c r="A49" t="s">
        <v>85</v>
      </c>
      <c r="B49" t="s">
        <v>5017</v>
      </c>
      <c r="C49">
        <v>5</v>
      </c>
      <c r="D49">
        <v>58.132999999999967</v>
      </c>
      <c r="E49">
        <v>51.332999999999949</v>
      </c>
      <c r="F49">
        <v>0.79356413591463393</v>
      </c>
      <c r="G49" t="s">
        <v>17</v>
      </c>
    </row>
    <row r="50" spans="1:7" x14ac:dyDescent="0.25">
      <c r="A50" t="s">
        <v>86</v>
      </c>
      <c r="B50" t="s">
        <v>5017</v>
      </c>
      <c r="C50">
        <v>5</v>
      </c>
      <c r="D50">
        <v>58.266999999999967</v>
      </c>
      <c r="E50">
        <v>51.332999999999949</v>
      </c>
      <c r="F50">
        <v>0.79317560256198538</v>
      </c>
      <c r="G50" t="s">
        <v>17</v>
      </c>
    </row>
    <row r="51" spans="1:7" x14ac:dyDescent="0.25">
      <c r="A51" t="s">
        <v>20</v>
      </c>
      <c r="B51" t="s">
        <v>5017</v>
      </c>
      <c r="C51">
        <v>5</v>
      </c>
      <c r="D51">
        <v>123.9</v>
      </c>
      <c r="E51">
        <v>47.522000000000041</v>
      </c>
      <c r="F51">
        <v>1.1804867896026141</v>
      </c>
      <c r="G51" t="s">
        <v>17</v>
      </c>
    </row>
    <row r="52" spans="1:7" x14ac:dyDescent="0.25">
      <c r="A52" t="s">
        <v>19</v>
      </c>
      <c r="B52" t="s">
        <v>5017</v>
      </c>
      <c r="C52">
        <v>5</v>
      </c>
      <c r="D52">
        <v>123.9</v>
      </c>
      <c r="E52">
        <v>47.522000000000041</v>
      </c>
      <c r="F52">
        <v>2.404533852601165</v>
      </c>
      <c r="G52" t="s">
        <v>17</v>
      </c>
    </row>
    <row r="53" spans="1:7" x14ac:dyDescent="0.25">
      <c r="A53" t="s">
        <v>18</v>
      </c>
      <c r="B53" t="s">
        <v>5017</v>
      </c>
      <c r="C53">
        <v>5</v>
      </c>
      <c r="D53">
        <v>123.9</v>
      </c>
      <c r="E53">
        <v>47.522000000000041</v>
      </c>
      <c r="F53">
        <v>2.404533852601165</v>
      </c>
      <c r="G53" t="s">
        <v>17</v>
      </c>
    </row>
    <row r="54" spans="1:7" x14ac:dyDescent="0.25">
      <c r="A54" t="s">
        <v>16</v>
      </c>
      <c r="B54" t="s">
        <v>5017</v>
      </c>
      <c r="C54">
        <v>5</v>
      </c>
      <c r="D54">
        <v>128.55499999999989</v>
      </c>
      <c r="E54">
        <v>47.522000000000041</v>
      </c>
      <c r="F54">
        <v>2.4132162425187982</v>
      </c>
      <c r="G54" t="s">
        <v>17</v>
      </c>
    </row>
    <row r="55" spans="1:7" x14ac:dyDescent="0.25">
      <c r="A55" t="s">
        <v>7613</v>
      </c>
      <c r="B55" t="s">
        <v>5017</v>
      </c>
      <c r="C55">
        <v>11</v>
      </c>
      <c r="D55">
        <v>95.921000000000049</v>
      </c>
      <c r="E55">
        <v>40.809000000000047</v>
      </c>
      <c r="F55">
        <v>0.83240489686422892</v>
      </c>
      <c r="G55" t="s">
        <v>11</v>
      </c>
    </row>
    <row r="56" spans="1:7" x14ac:dyDescent="0.25">
      <c r="A56" t="s">
        <v>7871</v>
      </c>
      <c r="B56" t="s">
        <v>5017</v>
      </c>
      <c r="C56">
        <v>11</v>
      </c>
      <c r="D56">
        <v>95.921000000000049</v>
      </c>
      <c r="E56">
        <v>40.809000000000047</v>
      </c>
      <c r="F56">
        <v>0.91995776448393562</v>
      </c>
      <c r="G56" t="s">
        <v>11</v>
      </c>
    </row>
    <row r="57" spans="1:7" x14ac:dyDescent="0.25">
      <c r="A57" t="s">
        <v>7878</v>
      </c>
      <c r="B57" t="s">
        <v>5017</v>
      </c>
      <c r="C57">
        <v>11</v>
      </c>
      <c r="D57">
        <v>95.921000000000049</v>
      </c>
      <c r="E57">
        <v>40.809000000000047</v>
      </c>
      <c r="F57">
        <v>1.0106930506724821</v>
      </c>
      <c r="G57" t="s">
        <v>11</v>
      </c>
    </row>
    <row r="58" spans="1:7" x14ac:dyDescent="0.25">
      <c r="A58" t="s">
        <v>7891</v>
      </c>
      <c r="B58" t="s">
        <v>5017</v>
      </c>
      <c r="C58">
        <v>11</v>
      </c>
      <c r="D58">
        <v>95.921000000000049</v>
      </c>
      <c r="E58">
        <v>40.809000000000047</v>
      </c>
      <c r="F58">
        <v>0.93577339196674258</v>
      </c>
      <c r="G58" t="s">
        <v>11</v>
      </c>
    </row>
    <row r="59" spans="1:7" x14ac:dyDescent="0.25">
      <c r="A59" t="s">
        <v>9211</v>
      </c>
      <c r="B59" t="s">
        <v>5017</v>
      </c>
      <c r="C59">
        <v>11</v>
      </c>
      <c r="D59">
        <v>95.921000000000049</v>
      </c>
      <c r="E59">
        <v>40.809000000000047</v>
      </c>
      <c r="F59">
        <v>0.83240489686422892</v>
      </c>
      <c r="G59" t="s">
        <v>11</v>
      </c>
    </row>
    <row r="60" spans="1:7" x14ac:dyDescent="0.25">
      <c r="A60" t="s">
        <v>9214</v>
      </c>
      <c r="B60" t="s">
        <v>5017</v>
      </c>
      <c r="C60">
        <v>11</v>
      </c>
      <c r="D60">
        <v>95.921000000000049</v>
      </c>
      <c r="E60">
        <v>40.809000000000047</v>
      </c>
      <c r="F60">
        <v>0.83240489686422892</v>
      </c>
      <c r="G60" t="s">
        <v>11</v>
      </c>
    </row>
    <row r="61" spans="1:7" x14ac:dyDescent="0.25">
      <c r="A61" t="s">
        <v>9220</v>
      </c>
      <c r="B61" t="s">
        <v>5017</v>
      </c>
      <c r="C61">
        <v>11</v>
      </c>
      <c r="D61">
        <v>95.921000000000049</v>
      </c>
      <c r="E61">
        <v>40.809000000000047</v>
      </c>
      <c r="F61">
        <v>0.83799368703618371</v>
      </c>
      <c r="G61" t="s">
        <v>11</v>
      </c>
    </row>
    <row r="62" spans="1:7" x14ac:dyDescent="0.25">
      <c r="A62" t="s">
        <v>9223</v>
      </c>
      <c r="B62" t="s">
        <v>5017</v>
      </c>
      <c r="C62">
        <v>11</v>
      </c>
      <c r="D62">
        <v>95.921000000000049</v>
      </c>
      <c r="E62">
        <v>40.809000000000047</v>
      </c>
      <c r="F62">
        <v>0.83799368703618371</v>
      </c>
      <c r="G62" t="s">
        <v>11</v>
      </c>
    </row>
    <row r="63" spans="1:7" x14ac:dyDescent="0.25">
      <c r="A63" t="s">
        <v>9229</v>
      </c>
      <c r="B63" t="s">
        <v>5017</v>
      </c>
      <c r="C63">
        <v>11</v>
      </c>
      <c r="D63">
        <v>95.921000000000049</v>
      </c>
      <c r="E63">
        <v>40.809000000000047</v>
      </c>
      <c r="F63">
        <v>0.83240489686422892</v>
      </c>
      <c r="G63" t="s">
        <v>11</v>
      </c>
    </row>
    <row r="64" spans="1:7" x14ac:dyDescent="0.25">
      <c r="A64" t="s">
        <v>9232</v>
      </c>
      <c r="B64" t="s">
        <v>5017</v>
      </c>
      <c r="C64">
        <v>11</v>
      </c>
      <c r="D64">
        <v>95.921000000000049</v>
      </c>
      <c r="E64">
        <v>40.809000000000047</v>
      </c>
      <c r="F64">
        <v>0.83240489686422892</v>
      </c>
      <c r="G64" t="s">
        <v>11</v>
      </c>
    </row>
    <row r="65" spans="1:7" x14ac:dyDescent="0.25">
      <c r="A65" t="s">
        <v>9238</v>
      </c>
      <c r="B65" t="s">
        <v>5017</v>
      </c>
      <c r="C65">
        <v>11</v>
      </c>
      <c r="D65">
        <v>95.921000000000049</v>
      </c>
      <c r="E65">
        <v>40.809000000000047</v>
      </c>
      <c r="F65">
        <v>0.83240489686422892</v>
      </c>
      <c r="G65" t="s">
        <v>11</v>
      </c>
    </row>
    <row r="66" spans="1:7" x14ac:dyDescent="0.25">
      <c r="A66" t="s">
        <v>9241</v>
      </c>
      <c r="B66" t="s">
        <v>5017</v>
      </c>
      <c r="C66">
        <v>11</v>
      </c>
      <c r="D66">
        <v>95.921000000000049</v>
      </c>
      <c r="E66">
        <v>40.809000000000047</v>
      </c>
      <c r="F66">
        <v>0.83240489686422892</v>
      </c>
      <c r="G66" t="s">
        <v>11</v>
      </c>
    </row>
    <row r="67" spans="1:7" x14ac:dyDescent="0.25">
      <c r="A67" t="s">
        <v>7939</v>
      </c>
      <c r="B67" t="s">
        <v>5017</v>
      </c>
      <c r="C67">
        <v>11</v>
      </c>
      <c r="D67">
        <v>104.161</v>
      </c>
      <c r="E67">
        <v>40.809000000000047</v>
      </c>
      <c r="F67">
        <v>0.94376790703150881</v>
      </c>
      <c r="G67" t="s">
        <v>11</v>
      </c>
    </row>
    <row r="68" spans="1:7" x14ac:dyDescent="0.25">
      <c r="A68" t="s">
        <v>9202</v>
      </c>
      <c r="B68" t="s">
        <v>5017</v>
      </c>
      <c r="C68">
        <v>11</v>
      </c>
      <c r="D68">
        <v>107.6879999999999</v>
      </c>
      <c r="E68">
        <v>40.809000000000047</v>
      </c>
      <c r="F68">
        <v>0.83165923500634498</v>
      </c>
      <c r="G68" t="s">
        <v>11</v>
      </c>
    </row>
    <row r="69" spans="1:7" x14ac:dyDescent="0.25">
      <c r="A69" t="s">
        <v>9205</v>
      </c>
      <c r="B69" t="s">
        <v>5017</v>
      </c>
      <c r="C69">
        <v>11</v>
      </c>
      <c r="D69">
        <v>107.6879999999999</v>
      </c>
      <c r="E69">
        <v>40.809000000000047</v>
      </c>
      <c r="F69">
        <v>0.83165923500634498</v>
      </c>
      <c r="G69" t="s">
        <v>11</v>
      </c>
    </row>
    <row r="70" spans="1:7" x14ac:dyDescent="0.25">
      <c r="A70" t="s">
        <v>7602</v>
      </c>
      <c r="B70" t="s">
        <v>5017</v>
      </c>
      <c r="C70">
        <v>11</v>
      </c>
      <c r="D70">
        <v>108.06100000000011</v>
      </c>
      <c r="E70">
        <v>40.809000000000047</v>
      </c>
      <c r="F70">
        <v>0.93291618850874691</v>
      </c>
      <c r="G70" t="s">
        <v>11</v>
      </c>
    </row>
    <row r="71" spans="1:7" x14ac:dyDescent="0.25">
      <c r="A71" t="s">
        <v>9199</v>
      </c>
      <c r="B71" t="s">
        <v>5017</v>
      </c>
      <c r="C71">
        <v>11</v>
      </c>
      <c r="D71">
        <v>108.30199999999989</v>
      </c>
      <c r="E71">
        <v>40.809000000000047</v>
      </c>
      <c r="F71">
        <v>0.83196248500269943</v>
      </c>
      <c r="G71" t="s">
        <v>11</v>
      </c>
    </row>
    <row r="72" spans="1:7" x14ac:dyDescent="0.25">
      <c r="A72" t="s">
        <v>9161</v>
      </c>
      <c r="B72" t="s">
        <v>5017</v>
      </c>
      <c r="C72">
        <v>11</v>
      </c>
      <c r="D72">
        <v>108.4499999999999</v>
      </c>
      <c r="E72">
        <v>40.809000000000047</v>
      </c>
      <c r="F72">
        <v>0.93251232718776911</v>
      </c>
      <c r="G72" t="s">
        <v>11</v>
      </c>
    </row>
    <row r="73" spans="1:7" x14ac:dyDescent="0.25">
      <c r="A73" t="s">
        <v>9164</v>
      </c>
      <c r="B73" t="s">
        <v>5017</v>
      </c>
      <c r="C73">
        <v>11</v>
      </c>
      <c r="D73">
        <v>108.4499999999999</v>
      </c>
      <c r="E73">
        <v>40.809000000000047</v>
      </c>
      <c r="F73">
        <v>0.93251232718776911</v>
      </c>
      <c r="G73" t="s">
        <v>11</v>
      </c>
    </row>
    <row r="74" spans="1:7" x14ac:dyDescent="0.25">
      <c r="A74" t="s">
        <v>9208</v>
      </c>
      <c r="B74" t="s">
        <v>5017</v>
      </c>
      <c r="C74">
        <v>11</v>
      </c>
      <c r="D74">
        <v>108.4879999999999</v>
      </c>
      <c r="E74">
        <v>40.809000000000047</v>
      </c>
      <c r="F74">
        <v>0.83147173359684046</v>
      </c>
      <c r="G74" t="s">
        <v>11</v>
      </c>
    </row>
    <row r="75" spans="1:7" x14ac:dyDescent="0.25">
      <c r="A75" t="s">
        <v>9217</v>
      </c>
      <c r="B75" t="s">
        <v>5017</v>
      </c>
      <c r="C75">
        <v>11</v>
      </c>
      <c r="D75">
        <v>108.4879999999999</v>
      </c>
      <c r="E75">
        <v>40.809000000000047</v>
      </c>
      <c r="F75">
        <v>0.83147173359684046</v>
      </c>
      <c r="G75" t="s">
        <v>11</v>
      </c>
    </row>
    <row r="76" spans="1:7" x14ac:dyDescent="0.25">
      <c r="A76" t="s">
        <v>9226</v>
      </c>
      <c r="B76" t="s">
        <v>5017</v>
      </c>
      <c r="C76">
        <v>11</v>
      </c>
      <c r="D76">
        <v>108.4879999999999</v>
      </c>
      <c r="E76">
        <v>40.809000000000047</v>
      </c>
      <c r="F76">
        <v>0.83147173359684046</v>
      </c>
      <c r="G76" t="s">
        <v>11</v>
      </c>
    </row>
    <row r="77" spans="1:7" x14ac:dyDescent="0.25">
      <c r="A77" t="s">
        <v>9235</v>
      </c>
      <c r="B77" t="s">
        <v>5017</v>
      </c>
      <c r="C77">
        <v>11</v>
      </c>
      <c r="D77">
        <v>108.4879999999999</v>
      </c>
      <c r="E77">
        <v>40.809000000000047</v>
      </c>
      <c r="F77">
        <v>0.87924170244707645</v>
      </c>
      <c r="G77" t="s">
        <v>11</v>
      </c>
    </row>
    <row r="78" spans="1:7" x14ac:dyDescent="0.25">
      <c r="A78" t="s">
        <v>7606</v>
      </c>
      <c r="B78" t="s">
        <v>5017</v>
      </c>
      <c r="C78">
        <v>11</v>
      </c>
      <c r="D78">
        <v>108.6139999999999</v>
      </c>
      <c r="E78">
        <v>40.809000000000047</v>
      </c>
      <c r="F78">
        <v>0.85665727402080538</v>
      </c>
      <c r="G78" t="s">
        <v>11</v>
      </c>
    </row>
    <row r="79" spans="1:7" x14ac:dyDescent="0.25">
      <c r="A79" t="s">
        <v>7610</v>
      </c>
      <c r="B79" t="s">
        <v>5017</v>
      </c>
      <c r="C79">
        <v>11</v>
      </c>
      <c r="D79">
        <v>108.6139999999999</v>
      </c>
      <c r="E79">
        <v>40.809000000000047</v>
      </c>
      <c r="F79">
        <v>0.93306817954083809</v>
      </c>
      <c r="G79" t="s">
        <v>11</v>
      </c>
    </row>
    <row r="80" spans="1:7" x14ac:dyDescent="0.25">
      <c r="A80" t="s">
        <v>9169</v>
      </c>
      <c r="B80" t="s">
        <v>5017</v>
      </c>
      <c r="C80">
        <v>11</v>
      </c>
      <c r="D80">
        <v>108.6139999999999</v>
      </c>
      <c r="E80">
        <v>40.809000000000047</v>
      </c>
      <c r="F80">
        <v>0.93306817954083809</v>
      </c>
      <c r="G80" t="s">
        <v>11</v>
      </c>
    </row>
    <row r="81" spans="1:7" x14ac:dyDescent="0.25">
      <c r="A81" t="s">
        <v>9172</v>
      </c>
      <c r="B81" t="s">
        <v>5017</v>
      </c>
      <c r="C81">
        <v>11</v>
      </c>
      <c r="D81">
        <v>108.6139999999999</v>
      </c>
      <c r="E81">
        <v>40.809000000000047</v>
      </c>
      <c r="F81">
        <v>0.93306817954083809</v>
      </c>
      <c r="G81" t="s">
        <v>11</v>
      </c>
    </row>
    <row r="82" spans="1:7" x14ac:dyDescent="0.25">
      <c r="A82" t="s">
        <v>9177</v>
      </c>
      <c r="B82" t="s">
        <v>5017</v>
      </c>
      <c r="C82">
        <v>11</v>
      </c>
      <c r="D82">
        <v>108.6139999999999</v>
      </c>
      <c r="E82">
        <v>40.809000000000047</v>
      </c>
      <c r="F82">
        <v>0.85665727402080538</v>
      </c>
      <c r="G82" t="s">
        <v>11</v>
      </c>
    </row>
    <row r="83" spans="1:7" x14ac:dyDescent="0.25">
      <c r="A83" t="s">
        <v>9180</v>
      </c>
      <c r="B83" t="s">
        <v>5017</v>
      </c>
      <c r="C83">
        <v>11</v>
      </c>
      <c r="D83">
        <v>108.6139999999999</v>
      </c>
      <c r="E83">
        <v>40.809000000000047</v>
      </c>
      <c r="F83">
        <v>0.85665727402080538</v>
      </c>
      <c r="G83" t="s">
        <v>11</v>
      </c>
    </row>
    <row r="84" spans="1:7" x14ac:dyDescent="0.25">
      <c r="A84" t="s">
        <v>9185</v>
      </c>
      <c r="B84" t="s">
        <v>5017</v>
      </c>
      <c r="C84">
        <v>11</v>
      </c>
      <c r="D84">
        <v>108.6139999999999</v>
      </c>
      <c r="E84">
        <v>40.809000000000047</v>
      </c>
      <c r="F84">
        <v>0.93306817954083809</v>
      </c>
      <c r="G84" t="s">
        <v>11</v>
      </c>
    </row>
    <row r="85" spans="1:7" x14ac:dyDescent="0.25">
      <c r="A85" t="s">
        <v>9188</v>
      </c>
      <c r="B85" t="s">
        <v>5017</v>
      </c>
      <c r="C85">
        <v>11</v>
      </c>
      <c r="D85">
        <v>108.6139999999999</v>
      </c>
      <c r="E85">
        <v>40.809000000000047</v>
      </c>
      <c r="F85">
        <v>0.93306817954083809</v>
      </c>
      <c r="G85" t="s">
        <v>11</v>
      </c>
    </row>
    <row r="86" spans="1:7" x14ac:dyDescent="0.25">
      <c r="A86" t="s">
        <v>9193</v>
      </c>
      <c r="B86" t="s">
        <v>5017</v>
      </c>
      <c r="C86">
        <v>11</v>
      </c>
      <c r="D86">
        <v>108.6139999999999</v>
      </c>
      <c r="E86">
        <v>40.809000000000047</v>
      </c>
      <c r="F86">
        <v>0.93306817954083809</v>
      </c>
      <c r="G86" t="s">
        <v>11</v>
      </c>
    </row>
    <row r="87" spans="1:7" x14ac:dyDescent="0.25">
      <c r="A87" t="s">
        <v>9196</v>
      </c>
      <c r="B87" t="s">
        <v>5017</v>
      </c>
      <c r="C87">
        <v>11</v>
      </c>
      <c r="D87">
        <v>108.6139999999999</v>
      </c>
      <c r="E87">
        <v>40.809000000000047</v>
      </c>
      <c r="F87">
        <v>0.93306817954083809</v>
      </c>
      <c r="G87" t="s">
        <v>11</v>
      </c>
    </row>
    <row r="88" spans="1:7" x14ac:dyDescent="0.25">
      <c r="A88" t="s">
        <v>129</v>
      </c>
      <c r="B88" t="s">
        <v>5017</v>
      </c>
      <c r="C88">
        <v>11</v>
      </c>
      <c r="D88">
        <v>108.9159999999999</v>
      </c>
      <c r="E88">
        <v>40.809000000000047</v>
      </c>
      <c r="F88">
        <v>0.93053891468753891</v>
      </c>
      <c r="G88" t="s">
        <v>11</v>
      </c>
    </row>
    <row r="89" spans="1:7" x14ac:dyDescent="0.25">
      <c r="A89" t="s">
        <v>128</v>
      </c>
      <c r="B89" t="s">
        <v>5017</v>
      </c>
      <c r="C89">
        <v>11</v>
      </c>
      <c r="D89">
        <v>109.0949999999999</v>
      </c>
      <c r="E89">
        <v>40.809000000000047</v>
      </c>
      <c r="F89">
        <v>0.93004015610527424</v>
      </c>
      <c r="G89" t="s">
        <v>11</v>
      </c>
    </row>
    <row r="90" spans="1:7" x14ac:dyDescent="0.25">
      <c r="A90" t="s">
        <v>125</v>
      </c>
      <c r="B90" t="s">
        <v>5017</v>
      </c>
      <c r="C90">
        <v>11</v>
      </c>
      <c r="D90">
        <v>109.0949999999999</v>
      </c>
      <c r="E90">
        <v>40.809000000000047</v>
      </c>
      <c r="F90">
        <v>0.93004015610527424</v>
      </c>
      <c r="G90" t="s">
        <v>11</v>
      </c>
    </row>
    <row r="91" spans="1:7" x14ac:dyDescent="0.25">
      <c r="A91" t="s">
        <v>126</v>
      </c>
      <c r="B91" t="s">
        <v>5017</v>
      </c>
      <c r="C91">
        <v>11</v>
      </c>
      <c r="D91">
        <v>109.0949999999999</v>
      </c>
      <c r="E91">
        <v>40.809000000000047</v>
      </c>
      <c r="F91">
        <v>0.93004015610527424</v>
      </c>
      <c r="G91" t="s">
        <v>11</v>
      </c>
    </row>
    <row r="92" spans="1:7" x14ac:dyDescent="0.25">
      <c r="A92" t="s">
        <v>127</v>
      </c>
      <c r="B92" t="s">
        <v>5017</v>
      </c>
      <c r="C92">
        <v>11</v>
      </c>
      <c r="D92">
        <v>109.0949999999999</v>
      </c>
      <c r="E92">
        <v>40.809000000000047</v>
      </c>
      <c r="F92">
        <v>0.93004015610527424</v>
      </c>
      <c r="G92" t="s">
        <v>11</v>
      </c>
    </row>
    <row r="93" spans="1:7" x14ac:dyDescent="0.25">
      <c r="A93" t="s">
        <v>7089</v>
      </c>
      <c r="B93" t="s">
        <v>5017</v>
      </c>
      <c r="C93">
        <v>11</v>
      </c>
      <c r="D93">
        <v>63.192999999999998</v>
      </c>
      <c r="E93">
        <v>40.348000000000027</v>
      </c>
      <c r="F93">
        <v>0.9963858472973075</v>
      </c>
      <c r="G93" t="s">
        <v>11</v>
      </c>
    </row>
    <row r="94" spans="1:7" x14ac:dyDescent="0.25">
      <c r="A94" t="s">
        <v>25</v>
      </c>
      <c r="B94" t="s">
        <v>5017</v>
      </c>
      <c r="C94">
        <v>8</v>
      </c>
      <c r="D94">
        <v>19.344000000000001</v>
      </c>
      <c r="E94">
        <v>39.789000000000001</v>
      </c>
      <c r="F94">
        <v>0.78305022213565167</v>
      </c>
      <c r="G94" t="s">
        <v>23</v>
      </c>
    </row>
    <row r="95" spans="1:7" x14ac:dyDescent="0.25">
      <c r="A95" t="s">
        <v>5151</v>
      </c>
      <c r="B95" t="s">
        <v>5017</v>
      </c>
      <c r="C95">
        <v>5</v>
      </c>
      <c r="D95">
        <v>62.306000000000012</v>
      </c>
      <c r="E95">
        <v>38.95999999999998</v>
      </c>
      <c r="F95">
        <v>0.78387859531894111</v>
      </c>
      <c r="G95" t="s">
        <v>17</v>
      </c>
    </row>
    <row r="96" spans="1:7" x14ac:dyDescent="0.25">
      <c r="A96" t="s">
        <v>12955</v>
      </c>
      <c r="B96" t="s">
        <v>5017</v>
      </c>
      <c r="C96">
        <v>5</v>
      </c>
      <c r="D96">
        <v>38.415999999999983</v>
      </c>
      <c r="E96">
        <v>37.920000000000009</v>
      </c>
      <c r="F96">
        <v>0.72825105400153156</v>
      </c>
      <c r="G96" t="s">
        <v>17</v>
      </c>
    </row>
    <row r="97" spans="1:7" x14ac:dyDescent="0.25">
      <c r="A97" t="s">
        <v>7744</v>
      </c>
      <c r="B97" t="s">
        <v>5017</v>
      </c>
      <c r="C97">
        <v>5</v>
      </c>
      <c r="D97">
        <v>54.431999999999952</v>
      </c>
      <c r="E97">
        <v>34.898000000000003</v>
      </c>
      <c r="F97">
        <v>0.82723180947135988</v>
      </c>
      <c r="G97" t="s">
        <v>17</v>
      </c>
    </row>
    <row r="98" spans="1:7" x14ac:dyDescent="0.25">
      <c r="A98" t="s">
        <v>7563</v>
      </c>
      <c r="B98" t="s">
        <v>5017</v>
      </c>
      <c r="C98">
        <v>11</v>
      </c>
      <c r="D98">
        <v>99.30100000000003</v>
      </c>
      <c r="E98">
        <v>33.346999999999987</v>
      </c>
      <c r="F98">
        <v>0.89787768186177053</v>
      </c>
      <c r="G98" t="s">
        <v>11</v>
      </c>
    </row>
    <row r="99" spans="1:7" x14ac:dyDescent="0.25">
      <c r="A99" t="s">
        <v>7649</v>
      </c>
      <c r="B99" t="s">
        <v>5017</v>
      </c>
      <c r="C99">
        <v>11</v>
      </c>
      <c r="D99">
        <v>99.30100000000003</v>
      </c>
      <c r="E99">
        <v>33.346999999999987</v>
      </c>
      <c r="F99">
        <v>0.89787768186177053</v>
      </c>
      <c r="G99" t="s">
        <v>11</v>
      </c>
    </row>
    <row r="100" spans="1:7" x14ac:dyDescent="0.25">
      <c r="A100" t="s">
        <v>13</v>
      </c>
      <c r="B100" t="s">
        <v>5017</v>
      </c>
      <c r="C100">
        <v>11</v>
      </c>
      <c r="D100">
        <v>99.30100000000003</v>
      </c>
      <c r="E100">
        <v>33.346999999999987</v>
      </c>
      <c r="F100">
        <v>1.0383803715931099</v>
      </c>
      <c r="G100" t="s">
        <v>11</v>
      </c>
    </row>
    <row r="101" spans="1:7" x14ac:dyDescent="0.25">
      <c r="A101" t="s">
        <v>7885</v>
      </c>
      <c r="B101" t="s">
        <v>5017</v>
      </c>
      <c r="C101">
        <v>11</v>
      </c>
      <c r="D101">
        <v>99.30100000000003</v>
      </c>
      <c r="E101">
        <v>33.346999999999987</v>
      </c>
      <c r="F101">
        <v>0.971891971451325</v>
      </c>
      <c r="G101" t="s">
        <v>11</v>
      </c>
    </row>
    <row r="102" spans="1:7" x14ac:dyDescent="0.25">
      <c r="A102" t="s">
        <v>8083</v>
      </c>
      <c r="B102" t="s">
        <v>5017</v>
      </c>
      <c r="C102">
        <v>5</v>
      </c>
      <c r="D102">
        <v>60.697999999999936</v>
      </c>
      <c r="E102">
        <v>32.625999999999998</v>
      </c>
      <c r="F102">
        <v>0.84764345968471633</v>
      </c>
      <c r="G102" t="s">
        <v>17</v>
      </c>
    </row>
    <row r="103" spans="1:7" x14ac:dyDescent="0.25">
      <c r="A103" t="s">
        <v>8087</v>
      </c>
      <c r="B103" t="s">
        <v>5017</v>
      </c>
      <c r="C103">
        <v>5</v>
      </c>
      <c r="D103">
        <v>60.697999999999936</v>
      </c>
      <c r="E103">
        <v>32.625999999999998</v>
      </c>
      <c r="F103">
        <v>0.84764345968471633</v>
      </c>
      <c r="G103" t="s">
        <v>17</v>
      </c>
    </row>
    <row r="104" spans="1:7" x14ac:dyDescent="0.25">
      <c r="A104" t="s">
        <v>9095</v>
      </c>
      <c r="B104" t="s">
        <v>5017</v>
      </c>
      <c r="C104">
        <v>11</v>
      </c>
      <c r="D104">
        <v>64.398999999999972</v>
      </c>
      <c r="E104">
        <v>30.599000000000022</v>
      </c>
      <c r="F104">
        <v>0.97414449192459784</v>
      </c>
      <c r="G104" t="s">
        <v>11</v>
      </c>
    </row>
    <row r="105" spans="1:7" x14ac:dyDescent="0.25">
      <c r="A105" t="s">
        <v>7559</v>
      </c>
      <c r="B105" t="s">
        <v>5017</v>
      </c>
      <c r="C105">
        <v>11</v>
      </c>
      <c r="D105">
        <v>99.543000000000021</v>
      </c>
      <c r="E105">
        <v>30.186999999999991</v>
      </c>
      <c r="F105">
        <v>0.87144085801331483</v>
      </c>
      <c r="G105" t="s">
        <v>11</v>
      </c>
    </row>
    <row r="106" spans="1:7" x14ac:dyDescent="0.25">
      <c r="A106" t="s">
        <v>7575</v>
      </c>
      <c r="B106" t="s">
        <v>5017</v>
      </c>
      <c r="C106">
        <v>11</v>
      </c>
      <c r="D106">
        <v>99.543000000000021</v>
      </c>
      <c r="E106">
        <v>30.186999999999991</v>
      </c>
      <c r="F106">
        <v>0.94547809253571213</v>
      </c>
      <c r="G106" t="s">
        <v>11</v>
      </c>
    </row>
    <row r="107" spans="1:7" x14ac:dyDescent="0.25">
      <c r="A107" t="s">
        <v>7652</v>
      </c>
      <c r="B107" t="s">
        <v>5017</v>
      </c>
      <c r="C107">
        <v>11</v>
      </c>
      <c r="D107">
        <v>99.543000000000021</v>
      </c>
      <c r="E107">
        <v>30.186999999999991</v>
      </c>
      <c r="F107">
        <v>0.99742704953493588</v>
      </c>
      <c r="G107" t="s">
        <v>11</v>
      </c>
    </row>
    <row r="108" spans="1:7" x14ac:dyDescent="0.25">
      <c r="A108" t="s">
        <v>7655</v>
      </c>
      <c r="B108" t="s">
        <v>5017</v>
      </c>
      <c r="C108">
        <v>11</v>
      </c>
      <c r="D108">
        <v>99.543000000000021</v>
      </c>
      <c r="E108">
        <v>30.186999999999991</v>
      </c>
      <c r="F108">
        <v>0.87144085801331483</v>
      </c>
      <c r="G108" t="s">
        <v>11</v>
      </c>
    </row>
    <row r="109" spans="1:7" x14ac:dyDescent="0.25">
      <c r="A109" t="s">
        <v>7660</v>
      </c>
      <c r="B109" t="s">
        <v>5017</v>
      </c>
      <c r="C109">
        <v>11</v>
      </c>
      <c r="D109">
        <v>99.543000000000021</v>
      </c>
      <c r="E109">
        <v>30.186999999999991</v>
      </c>
      <c r="F109">
        <v>0.87144085801331483</v>
      </c>
      <c r="G109" t="s">
        <v>11</v>
      </c>
    </row>
    <row r="110" spans="1:7" x14ac:dyDescent="0.25">
      <c r="A110" t="s">
        <v>7663</v>
      </c>
      <c r="B110" t="s">
        <v>5017</v>
      </c>
      <c r="C110">
        <v>11</v>
      </c>
      <c r="D110">
        <v>99.543000000000021</v>
      </c>
      <c r="E110">
        <v>30.186999999999991</v>
      </c>
      <c r="F110">
        <v>0.87144085801331483</v>
      </c>
      <c r="G110" t="s">
        <v>11</v>
      </c>
    </row>
    <row r="111" spans="1:7" x14ac:dyDescent="0.25">
      <c r="A111" t="s">
        <v>7666</v>
      </c>
      <c r="B111" t="s">
        <v>5017</v>
      </c>
      <c r="C111">
        <v>11</v>
      </c>
      <c r="D111">
        <v>99.543000000000021</v>
      </c>
      <c r="E111">
        <v>30.186999999999991</v>
      </c>
      <c r="F111">
        <v>0.8315944474847361</v>
      </c>
      <c r="G111" t="s">
        <v>11</v>
      </c>
    </row>
    <row r="112" spans="1:7" x14ac:dyDescent="0.25">
      <c r="A112" t="s">
        <v>7669</v>
      </c>
      <c r="B112" t="s">
        <v>5017</v>
      </c>
      <c r="C112">
        <v>11</v>
      </c>
      <c r="D112">
        <v>99.543000000000021</v>
      </c>
      <c r="E112">
        <v>30.186999999999991</v>
      </c>
      <c r="F112">
        <v>0.87144085801331483</v>
      </c>
      <c r="G112" t="s">
        <v>11</v>
      </c>
    </row>
    <row r="113" spans="1:7" x14ac:dyDescent="0.25">
      <c r="A113" t="s">
        <v>7672</v>
      </c>
      <c r="B113" t="s">
        <v>5017</v>
      </c>
      <c r="C113">
        <v>11</v>
      </c>
      <c r="D113">
        <v>99.543000000000021</v>
      </c>
      <c r="E113">
        <v>30.186999999999991</v>
      </c>
      <c r="F113">
        <v>0.94547809253571213</v>
      </c>
      <c r="G113" t="s">
        <v>11</v>
      </c>
    </row>
    <row r="114" spans="1:7" x14ac:dyDescent="0.25">
      <c r="A114" t="s">
        <v>7888</v>
      </c>
      <c r="B114" t="s">
        <v>5017</v>
      </c>
      <c r="C114">
        <v>11</v>
      </c>
      <c r="D114">
        <v>99.543000000000021</v>
      </c>
      <c r="E114">
        <v>30.186999999999991</v>
      </c>
      <c r="F114">
        <v>0.94327589448668714</v>
      </c>
      <c r="G114" t="s">
        <v>11</v>
      </c>
    </row>
    <row r="115" spans="1:7" x14ac:dyDescent="0.25">
      <c r="A115" t="s">
        <v>8665</v>
      </c>
      <c r="B115" t="s">
        <v>5017</v>
      </c>
      <c r="C115">
        <v>5</v>
      </c>
      <c r="D115">
        <v>68.876000000000005</v>
      </c>
      <c r="E115">
        <v>29.714000000000031</v>
      </c>
      <c r="F115">
        <v>0.86758749395366641</v>
      </c>
      <c r="G115" t="s">
        <v>17</v>
      </c>
    </row>
    <row r="116" spans="1:7" x14ac:dyDescent="0.25">
      <c r="A116" t="s">
        <v>8675</v>
      </c>
      <c r="B116" t="s">
        <v>5017</v>
      </c>
      <c r="C116">
        <v>5</v>
      </c>
      <c r="D116">
        <v>68.876000000000005</v>
      </c>
      <c r="E116">
        <v>29.714000000000031</v>
      </c>
      <c r="F116">
        <v>0.86758749395366641</v>
      </c>
      <c r="G116" t="s">
        <v>17</v>
      </c>
    </row>
    <row r="117" spans="1:7" x14ac:dyDescent="0.25">
      <c r="A117" t="s">
        <v>12719</v>
      </c>
      <c r="B117" t="s">
        <v>5017</v>
      </c>
      <c r="C117">
        <v>11</v>
      </c>
      <c r="D117">
        <v>36.700999999999993</v>
      </c>
      <c r="E117">
        <v>29.17799999999998</v>
      </c>
      <c r="F117">
        <v>0.74171957166147573</v>
      </c>
      <c r="G117" t="s">
        <v>11</v>
      </c>
    </row>
    <row r="118" spans="1:7" x14ac:dyDescent="0.25">
      <c r="A118" t="s">
        <v>14383</v>
      </c>
      <c r="B118" t="s">
        <v>5017</v>
      </c>
      <c r="C118">
        <v>11</v>
      </c>
      <c r="D118">
        <v>57.470999999999897</v>
      </c>
      <c r="E118">
        <v>28.893000000000001</v>
      </c>
      <c r="F118">
        <v>0.83322049386091546</v>
      </c>
      <c r="G118" t="s">
        <v>11</v>
      </c>
    </row>
    <row r="119" spans="1:7" x14ac:dyDescent="0.25">
      <c r="A119" t="s">
        <v>15550</v>
      </c>
      <c r="B119" t="s">
        <v>5017</v>
      </c>
      <c r="C119">
        <v>5</v>
      </c>
      <c r="D119">
        <v>28.486000000000011</v>
      </c>
      <c r="E119">
        <v>27.73200000000001</v>
      </c>
      <c r="F119">
        <v>0.84726700203563277</v>
      </c>
      <c r="G119" t="s">
        <v>17</v>
      </c>
    </row>
    <row r="120" spans="1:7" x14ac:dyDescent="0.25">
      <c r="A120" t="s">
        <v>15416</v>
      </c>
      <c r="B120" t="s">
        <v>5017</v>
      </c>
      <c r="C120">
        <v>5</v>
      </c>
      <c r="D120">
        <v>52.234000000000009</v>
      </c>
      <c r="E120">
        <v>26.661000000000001</v>
      </c>
      <c r="F120">
        <v>0.78470986057304537</v>
      </c>
      <c r="G120" t="s">
        <v>17</v>
      </c>
    </row>
    <row r="121" spans="1:7" x14ac:dyDescent="0.25">
      <c r="A121" t="s">
        <v>15538</v>
      </c>
      <c r="B121" t="s">
        <v>5017</v>
      </c>
      <c r="C121">
        <v>5</v>
      </c>
      <c r="D121">
        <v>38.011000000000003</v>
      </c>
      <c r="E121">
        <v>26.491000000000021</v>
      </c>
      <c r="F121">
        <v>0.86377028516479371</v>
      </c>
      <c r="G121" t="s">
        <v>17</v>
      </c>
    </row>
    <row r="122" spans="1:7" x14ac:dyDescent="0.25">
      <c r="A122" t="s">
        <v>10252</v>
      </c>
      <c r="B122" t="s">
        <v>5017</v>
      </c>
      <c r="C122">
        <v>5</v>
      </c>
      <c r="D122">
        <v>40.510000000000012</v>
      </c>
      <c r="E122">
        <v>25.85100000000002</v>
      </c>
      <c r="F122">
        <v>0.8301152723285069</v>
      </c>
      <c r="G122" t="s">
        <v>17</v>
      </c>
    </row>
    <row r="123" spans="1:7" x14ac:dyDescent="0.25">
      <c r="A123" t="s">
        <v>30</v>
      </c>
      <c r="B123" t="s">
        <v>5017</v>
      </c>
      <c r="C123">
        <v>9</v>
      </c>
      <c r="D123">
        <v>19.708999999999989</v>
      </c>
      <c r="E123">
        <v>25.24799999999999</v>
      </c>
      <c r="F123">
        <v>0.90396973781283085</v>
      </c>
      <c r="G123" t="s">
        <v>29</v>
      </c>
    </row>
    <row r="124" spans="1:7" x14ac:dyDescent="0.25">
      <c r="A124" t="s">
        <v>9091</v>
      </c>
      <c r="B124" t="s">
        <v>5017</v>
      </c>
      <c r="C124">
        <v>11</v>
      </c>
      <c r="D124">
        <v>67.074999999999974</v>
      </c>
      <c r="E124">
        <v>25.096000000000011</v>
      </c>
      <c r="F124">
        <v>0.83890600928277614</v>
      </c>
      <c r="G124" t="s">
        <v>11</v>
      </c>
    </row>
    <row r="125" spans="1:7" x14ac:dyDescent="0.25">
      <c r="A125" t="s">
        <v>31</v>
      </c>
      <c r="B125" t="s">
        <v>5017</v>
      </c>
      <c r="C125">
        <v>9</v>
      </c>
      <c r="D125">
        <v>19.76700000000001</v>
      </c>
      <c r="E125">
        <v>24.484999999999999</v>
      </c>
      <c r="F125">
        <v>0.86550843616247264</v>
      </c>
      <c r="G125" t="s">
        <v>29</v>
      </c>
    </row>
    <row r="126" spans="1:7" x14ac:dyDescent="0.25">
      <c r="A126" t="s">
        <v>16003</v>
      </c>
      <c r="B126" t="s">
        <v>5017</v>
      </c>
      <c r="C126">
        <v>5</v>
      </c>
      <c r="D126">
        <v>17.73</v>
      </c>
      <c r="E126">
        <v>24.24000000000002</v>
      </c>
      <c r="F126">
        <v>0.8279163151615484</v>
      </c>
      <c r="G126" t="s">
        <v>17</v>
      </c>
    </row>
    <row r="127" spans="1:7" x14ac:dyDescent="0.25">
      <c r="A127" t="s">
        <v>12940</v>
      </c>
      <c r="B127" t="s">
        <v>5017</v>
      </c>
      <c r="C127">
        <v>5</v>
      </c>
      <c r="D127">
        <v>40.289000000000001</v>
      </c>
      <c r="E127">
        <v>22.98599999999999</v>
      </c>
      <c r="F127">
        <v>0.67996390317954214</v>
      </c>
      <c r="G127" t="s">
        <v>17</v>
      </c>
    </row>
    <row r="128" spans="1:7" x14ac:dyDescent="0.25">
      <c r="A128" t="s">
        <v>11180</v>
      </c>
      <c r="B128" t="s">
        <v>5017</v>
      </c>
      <c r="C128">
        <v>5</v>
      </c>
      <c r="D128">
        <v>61.163000000000011</v>
      </c>
      <c r="E128">
        <v>21.760000000000009</v>
      </c>
      <c r="F128">
        <v>0.89781580348263579</v>
      </c>
      <c r="G128" t="s">
        <v>17</v>
      </c>
    </row>
    <row r="129" spans="1:7" x14ac:dyDescent="0.25">
      <c r="A129" t="s">
        <v>90</v>
      </c>
      <c r="B129" t="s">
        <v>5017</v>
      </c>
      <c r="C129">
        <v>9</v>
      </c>
      <c r="D129">
        <v>23.96299999999999</v>
      </c>
      <c r="E129">
        <v>21.473999999999979</v>
      </c>
      <c r="F129">
        <v>0.85186827538802568</v>
      </c>
      <c r="G129" t="s">
        <v>29</v>
      </c>
    </row>
    <row r="130" spans="1:7" x14ac:dyDescent="0.25">
      <c r="A130" t="s">
        <v>5964</v>
      </c>
      <c r="B130" t="s">
        <v>5017</v>
      </c>
      <c r="C130">
        <v>5</v>
      </c>
      <c r="D130">
        <v>73.676000000000016</v>
      </c>
      <c r="E130">
        <v>21.027999999999999</v>
      </c>
      <c r="F130">
        <v>0.89524598687118451</v>
      </c>
      <c r="G130" t="s">
        <v>17</v>
      </c>
    </row>
    <row r="131" spans="1:7" x14ac:dyDescent="0.25">
      <c r="A131" t="s">
        <v>5961</v>
      </c>
      <c r="B131" t="s">
        <v>5017</v>
      </c>
      <c r="C131">
        <v>5</v>
      </c>
      <c r="D131">
        <v>72.822000000000031</v>
      </c>
      <c r="E131">
        <v>20.323</v>
      </c>
      <c r="F131">
        <v>0.87346240659701413</v>
      </c>
      <c r="G131" t="s">
        <v>17</v>
      </c>
    </row>
    <row r="132" spans="1:7" x14ac:dyDescent="0.25">
      <c r="A132" t="s">
        <v>15239</v>
      </c>
      <c r="B132" t="s">
        <v>5017</v>
      </c>
      <c r="C132">
        <v>5</v>
      </c>
      <c r="D132">
        <v>70.416999999999987</v>
      </c>
      <c r="E132">
        <v>20.07</v>
      </c>
      <c r="F132">
        <v>0.82066061144413349</v>
      </c>
      <c r="G132" t="s">
        <v>17</v>
      </c>
    </row>
    <row r="133" spans="1:7" x14ac:dyDescent="0.25">
      <c r="A133" t="s">
        <v>13299</v>
      </c>
      <c r="B133" t="s">
        <v>5017</v>
      </c>
      <c r="C133">
        <v>5</v>
      </c>
      <c r="D133">
        <v>24.725999999999988</v>
      </c>
      <c r="E133">
        <v>19.680000000000021</v>
      </c>
      <c r="F133">
        <v>0.94360690201164832</v>
      </c>
      <c r="G133" t="s">
        <v>17</v>
      </c>
    </row>
    <row r="134" spans="1:7" x14ac:dyDescent="0.25">
      <c r="A134" t="s">
        <v>91</v>
      </c>
      <c r="B134" t="s">
        <v>5017</v>
      </c>
      <c r="C134">
        <v>9</v>
      </c>
      <c r="D134">
        <v>28.994</v>
      </c>
      <c r="E134">
        <v>19.469999999999992</v>
      </c>
      <c r="F134">
        <v>0.85194058125700756</v>
      </c>
      <c r="G134" t="s">
        <v>29</v>
      </c>
    </row>
    <row r="135" spans="1:7" x14ac:dyDescent="0.25">
      <c r="A135" t="s">
        <v>15541</v>
      </c>
      <c r="B135" t="s">
        <v>5017</v>
      </c>
      <c r="C135">
        <v>5</v>
      </c>
      <c r="D135">
        <v>33.765000000000001</v>
      </c>
      <c r="E135">
        <v>18.559999999999999</v>
      </c>
      <c r="F135">
        <v>0.85917028183851762</v>
      </c>
      <c r="G135" t="s">
        <v>17</v>
      </c>
    </row>
    <row r="136" spans="1:7" x14ac:dyDescent="0.25">
      <c r="A136" t="s">
        <v>8163</v>
      </c>
      <c r="B136" t="s">
        <v>5017</v>
      </c>
      <c r="C136">
        <v>5</v>
      </c>
      <c r="D136">
        <v>35.41299999999999</v>
      </c>
      <c r="E136">
        <v>18.280000000000019</v>
      </c>
      <c r="F136">
        <v>0.79582343296215352</v>
      </c>
      <c r="G136" t="s">
        <v>17</v>
      </c>
    </row>
    <row r="137" spans="1:7" x14ac:dyDescent="0.25">
      <c r="A137" t="s">
        <v>92</v>
      </c>
      <c r="B137" t="s">
        <v>5017</v>
      </c>
      <c r="C137">
        <v>9</v>
      </c>
      <c r="D137">
        <v>15.606</v>
      </c>
      <c r="E137">
        <v>18.152000000000001</v>
      </c>
      <c r="F137">
        <v>0.8356107379622516</v>
      </c>
      <c r="G137" t="s">
        <v>29</v>
      </c>
    </row>
    <row r="138" spans="1:7" x14ac:dyDescent="0.25">
      <c r="A138" t="s">
        <v>11833</v>
      </c>
      <c r="B138" t="s">
        <v>5017</v>
      </c>
      <c r="C138">
        <v>5</v>
      </c>
      <c r="D138">
        <v>43.148000000000032</v>
      </c>
      <c r="E138">
        <v>18.105</v>
      </c>
      <c r="F138">
        <v>0.84966156338712839</v>
      </c>
      <c r="G138" t="s">
        <v>17</v>
      </c>
    </row>
    <row r="139" spans="1:7" x14ac:dyDescent="0.25">
      <c r="A139" t="s">
        <v>6838</v>
      </c>
      <c r="B139" t="s">
        <v>5017</v>
      </c>
      <c r="C139">
        <v>11</v>
      </c>
      <c r="D139">
        <v>89.974000000000018</v>
      </c>
      <c r="E139">
        <v>17.792999999999989</v>
      </c>
      <c r="F139">
        <v>0.84491565425937887</v>
      </c>
      <c r="G139" t="s">
        <v>11</v>
      </c>
    </row>
    <row r="140" spans="1:7" x14ac:dyDescent="0.25">
      <c r="A140" t="s">
        <v>10039</v>
      </c>
      <c r="B140" t="s">
        <v>5017</v>
      </c>
      <c r="C140">
        <v>5</v>
      </c>
      <c r="D140">
        <v>11.116</v>
      </c>
      <c r="E140">
        <v>17.559999999999999</v>
      </c>
      <c r="F140">
        <v>0.89055639351575488</v>
      </c>
      <c r="G140" t="s">
        <v>17</v>
      </c>
    </row>
    <row r="141" spans="1:7" x14ac:dyDescent="0.25">
      <c r="A141" t="s">
        <v>10433</v>
      </c>
      <c r="B141" t="s">
        <v>5017</v>
      </c>
      <c r="C141">
        <v>11</v>
      </c>
      <c r="D141">
        <v>53.636999999999993</v>
      </c>
      <c r="E141">
        <v>17.512999999999991</v>
      </c>
      <c r="F141">
        <v>0.80356971040545122</v>
      </c>
      <c r="G141" t="s">
        <v>11</v>
      </c>
    </row>
    <row r="142" spans="1:7" x14ac:dyDescent="0.25">
      <c r="A142" t="s">
        <v>93</v>
      </c>
      <c r="B142" t="s">
        <v>5017</v>
      </c>
      <c r="C142">
        <v>2</v>
      </c>
      <c r="D142">
        <v>37.171999999999997</v>
      </c>
      <c r="E142">
        <v>17.32</v>
      </c>
      <c r="F142">
        <v>0.63957544506817621</v>
      </c>
      <c r="G142" t="s">
        <v>35</v>
      </c>
    </row>
    <row r="143" spans="1:7" x14ac:dyDescent="0.25">
      <c r="A143" t="s">
        <v>12922</v>
      </c>
      <c r="B143" t="s">
        <v>5017</v>
      </c>
      <c r="C143">
        <v>5</v>
      </c>
      <c r="D143">
        <v>35.895999999999979</v>
      </c>
      <c r="E143">
        <v>16.28</v>
      </c>
      <c r="F143">
        <v>0.7632210024528624</v>
      </c>
      <c r="G143" t="s">
        <v>17</v>
      </c>
    </row>
    <row r="144" spans="1:7" x14ac:dyDescent="0.25">
      <c r="A144" t="s">
        <v>94</v>
      </c>
      <c r="B144" t="s">
        <v>5017</v>
      </c>
      <c r="C144">
        <v>2</v>
      </c>
      <c r="D144">
        <v>34.89</v>
      </c>
      <c r="E144">
        <v>11.183999999999999</v>
      </c>
      <c r="F144">
        <v>0.68447920682451668</v>
      </c>
      <c r="G144" t="s">
        <v>35</v>
      </c>
    </row>
    <row r="145" spans="1:7" x14ac:dyDescent="0.25">
      <c r="A145" t="s">
        <v>11177</v>
      </c>
      <c r="B145" t="s">
        <v>5017</v>
      </c>
      <c r="C145">
        <v>5</v>
      </c>
      <c r="D145">
        <v>53.027000000000093</v>
      </c>
      <c r="E145">
        <v>10.914999999999999</v>
      </c>
      <c r="F145">
        <v>0.88930315612710864</v>
      </c>
      <c r="G145" t="s">
        <v>17</v>
      </c>
    </row>
    <row r="146" spans="1:7" x14ac:dyDescent="0.25">
      <c r="A146" t="s">
        <v>11956</v>
      </c>
      <c r="B146" t="s">
        <v>5017</v>
      </c>
      <c r="C146">
        <v>5</v>
      </c>
      <c r="D146">
        <v>110.82600000000011</v>
      </c>
      <c r="E146">
        <v>8.8000000000000025</v>
      </c>
      <c r="F146">
        <v>0.8047703393615091</v>
      </c>
      <c r="G146" t="s">
        <v>17</v>
      </c>
    </row>
    <row r="147" spans="1:7" x14ac:dyDescent="0.25">
      <c r="A147" t="s">
        <v>95</v>
      </c>
      <c r="B147" t="s">
        <v>5017</v>
      </c>
      <c r="C147">
        <v>2</v>
      </c>
      <c r="D147">
        <v>32.094999999999999</v>
      </c>
      <c r="E147">
        <v>8.7920000000000016</v>
      </c>
      <c r="F147">
        <v>0.69957803200311708</v>
      </c>
      <c r="G147" t="s">
        <v>35</v>
      </c>
    </row>
    <row r="148" spans="1:7" x14ac:dyDescent="0.25">
      <c r="A148" t="s">
        <v>96</v>
      </c>
      <c r="B148" t="s">
        <v>5017</v>
      </c>
      <c r="C148">
        <v>2</v>
      </c>
      <c r="D148">
        <v>22.605</v>
      </c>
      <c r="E148">
        <v>8.5129999999999999</v>
      </c>
      <c r="F148">
        <v>0.56309920158137683</v>
      </c>
      <c r="G148" t="s">
        <v>35</v>
      </c>
    </row>
    <row r="149" spans="1:7" x14ac:dyDescent="0.25">
      <c r="A149" t="s">
        <v>5665</v>
      </c>
      <c r="B149" t="s">
        <v>5017</v>
      </c>
      <c r="C149">
        <v>11</v>
      </c>
      <c r="D149">
        <v>57.666000000000047</v>
      </c>
      <c r="E149">
        <v>8.4669999999999987</v>
      </c>
      <c r="F149">
        <v>0.73859853758285243</v>
      </c>
      <c r="G149" t="s">
        <v>11</v>
      </c>
    </row>
    <row r="150" spans="1:7" x14ac:dyDescent="0.25">
      <c r="A150" t="s">
        <v>15553</v>
      </c>
      <c r="B150" t="s">
        <v>5017</v>
      </c>
      <c r="C150">
        <v>5</v>
      </c>
      <c r="D150">
        <v>40.890000000000022</v>
      </c>
      <c r="E150">
        <v>8.0510000000000019</v>
      </c>
      <c r="F150">
        <v>0.8062619734581814</v>
      </c>
      <c r="G150" t="s">
        <v>17</v>
      </c>
    </row>
    <row r="151" spans="1:7" x14ac:dyDescent="0.25">
      <c r="A151" t="s">
        <v>97</v>
      </c>
      <c r="B151" t="s">
        <v>5017</v>
      </c>
      <c r="C151">
        <v>2</v>
      </c>
      <c r="D151">
        <v>24.268999999999998</v>
      </c>
      <c r="E151">
        <v>7.8819999999999988</v>
      </c>
      <c r="F151">
        <v>0.62813121935358984</v>
      </c>
      <c r="G151" t="s">
        <v>35</v>
      </c>
    </row>
    <row r="152" spans="1:7" x14ac:dyDescent="0.25">
      <c r="A152" t="s">
        <v>98</v>
      </c>
      <c r="B152" t="s">
        <v>5017</v>
      </c>
      <c r="C152">
        <v>7</v>
      </c>
      <c r="D152">
        <v>12.609</v>
      </c>
      <c r="E152">
        <v>7.6239999999999979</v>
      </c>
      <c r="F152">
        <v>0.70419494017674611</v>
      </c>
      <c r="G152" t="s">
        <v>41</v>
      </c>
    </row>
    <row r="153" spans="1:7" x14ac:dyDescent="0.25">
      <c r="A153" t="s">
        <v>8192</v>
      </c>
      <c r="B153" t="s">
        <v>5017</v>
      </c>
      <c r="C153">
        <v>5</v>
      </c>
      <c r="D153">
        <v>60.348000000000027</v>
      </c>
      <c r="E153">
        <v>7.3590000000000009</v>
      </c>
      <c r="F153">
        <v>0.9036672937685184</v>
      </c>
      <c r="G153" t="s">
        <v>17</v>
      </c>
    </row>
    <row r="154" spans="1:7" x14ac:dyDescent="0.25">
      <c r="A154" t="s">
        <v>7062</v>
      </c>
      <c r="B154" t="s">
        <v>5017</v>
      </c>
      <c r="C154">
        <v>5</v>
      </c>
      <c r="D154">
        <v>60.348000000000027</v>
      </c>
      <c r="E154">
        <v>7.3590000000000009</v>
      </c>
      <c r="F154">
        <v>0.9036672937685184</v>
      </c>
      <c r="G154" t="s">
        <v>17</v>
      </c>
    </row>
    <row r="155" spans="1:7" x14ac:dyDescent="0.25">
      <c r="A155" t="s">
        <v>9747</v>
      </c>
      <c r="B155" t="s">
        <v>5017</v>
      </c>
      <c r="C155">
        <v>5</v>
      </c>
      <c r="D155">
        <v>80.099000000000075</v>
      </c>
      <c r="E155">
        <v>7.157</v>
      </c>
      <c r="F155">
        <v>0.76179588116381081</v>
      </c>
      <c r="G155" t="s">
        <v>17</v>
      </c>
    </row>
    <row r="156" spans="1:7" x14ac:dyDescent="0.25">
      <c r="A156" t="s">
        <v>9754</v>
      </c>
      <c r="B156" t="s">
        <v>5017</v>
      </c>
      <c r="C156">
        <v>5</v>
      </c>
      <c r="D156">
        <v>80.099000000000075</v>
      </c>
      <c r="E156">
        <v>7.157</v>
      </c>
      <c r="F156">
        <v>0.76179588116381081</v>
      </c>
      <c r="G156" t="s">
        <v>17</v>
      </c>
    </row>
    <row r="157" spans="1:7" x14ac:dyDescent="0.25">
      <c r="A157" t="s">
        <v>9751</v>
      </c>
      <c r="B157" t="s">
        <v>5017</v>
      </c>
      <c r="C157">
        <v>5</v>
      </c>
      <c r="D157">
        <v>99.796999999999997</v>
      </c>
      <c r="E157">
        <v>7.157</v>
      </c>
      <c r="F157">
        <v>0.7834519134685437</v>
      </c>
      <c r="G157" t="s">
        <v>17</v>
      </c>
    </row>
    <row r="158" spans="1:7" x14ac:dyDescent="0.25">
      <c r="A158" t="s">
        <v>9757</v>
      </c>
      <c r="B158" t="s">
        <v>5017</v>
      </c>
      <c r="C158">
        <v>5</v>
      </c>
      <c r="D158">
        <v>106.89200000000019</v>
      </c>
      <c r="E158">
        <v>7.157</v>
      </c>
      <c r="F158">
        <v>0.85081280043488883</v>
      </c>
      <c r="G158" t="s">
        <v>17</v>
      </c>
    </row>
    <row r="159" spans="1:7" x14ac:dyDescent="0.25">
      <c r="A159" t="s">
        <v>99</v>
      </c>
      <c r="B159" t="s">
        <v>5017</v>
      </c>
      <c r="C159">
        <v>7</v>
      </c>
      <c r="D159">
        <v>27.344000000000001</v>
      </c>
      <c r="E159">
        <v>6.851</v>
      </c>
      <c r="F159">
        <v>0.67262586931366697</v>
      </c>
      <c r="G159" t="s">
        <v>41</v>
      </c>
    </row>
    <row r="160" spans="1:7" x14ac:dyDescent="0.25">
      <c r="A160" t="s">
        <v>11263</v>
      </c>
      <c r="B160" t="s">
        <v>5017</v>
      </c>
      <c r="C160">
        <v>5</v>
      </c>
      <c r="D160">
        <v>16.51100000000001</v>
      </c>
      <c r="E160">
        <v>6.5920000000000014</v>
      </c>
      <c r="F160">
        <v>0.76061177017654058</v>
      </c>
      <c r="G160" t="s">
        <v>17</v>
      </c>
    </row>
    <row r="161" spans="1:7" x14ac:dyDescent="0.25">
      <c r="A161" t="s">
        <v>5940</v>
      </c>
      <c r="B161" t="s">
        <v>5017</v>
      </c>
      <c r="C161">
        <v>2</v>
      </c>
      <c r="D161">
        <v>15.505000000000001</v>
      </c>
      <c r="E161">
        <v>6.1070000000000002</v>
      </c>
      <c r="F161">
        <v>0.61945287743239341</v>
      </c>
      <c r="G161" t="s">
        <v>35</v>
      </c>
    </row>
    <row r="162" spans="1:7" x14ac:dyDescent="0.25">
      <c r="A162" t="s">
        <v>11186</v>
      </c>
      <c r="B162" t="s">
        <v>5017</v>
      </c>
      <c r="C162">
        <v>5</v>
      </c>
      <c r="D162">
        <v>50.846999999999987</v>
      </c>
      <c r="E162">
        <v>5.6660000000000004</v>
      </c>
      <c r="F162">
        <v>0.86855877060847519</v>
      </c>
      <c r="G162" t="s">
        <v>17</v>
      </c>
    </row>
    <row r="163" spans="1:7" x14ac:dyDescent="0.25">
      <c r="A163" t="s">
        <v>42</v>
      </c>
      <c r="B163" t="s">
        <v>5017</v>
      </c>
      <c r="C163">
        <v>7</v>
      </c>
      <c r="D163">
        <v>34.512999999999998</v>
      </c>
      <c r="E163">
        <v>5.5759999999999987</v>
      </c>
      <c r="F163">
        <v>0.82447679374696181</v>
      </c>
      <c r="G163" t="s">
        <v>41</v>
      </c>
    </row>
    <row r="164" spans="1:7" x14ac:dyDescent="0.25">
      <c r="A164" t="s">
        <v>15419</v>
      </c>
      <c r="B164" t="s">
        <v>5017</v>
      </c>
      <c r="C164">
        <v>5</v>
      </c>
      <c r="D164">
        <v>32.430999999999969</v>
      </c>
      <c r="E164">
        <v>5.4430000000000014</v>
      </c>
      <c r="F164">
        <v>0.7440357765879676</v>
      </c>
      <c r="G164" t="s">
        <v>17</v>
      </c>
    </row>
    <row r="165" spans="1:7" x14ac:dyDescent="0.25">
      <c r="A165" t="s">
        <v>100</v>
      </c>
      <c r="B165" t="s">
        <v>5017</v>
      </c>
      <c r="C165">
        <v>7</v>
      </c>
      <c r="D165">
        <v>25.658000000000001</v>
      </c>
      <c r="E165">
        <v>5.3109999999999999</v>
      </c>
      <c r="F165">
        <v>0.7033548917209963</v>
      </c>
      <c r="G165" t="s">
        <v>41</v>
      </c>
    </row>
    <row r="166" spans="1:7" x14ac:dyDescent="0.25">
      <c r="A166" t="s">
        <v>11974</v>
      </c>
      <c r="B166" t="s">
        <v>5017</v>
      </c>
      <c r="C166">
        <v>2</v>
      </c>
      <c r="D166">
        <v>16.456</v>
      </c>
      <c r="E166">
        <v>4.8659999999999997</v>
      </c>
      <c r="F166">
        <v>0.547032402327982</v>
      </c>
      <c r="G166" t="s">
        <v>35</v>
      </c>
    </row>
    <row r="167" spans="1:7" x14ac:dyDescent="0.25">
      <c r="A167" t="s">
        <v>101</v>
      </c>
      <c r="B167" t="s">
        <v>5017</v>
      </c>
      <c r="C167">
        <v>7</v>
      </c>
      <c r="D167">
        <v>21.79</v>
      </c>
      <c r="E167">
        <v>4.6580000000000004</v>
      </c>
      <c r="F167">
        <v>0.66276776549399663</v>
      </c>
      <c r="G167" t="s">
        <v>41</v>
      </c>
    </row>
    <row r="168" spans="1:7" x14ac:dyDescent="0.25">
      <c r="A168" t="s">
        <v>87</v>
      </c>
      <c r="B168" t="s">
        <v>5017</v>
      </c>
      <c r="C168">
        <v>8</v>
      </c>
      <c r="D168">
        <v>18.562999999999999</v>
      </c>
      <c r="E168">
        <v>4.5990000000000002</v>
      </c>
      <c r="F168">
        <v>0.67651972806743921</v>
      </c>
      <c r="G168" t="s">
        <v>23</v>
      </c>
    </row>
    <row r="169" spans="1:7" x14ac:dyDescent="0.25">
      <c r="A169" t="s">
        <v>88</v>
      </c>
      <c r="B169" t="s">
        <v>5017</v>
      </c>
      <c r="C169">
        <v>8</v>
      </c>
      <c r="D169">
        <v>15.788</v>
      </c>
      <c r="E169">
        <v>4.4349999999999996</v>
      </c>
      <c r="F169">
        <v>0.73338938074820614</v>
      </c>
      <c r="G169" t="s">
        <v>23</v>
      </c>
    </row>
    <row r="170" spans="1:7" x14ac:dyDescent="0.25">
      <c r="A170" t="s">
        <v>13595</v>
      </c>
      <c r="B170" t="s">
        <v>5017</v>
      </c>
      <c r="C170">
        <v>2</v>
      </c>
      <c r="D170">
        <v>34.091999999999999</v>
      </c>
      <c r="E170">
        <v>4.4319999999999986</v>
      </c>
      <c r="F170">
        <v>0.62957447538276745</v>
      </c>
      <c r="G170" t="s">
        <v>35</v>
      </c>
    </row>
    <row r="171" spans="1:7" x14ac:dyDescent="0.25">
      <c r="A171" t="s">
        <v>89</v>
      </c>
      <c r="B171" t="s">
        <v>5017</v>
      </c>
      <c r="C171">
        <v>8</v>
      </c>
      <c r="D171">
        <v>16.678000000000001</v>
      </c>
      <c r="E171">
        <v>4.3819999999999997</v>
      </c>
      <c r="F171">
        <v>0.72227777453568187</v>
      </c>
      <c r="G171" t="s">
        <v>23</v>
      </c>
    </row>
    <row r="172" spans="1:7" x14ac:dyDescent="0.25">
      <c r="A172" t="s">
        <v>13601</v>
      </c>
      <c r="B172" t="s">
        <v>5017</v>
      </c>
      <c r="C172">
        <v>2</v>
      </c>
      <c r="D172">
        <v>25.343</v>
      </c>
      <c r="E172">
        <v>4.2789999999999999</v>
      </c>
      <c r="F172">
        <v>0.67413435976259528</v>
      </c>
      <c r="G172" t="s">
        <v>35</v>
      </c>
    </row>
    <row r="173" spans="1:7" x14ac:dyDescent="0.25">
      <c r="A173" t="s">
        <v>13682</v>
      </c>
      <c r="B173" t="s">
        <v>5017</v>
      </c>
      <c r="C173">
        <v>7</v>
      </c>
      <c r="D173">
        <v>11.068</v>
      </c>
      <c r="E173">
        <v>4.1829999999999998</v>
      </c>
      <c r="F173">
        <v>0.70078890268313665</v>
      </c>
      <c r="G173" t="s">
        <v>41</v>
      </c>
    </row>
    <row r="174" spans="1:7" x14ac:dyDescent="0.25">
      <c r="A174" t="s">
        <v>50</v>
      </c>
      <c r="B174" t="s">
        <v>5017</v>
      </c>
      <c r="C174">
        <v>1</v>
      </c>
      <c r="D174">
        <v>19.111000000000001</v>
      </c>
      <c r="E174">
        <v>4.1260000000000003</v>
      </c>
      <c r="F174">
        <v>1.3763837713861911</v>
      </c>
      <c r="G174" t="s">
        <v>47</v>
      </c>
    </row>
    <row r="175" spans="1:7" x14ac:dyDescent="0.25">
      <c r="A175" t="s">
        <v>106</v>
      </c>
      <c r="B175" t="s">
        <v>5017</v>
      </c>
      <c r="C175">
        <v>6</v>
      </c>
      <c r="D175">
        <v>20.82</v>
      </c>
      <c r="E175">
        <v>4.0960000000000001</v>
      </c>
      <c r="F175">
        <v>0.60041917359136232</v>
      </c>
      <c r="G175" t="s">
        <v>53</v>
      </c>
    </row>
    <row r="176" spans="1:7" x14ac:dyDescent="0.25">
      <c r="A176" t="s">
        <v>102</v>
      </c>
      <c r="B176" t="s">
        <v>5017</v>
      </c>
      <c r="C176">
        <v>1</v>
      </c>
      <c r="D176">
        <v>23.045000000000002</v>
      </c>
      <c r="E176">
        <v>4.0859999999999994</v>
      </c>
      <c r="F176">
        <v>0.73940278070997423</v>
      </c>
      <c r="G176" t="s">
        <v>47</v>
      </c>
    </row>
    <row r="177" spans="1:7" x14ac:dyDescent="0.25">
      <c r="A177" t="s">
        <v>26</v>
      </c>
      <c r="B177" t="s">
        <v>5017</v>
      </c>
      <c r="C177">
        <v>8</v>
      </c>
      <c r="D177">
        <v>19.417999999999989</v>
      </c>
      <c r="E177">
        <v>4.0469999999999997</v>
      </c>
      <c r="F177">
        <v>0.77912057183343864</v>
      </c>
      <c r="G177" t="s">
        <v>23</v>
      </c>
    </row>
    <row r="178" spans="1:7" x14ac:dyDescent="0.25">
      <c r="A178" t="s">
        <v>11242</v>
      </c>
      <c r="B178" t="s">
        <v>5017</v>
      </c>
      <c r="C178">
        <v>7</v>
      </c>
      <c r="D178">
        <v>23.092000000000009</v>
      </c>
      <c r="E178">
        <v>3.9889999999999999</v>
      </c>
      <c r="F178">
        <v>0.70065258931976893</v>
      </c>
      <c r="G178" t="s">
        <v>41</v>
      </c>
    </row>
    <row r="179" spans="1:7" x14ac:dyDescent="0.25">
      <c r="A179" t="s">
        <v>11926</v>
      </c>
      <c r="B179" t="s">
        <v>5017</v>
      </c>
      <c r="C179">
        <v>2</v>
      </c>
      <c r="D179">
        <v>6.5270000000000001</v>
      </c>
      <c r="E179">
        <v>3.9670000000000001</v>
      </c>
      <c r="F179">
        <v>0.68013777430834443</v>
      </c>
      <c r="G179" t="s">
        <v>35</v>
      </c>
    </row>
    <row r="180" spans="1:7" x14ac:dyDescent="0.25">
      <c r="A180" t="s">
        <v>11345</v>
      </c>
      <c r="B180" t="s">
        <v>5017</v>
      </c>
      <c r="C180">
        <v>2</v>
      </c>
      <c r="D180">
        <v>16.135999999999999</v>
      </c>
      <c r="E180">
        <v>3.9139999999999988</v>
      </c>
      <c r="F180">
        <v>0.66829489079950333</v>
      </c>
      <c r="G180" t="s">
        <v>35</v>
      </c>
    </row>
    <row r="181" spans="1:7" x14ac:dyDescent="0.25">
      <c r="A181" t="s">
        <v>28</v>
      </c>
      <c r="B181" t="s">
        <v>5017</v>
      </c>
      <c r="C181">
        <v>9</v>
      </c>
      <c r="D181">
        <v>25.03400000000001</v>
      </c>
      <c r="E181">
        <v>3.870000000000001</v>
      </c>
      <c r="F181">
        <v>0.94596168804308189</v>
      </c>
      <c r="G181" t="s">
        <v>29</v>
      </c>
    </row>
    <row r="182" spans="1:7" x14ac:dyDescent="0.25">
      <c r="A182" t="s">
        <v>11860</v>
      </c>
      <c r="B182" t="s">
        <v>5017</v>
      </c>
      <c r="C182">
        <v>11</v>
      </c>
      <c r="D182">
        <v>17.771000000000001</v>
      </c>
      <c r="E182">
        <v>3.726</v>
      </c>
      <c r="F182">
        <v>0.73961550821435973</v>
      </c>
      <c r="G182" t="s">
        <v>11</v>
      </c>
    </row>
    <row r="183" spans="1:7" x14ac:dyDescent="0.25">
      <c r="A183" t="s">
        <v>138</v>
      </c>
      <c r="B183" t="s">
        <v>5017</v>
      </c>
      <c r="C183">
        <v>8</v>
      </c>
      <c r="D183">
        <v>30.146000000000001</v>
      </c>
      <c r="E183">
        <v>3.694</v>
      </c>
      <c r="F183">
        <v>0.62438178853742787</v>
      </c>
      <c r="G183" t="s">
        <v>23</v>
      </c>
    </row>
    <row r="184" spans="1:7" x14ac:dyDescent="0.25">
      <c r="A184" t="s">
        <v>7365</v>
      </c>
      <c r="B184" t="s">
        <v>5017</v>
      </c>
      <c r="C184">
        <v>8</v>
      </c>
      <c r="D184">
        <v>20.747</v>
      </c>
      <c r="E184">
        <v>3.5990000000000002</v>
      </c>
      <c r="F184">
        <v>0.67986952018110225</v>
      </c>
      <c r="G184" t="s">
        <v>23</v>
      </c>
    </row>
    <row r="185" spans="1:7" x14ac:dyDescent="0.25">
      <c r="A185" t="s">
        <v>8116</v>
      </c>
      <c r="B185" t="s">
        <v>5017</v>
      </c>
      <c r="C185">
        <v>8</v>
      </c>
      <c r="D185">
        <v>20.747</v>
      </c>
      <c r="E185">
        <v>3.5990000000000002</v>
      </c>
      <c r="F185">
        <v>0.68886931709308696</v>
      </c>
      <c r="G185" t="s">
        <v>23</v>
      </c>
    </row>
    <row r="186" spans="1:7" x14ac:dyDescent="0.25">
      <c r="A186" t="s">
        <v>107</v>
      </c>
      <c r="B186" t="s">
        <v>5017</v>
      </c>
      <c r="C186">
        <v>6</v>
      </c>
      <c r="D186">
        <v>15.635</v>
      </c>
      <c r="E186">
        <v>3.5569999999999999</v>
      </c>
      <c r="F186">
        <v>0.60857207406478875</v>
      </c>
      <c r="G186" t="s">
        <v>53</v>
      </c>
    </row>
    <row r="187" spans="1:7" x14ac:dyDescent="0.25">
      <c r="A187" t="s">
        <v>5872</v>
      </c>
      <c r="B187" t="s">
        <v>5017</v>
      </c>
      <c r="C187">
        <v>8</v>
      </c>
      <c r="D187">
        <v>11.942</v>
      </c>
      <c r="E187">
        <v>3.5310000000000001</v>
      </c>
      <c r="F187">
        <v>0.65180952955082605</v>
      </c>
      <c r="G187" t="s">
        <v>23</v>
      </c>
    </row>
    <row r="188" spans="1:7" x14ac:dyDescent="0.25">
      <c r="A188" t="s">
        <v>7382</v>
      </c>
      <c r="B188" t="s">
        <v>5017</v>
      </c>
      <c r="C188">
        <v>8</v>
      </c>
      <c r="D188">
        <v>18.138000000000002</v>
      </c>
      <c r="E188">
        <v>3.2160000000000002</v>
      </c>
      <c r="F188">
        <v>0.51742329369942586</v>
      </c>
      <c r="G188" t="s">
        <v>23</v>
      </c>
    </row>
    <row r="189" spans="1:7" x14ac:dyDescent="0.25">
      <c r="A189" t="s">
        <v>7375</v>
      </c>
      <c r="B189" t="s">
        <v>5017</v>
      </c>
      <c r="C189">
        <v>8</v>
      </c>
      <c r="D189">
        <v>22.09099999999999</v>
      </c>
      <c r="E189">
        <v>3.2160000000000002</v>
      </c>
      <c r="F189">
        <v>0.63059891378843047</v>
      </c>
      <c r="G189" t="s">
        <v>23</v>
      </c>
    </row>
    <row r="190" spans="1:7" x14ac:dyDescent="0.25">
      <c r="A190" t="s">
        <v>7369</v>
      </c>
      <c r="B190" t="s">
        <v>5017</v>
      </c>
      <c r="C190">
        <v>8</v>
      </c>
      <c r="D190">
        <v>22.26</v>
      </c>
      <c r="E190">
        <v>3.2160000000000002</v>
      </c>
      <c r="F190">
        <v>0.6027465153105519</v>
      </c>
      <c r="G190" t="s">
        <v>23</v>
      </c>
    </row>
    <row r="191" spans="1:7" x14ac:dyDescent="0.25">
      <c r="A191" t="s">
        <v>8119</v>
      </c>
      <c r="B191" t="s">
        <v>5017</v>
      </c>
      <c r="C191">
        <v>8</v>
      </c>
      <c r="D191">
        <v>22.26</v>
      </c>
      <c r="E191">
        <v>3.2160000000000002</v>
      </c>
      <c r="F191">
        <v>0.6027465153105519</v>
      </c>
      <c r="G191" t="s">
        <v>23</v>
      </c>
    </row>
    <row r="192" spans="1:7" x14ac:dyDescent="0.25">
      <c r="A192" t="s">
        <v>109</v>
      </c>
      <c r="B192" t="s">
        <v>5017</v>
      </c>
      <c r="C192">
        <v>4</v>
      </c>
      <c r="D192">
        <v>9.99</v>
      </c>
      <c r="E192">
        <v>3.1739999999999999</v>
      </c>
      <c r="F192">
        <v>0.82829346686003269</v>
      </c>
      <c r="G192" t="s">
        <v>59</v>
      </c>
    </row>
    <row r="193" spans="1:7" x14ac:dyDescent="0.25">
      <c r="A193" t="s">
        <v>7379</v>
      </c>
      <c r="B193" t="s">
        <v>5017</v>
      </c>
      <c r="C193">
        <v>8</v>
      </c>
      <c r="D193">
        <v>21.669999999999991</v>
      </c>
      <c r="E193">
        <v>3.1240000000000001</v>
      </c>
      <c r="F193">
        <v>0.64163159348503529</v>
      </c>
      <c r="G193" t="s">
        <v>23</v>
      </c>
    </row>
    <row r="194" spans="1:7" x14ac:dyDescent="0.25">
      <c r="A194" t="s">
        <v>7393</v>
      </c>
      <c r="B194" t="s">
        <v>5017</v>
      </c>
      <c r="C194">
        <v>8</v>
      </c>
      <c r="D194">
        <v>21.684999999999999</v>
      </c>
      <c r="E194">
        <v>3.1240000000000001</v>
      </c>
      <c r="F194">
        <v>0.74008237808002431</v>
      </c>
      <c r="G194" t="s">
        <v>23</v>
      </c>
    </row>
    <row r="195" spans="1:7" x14ac:dyDescent="0.25">
      <c r="A195" t="s">
        <v>7386</v>
      </c>
      <c r="B195" t="s">
        <v>5017</v>
      </c>
      <c r="C195">
        <v>8</v>
      </c>
      <c r="D195">
        <v>14.364000000000001</v>
      </c>
      <c r="E195">
        <v>3.052</v>
      </c>
      <c r="F195">
        <v>0.57754225462555631</v>
      </c>
      <c r="G195" t="s">
        <v>23</v>
      </c>
    </row>
    <row r="196" spans="1:7" x14ac:dyDescent="0.25">
      <c r="A196" t="s">
        <v>7399</v>
      </c>
      <c r="B196" t="s">
        <v>5017</v>
      </c>
      <c r="C196">
        <v>8</v>
      </c>
      <c r="D196">
        <v>14.614000000000001</v>
      </c>
      <c r="E196">
        <v>3.052</v>
      </c>
      <c r="F196">
        <v>0.61478864679901379</v>
      </c>
      <c r="G196" t="s">
        <v>23</v>
      </c>
    </row>
    <row r="197" spans="1:7" x14ac:dyDescent="0.25">
      <c r="A197" t="s">
        <v>7372</v>
      </c>
      <c r="B197" t="s">
        <v>5017</v>
      </c>
      <c r="C197">
        <v>8</v>
      </c>
      <c r="D197">
        <v>20.88</v>
      </c>
      <c r="E197">
        <v>3.052</v>
      </c>
      <c r="F197">
        <v>0.64858170980030549</v>
      </c>
      <c r="G197" t="s">
        <v>23</v>
      </c>
    </row>
    <row r="198" spans="1:7" x14ac:dyDescent="0.25">
      <c r="A198" t="s">
        <v>7396</v>
      </c>
      <c r="B198" t="s">
        <v>5017</v>
      </c>
      <c r="C198">
        <v>8</v>
      </c>
      <c r="D198">
        <v>20.459</v>
      </c>
      <c r="E198">
        <v>3.016</v>
      </c>
      <c r="F198">
        <v>0.70242990905760871</v>
      </c>
      <c r="G198" t="s">
        <v>23</v>
      </c>
    </row>
    <row r="199" spans="1:7" x14ac:dyDescent="0.25">
      <c r="A199" t="s">
        <v>13604</v>
      </c>
      <c r="B199" t="s">
        <v>5017</v>
      </c>
      <c r="C199">
        <v>2</v>
      </c>
      <c r="D199">
        <v>18.617999999999999</v>
      </c>
      <c r="E199">
        <v>2.992</v>
      </c>
      <c r="F199">
        <v>0.66348607768465984</v>
      </c>
      <c r="G199" t="s">
        <v>35</v>
      </c>
    </row>
    <row r="200" spans="1:7" x14ac:dyDescent="0.25">
      <c r="A200" t="s">
        <v>112</v>
      </c>
      <c r="B200" t="s">
        <v>5017</v>
      </c>
      <c r="C200">
        <v>3</v>
      </c>
      <c r="D200">
        <v>16.024999999999999</v>
      </c>
      <c r="E200">
        <v>2.9569999999999999</v>
      </c>
      <c r="F200">
        <v>0.53921383374122056</v>
      </c>
      <c r="G200" t="s">
        <v>65</v>
      </c>
    </row>
    <row r="201" spans="1:7" x14ac:dyDescent="0.25">
      <c r="A201" t="s">
        <v>103</v>
      </c>
      <c r="B201" t="s">
        <v>5017</v>
      </c>
      <c r="C201">
        <v>1</v>
      </c>
      <c r="D201">
        <v>11.72</v>
      </c>
      <c r="E201">
        <v>2.9489999999999998</v>
      </c>
      <c r="F201">
        <v>0.73236360053131022</v>
      </c>
      <c r="G201" t="s">
        <v>47</v>
      </c>
    </row>
    <row r="202" spans="1:7" x14ac:dyDescent="0.25">
      <c r="A202" t="s">
        <v>5112</v>
      </c>
      <c r="B202" t="s">
        <v>5017</v>
      </c>
      <c r="C202">
        <v>7</v>
      </c>
      <c r="D202">
        <v>16.05</v>
      </c>
      <c r="E202">
        <v>2.9350000000000001</v>
      </c>
      <c r="F202">
        <v>0.71553116482128531</v>
      </c>
      <c r="G202" t="s">
        <v>41</v>
      </c>
    </row>
    <row r="203" spans="1:7" x14ac:dyDescent="0.25">
      <c r="A203" t="s">
        <v>10756</v>
      </c>
      <c r="B203" t="s">
        <v>5017</v>
      </c>
      <c r="C203">
        <v>7</v>
      </c>
      <c r="D203">
        <v>25.454999999999998</v>
      </c>
      <c r="E203">
        <v>2.9159999999999999</v>
      </c>
      <c r="F203">
        <v>0.72337234851496446</v>
      </c>
      <c r="G203" t="s">
        <v>41</v>
      </c>
    </row>
    <row r="204" spans="1:7" x14ac:dyDescent="0.25">
      <c r="A204" t="s">
        <v>11166</v>
      </c>
      <c r="B204" t="s">
        <v>5017</v>
      </c>
      <c r="C204">
        <v>5</v>
      </c>
      <c r="D204">
        <v>39.045999999999992</v>
      </c>
      <c r="E204">
        <v>2.7970000000000002</v>
      </c>
      <c r="F204">
        <v>0.80534913475495706</v>
      </c>
      <c r="G204" t="s">
        <v>17</v>
      </c>
    </row>
    <row r="205" spans="1:7" x14ac:dyDescent="0.25">
      <c r="A205" t="s">
        <v>6758</v>
      </c>
      <c r="B205" t="s">
        <v>5017</v>
      </c>
      <c r="C205">
        <v>5</v>
      </c>
      <c r="D205">
        <v>44.284000000000013</v>
      </c>
      <c r="E205">
        <v>2.754</v>
      </c>
      <c r="F205">
        <v>0.82390552798806516</v>
      </c>
      <c r="G205" t="s">
        <v>17</v>
      </c>
    </row>
    <row r="206" spans="1:7" x14ac:dyDescent="0.25">
      <c r="A206" t="s">
        <v>11236</v>
      </c>
      <c r="B206" t="s">
        <v>5017</v>
      </c>
      <c r="C206">
        <v>5</v>
      </c>
      <c r="D206">
        <v>53.810000000000073</v>
      </c>
      <c r="E206">
        <v>2.7429999999999999</v>
      </c>
      <c r="F206">
        <v>0.69911620650663808</v>
      </c>
      <c r="G206" t="s">
        <v>17</v>
      </c>
    </row>
    <row r="207" spans="1:7" x14ac:dyDescent="0.25">
      <c r="A207" t="s">
        <v>5348</v>
      </c>
      <c r="B207" t="s">
        <v>5017</v>
      </c>
      <c r="C207">
        <v>7</v>
      </c>
      <c r="D207">
        <v>18.009</v>
      </c>
      <c r="E207">
        <v>2.702</v>
      </c>
      <c r="F207">
        <v>0.60194495120270974</v>
      </c>
      <c r="G207" t="s">
        <v>41</v>
      </c>
    </row>
    <row r="208" spans="1:7" x14ac:dyDescent="0.25">
      <c r="A208" t="s">
        <v>11183</v>
      </c>
      <c r="B208" t="s">
        <v>5017</v>
      </c>
      <c r="C208">
        <v>5</v>
      </c>
      <c r="D208">
        <v>56.732000000000077</v>
      </c>
      <c r="E208">
        <v>2.6880000000000002</v>
      </c>
      <c r="F208">
        <v>0.87472233050864501</v>
      </c>
      <c r="G208" t="s">
        <v>17</v>
      </c>
    </row>
    <row r="209" spans="1:7" x14ac:dyDescent="0.25">
      <c r="A209" t="s">
        <v>11160</v>
      </c>
      <c r="B209" t="s">
        <v>5017</v>
      </c>
      <c r="C209">
        <v>5</v>
      </c>
      <c r="D209">
        <v>50.922000000000033</v>
      </c>
      <c r="E209">
        <v>2.6560000000000001</v>
      </c>
      <c r="F209">
        <v>0.87688659043057993</v>
      </c>
      <c r="G209" t="s">
        <v>17</v>
      </c>
    </row>
    <row r="210" spans="1:7" x14ac:dyDescent="0.25">
      <c r="A210" t="s">
        <v>38</v>
      </c>
      <c r="B210" t="s">
        <v>5017</v>
      </c>
      <c r="C210">
        <v>2</v>
      </c>
      <c r="D210">
        <v>17.491</v>
      </c>
      <c r="E210">
        <v>2.6230000000000002</v>
      </c>
      <c r="F210">
        <v>0.70814587418032182</v>
      </c>
      <c r="G210" t="s">
        <v>35</v>
      </c>
    </row>
    <row r="211" spans="1:7" x14ac:dyDescent="0.25">
      <c r="A211" t="s">
        <v>13592</v>
      </c>
      <c r="B211" t="s">
        <v>5017</v>
      </c>
      <c r="C211">
        <v>2</v>
      </c>
      <c r="D211">
        <v>34.305999999999997</v>
      </c>
      <c r="E211">
        <v>2.5990000000000002</v>
      </c>
      <c r="F211">
        <v>0.65374332320706752</v>
      </c>
      <c r="G211" t="s">
        <v>35</v>
      </c>
    </row>
    <row r="212" spans="1:7" x14ac:dyDescent="0.25">
      <c r="A212" t="s">
        <v>113</v>
      </c>
      <c r="B212" t="s">
        <v>5017</v>
      </c>
      <c r="C212">
        <v>3</v>
      </c>
      <c r="D212">
        <v>15.967000000000001</v>
      </c>
      <c r="E212">
        <v>2.5649999999999999</v>
      </c>
      <c r="F212">
        <v>0.52689171491897258</v>
      </c>
      <c r="G212" t="s">
        <v>65</v>
      </c>
    </row>
    <row r="213" spans="1:7" x14ac:dyDescent="0.25">
      <c r="A213" t="s">
        <v>114</v>
      </c>
      <c r="B213" t="s">
        <v>5017</v>
      </c>
      <c r="C213">
        <v>3</v>
      </c>
      <c r="D213">
        <v>15.46</v>
      </c>
      <c r="E213">
        <v>2.54</v>
      </c>
      <c r="F213">
        <v>0.46449807997513309</v>
      </c>
      <c r="G213" t="s">
        <v>65</v>
      </c>
    </row>
    <row r="214" spans="1:7" x14ac:dyDescent="0.25">
      <c r="A214" t="s">
        <v>36</v>
      </c>
      <c r="B214" t="s">
        <v>5017</v>
      </c>
      <c r="C214">
        <v>2</v>
      </c>
      <c r="D214">
        <v>33.85799999999999</v>
      </c>
      <c r="E214">
        <v>2.511000000000001</v>
      </c>
      <c r="F214">
        <v>0.73510788840895225</v>
      </c>
      <c r="G214" t="s">
        <v>35</v>
      </c>
    </row>
    <row r="215" spans="1:7" x14ac:dyDescent="0.25">
      <c r="A215" t="s">
        <v>15037</v>
      </c>
      <c r="B215" t="s">
        <v>5017</v>
      </c>
      <c r="C215">
        <v>2</v>
      </c>
      <c r="D215">
        <v>12.079000000000001</v>
      </c>
      <c r="E215">
        <v>2.5070000000000001</v>
      </c>
      <c r="F215">
        <v>0.57117374207553773</v>
      </c>
      <c r="G215" t="s">
        <v>35</v>
      </c>
    </row>
    <row r="216" spans="1:7" x14ac:dyDescent="0.25">
      <c r="A216" t="s">
        <v>11757</v>
      </c>
      <c r="B216" t="s">
        <v>5017</v>
      </c>
      <c r="C216">
        <v>2</v>
      </c>
      <c r="D216">
        <v>22.181999999999999</v>
      </c>
      <c r="E216">
        <v>2.4470000000000001</v>
      </c>
      <c r="F216">
        <v>0.66858158823567237</v>
      </c>
      <c r="G216" t="s">
        <v>35</v>
      </c>
    </row>
    <row r="217" spans="1:7" x14ac:dyDescent="0.25">
      <c r="A217" t="s">
        <v>69</v>
      </c>
      <c r="B217" t="s">
        <v>5017</v>
      </c>
      <c r="C217">
        <v>3</v>
      </c>
      <c r="D217">
        <v>15.698</v>
      </c>
      <c r="E217">
        <v>2.4140000000000001</v>
      </c>
      <c r="F217">
        <v>0.57058331257138784</v>
      </c>
      <c r="G217" t="s">
        <v>65</v>
      </c>
    </row>
    <row r="218" spans="1:7" x14ac:dyDescent="0.25">
      <c r="A218" t="s">
        <v>6111</v>
      </c>
      <c r="B218" t="s">
        <v>5017</v>
      </c>
      <c r="C218">
        <v>9</v>
      </c>
      <c r="D218">
        <v>13.462</v>
      </c>
      <c r="E218">
        <v>2.3780000000000001</v>
      </c>
      <c r="F218">
        <v>0.79896736260815837</v>
      </c>
      <c r="G218" t="s">
        <v>29</v>
      </c>
    </row>
    <row r="219" spans="1:7" x14ac:dyDescent="0.25">
      <c r="A219" t="s">
        <v>57</v>
      </c>
      <c r="B219" t="s">
        <v>5017</v>
      </c>
      <c r="C219">
        <v>6</v>
      </c>
      <c r="D219">
        <v>19.652000000000001</v>
      </c>
      <c r="E219">
        <v>2.339</v>
      </c>
      <c r="F219">
        <v>0.66774889774678181</v>
      </c>
      <c r="G219" t="s">
        <v>53</v>
      </c>
    </row>
    <row r="220" spans="1:7" x14ac:dyDescent="0.25">
      <c r="A220" t="s">
        <v>6522</v>
      </c>
      <c r="B220" t="s">
        <v>5017</v>
      </c>
      <c r="C220">
        <v>2</v>
      </c>
      <c r="D220">
        <v>23.81600000000001</v>
      </c>
      <c r="E220">
        <v>2.3319999999999999</v>
      </c>
      <c r="F220">
        <v>0.5456035042601447</v>
      </c>
      <c r="G220" t="s">
        <v>35</v>
      </c>
    </row>
    <row r="221" spans="1:7" x14ac:dyDescent="0.25">
      <c r="A221" t="s">
        <v>115</v>
      </c>
      <c r="B221" t="s">
        <v>5017</v>
      </c>
      <c r="C221">
        <v>3</v>
      </c>
      <c r="D221">
        <v>14.654999999999999</v>
      </c>
      <c r="E221">
        <v>2.3010000000000002</v>
      </c>
      <c r="F221">
        <v>0.51820913583111572</v>
      </c>
      <c r="G221" t="s">
        <v>65</v>
      </c>
    </row>
    <row r="222" spans="1:7" x14ac:dyDescent="0.25">
      <c r="A222" t="s">
        <v>108</v>
      </c>
      <c r="B222" t="s">
        <v>5017</v>
      </c>
      <c r="C222">
        <v>6</v>
      </c>
      <c r="D222">
        <v>7.0469999999999988</v>
      </c>
      <c r="E222">
        <v>2.2759999999999998</v>
      </c>
      <c r="F222">
        <v>0.60217534616425628</v>
      </c>
      <c r="G222" t="s">
        <v>53</v>
      </c>
    </row>
    <row r="223" spans="1:7" x14ac:dyDescent="0.25">
      <c r="A223" t="s">
        <v>68</v>
      </c>
      <c r="B223" t="s">
        <v>5017</v>
      </c>
      <c r="C223">
        <v>3</v>
      </c>
      <c r="D223">
        <v>17.416</v>
      </c>
      <c r="E223">
        <v>2.2650000000000001</v>
      </c>
      <c r="F223">
        <v>0.57143786172617261</v>
      </c>
      <c r="G223" t="s">
        <v>65</v>
      </c>
    </row>
    <row r="224" spans="1:7" x14ac:dyDescent="0.25">
      <c r="A224" t="s">
        <v>61</v>
      </c>
      <c r="B224" t="s">
        <v>5017</v>
      </c>
      <c r="C224">
        <v>4</v>
      </c>
      <c r="D224">
        <v>22.561</v>
      </c>
      <c r="E224">
        <v>2.258</v>
      </c>
      <c r="F224">
        <v>0.97474883067091311</v>
      </c>
      <c r="G224" t="s">
        <v>59</v>
      </c>
    </row>
    <row r="225" spans="1:7" x14ac:dyDescent="0.25">
      <c r="A225" t="s">
        <v>5656</v>
      </c>
      <c r="B225" t="s">
        <v>5017</v>
      </c>
      <c r="C225">
        <v>7</v>
      </c>
      <c r="D225">
        <v>12.696999999999999</v>
      </c>
      <c r="E225">
        <v>2.2400000000000002</v>
      </c>
      <c r="F225">
        <v>0.69179366906360529</v>
      </c>
      <c r="G225" t="s">
        <v>41</v>
      </c>
    </row>
    <row r="226" spans="1:7" x14ac:dyDescent="0.25">
      <c r="A226" t="s">
        <v>5686</v>
      </c>
      <c r="B226" t="s">
        <v>5017</v>
      </c>
      <c r="C226">
        <v>11</v>
      </c>
      <c r="D226">
        <v>43.39399999999992</v>
      </c>
      <c r="E226">
        <v>2.2040000000000002</v>
      </c>
      <c r="F226">
        <v>0.8349666966114998</v>
      </c>
      <c r="G226" t="s">
        <v>11</v>
      </c>
    </row>
    <row r="227" spans="1:7" x14ac:dyDescent="0.25">
      <c r="A227" t="s">
        <v>110</v>
      </c>
      <c r="B227" t="s">
        <v>5017</v>
      </c>
      <c r="C227">
        <v>4</v>
      </c>
      <c r="D227">
        <v>18.641999999999999</v>
      </c>
      <c r="E227">
        <v>2.1989999999999998</v>
      </c>
      <c r="F227">
        <v>0.9232365136126639</v>
      </c>
      <c r="G227" t="s">
        <v>59</v>
      </c>
    </row>
    <row r="228" spans="1:7" x14ac:dyDescent="0.25">
      <c r="A228" t="s">
        <v>6129</v>
      </c>
      <c r="B228" t="s">
        <v>5017</v>
      </c>
      <c r="C228">
        <v>9</v>
      </c>
      <c r="D228">
        <v>4.4749999999999996</v>
      </c>
      <c r="E228">
        <v>2.1850000000000001</v>
      </c>
      <c r="F228">
        <v>0.76880682155417124</v>
      </c>
      <c r="G228" t="s">
        <v>29</v>
      </c>
    </row>
    <row r="229" spans="1:7" x14ac:dyDescent="0.25">
      <c r="A229" t="s">
        <v>12169</v>
      </c>
      <c r="B229" t="s">
        <v>5017</v>
      </c>
      <c r="C229">
        <v>7</v>
      </c>
      <c r="D229">
        <v>8.4490000000000016</v>
      </c>
      <c r="E229">
        <v>2.117</v>
      </c>
      <c r="F229">
        <v>0.60895237337339925</v>
      </c>
      <c r="G229" t="s">
        <v>41</v>
      </c>
    </row>
    <row r="230" spans="1:7" x14ac:dyDescent="0.25">
      <c r="A230" t="s">
        <v>66</v>
      </c>
      <c r="B230" t="s">
        <v>5017</v>
      </c>
      <c r="C230">
        <v>3</v>
      </c>
      <c r="D230">
        <v>15.292999999999999</v>
      </c>
      <c r="E230">
        <v>2.1019999999999999</v>
      </c>
      <c r="F230">
        <v>0.63661044130040878</v>
      </c>
      <c r="G230" t="s">
        <v>65</v>
      </c>
    </row>
    <row r="231" spans="1:7" x14ac:dyDescent="0.25">
      <c r="A231" t="s">
        <v>11125</v>
      </c>
      <c r="B231" t="s">
        <v>5017</v>
      </c>
      <c r="C231">
        <v>7</v>
      </c>
      <c r="D231">
        <v>17.753</v>
      </c>
      <c r="E231">
        <v>2.0979999999999999</v>
      </c>
      <c r="F231">
        <v>0.60390372373659107</v>
      </c>
      <c r="G231" t="s">
        <v>41</v>
      </c>
    </row>
    <row r="232" spans="1:7" x14ac:dyDescent="0.25">
      <c r="A232" t="s">
        <v>62</v>
      </c>
      <c r="B232" t="s">
        <v>5017</v>
      </c>
      <c r="C232">
        <v>4</v>
      </c>
      <c r="D232">
        <v>18.128</v>
      </c>
      <c r="E232">
        <v>1.978</v>
      </c>
      <c r="F232">
        <v>0.9602640257558287</v>
      </c>
      <c r="G232" t="s">
        <v>59</v>
      </c>
    </row>
    <row r="233" spans="1:7" x14ac:dyDescent="0.25">
      <c r="A233" t="s">
        <v>45</v>
      </c>
      <c r="B233" t="s">
        <v>5017</v>
      </c>
      <c r="C233">
        <v>7</v>
      </c>
      <c r="D233">
        <v>22.425000000000001</v>
      </c>
      <c r="E233">
        <v>1.9690000000000001</v>
      </c>
      <c r="F233">
        <v>0.73538322505446152</v>
      </c>
      <c r="G233" t="s">
        <v>41</v>
      </c>
    </row>
    <row r="234" spans="1:7" x14ac:dyDescent="0.25">
      <c r="A234" t="s">
        <v>6476</v>
      </c>
      <c r="B234" t="s">
        <v>5017</v>
      </c>
      <c r="C234">
        <v>3</v>
      </c>
      <c r="D234">
        <v>7.0059999999999993</v>
      </c>
      <c r="E234">
        <v>1.8859999999999999</v>
      </c>
      <c r="F234">
        <v>0.52680885941659084</v>
      </c>
      <c r="G234" t="s">
        <v>65</v>
      </c>
    </row>
    <row r="235" spans="1:7" x14ac:dyDescent="0.25">
      <c r="A235" t="s">
        <v>104</v>
      </c>
      <c r="B235" t="s">
        <v>5017</v>
      </c>
      <c r="C235">
        <v>1</v>
      </c>
      <c r="D235">
        <v>25.391999999999999</v>
      </c>
      <c r="E235">
        <v>1.8740000000000001</v>
      </c>
      <c r="F235">
        <v>0.69839121166716656</v>
      </c>
      <c r="G235" t="s">
        <v>47</v>
      </c>
    </row>
    <row r="236" spans="1:7" x14ac:dyDescent="0.25">
      <c r="A236" t="s">
        <v>5758</v>
      </c>
      <c r="B236" t="s">
        <v>5017</v>
      </c>
      <c r="C236">
        <v>5</v>
      </c>
      <c r="D236">
        <v>15.32</v>
      </c>
      <c r="E236">
        <v>1.861</v>
      </c>
      <c r="F236">
        <v>0.80493742587284112</v>
      </c>
      <c r="G236" t="s">
        <v>17</v>
      </c>
    </row>
    <row r="237" spans="1:7" x14ac:dyDescent="0.25">
      <c r="A237" t="s">
        <v>6762</v>
      </c>
      <c r="B237" t="s">
        <v>5017</v>
      </c>
      <c r="C237">
        <v>5</v>
      </c>
      <c r="D237">
        <v>56.01</v>
      </c>
      <c r="E237">
        <v>1.8360000000000001</v>
      </c>
      <c r="F237">
        <v>0.79809309882531765</v>
      </c>
      <c r="G237" t="s">
        <v>17</v>
      </c>
    </row>
    <row r="238" spans="1:7" x14ac:dyDescent="0.25">
      <c r="A238" t="s">
        <v>6766</v>
      </c>
      <c r="B238" t="s">
        <v>5017</v>
      </c>
      <c r="C238">
        <v>5</v>
      </c>
      <c r="D238">
        <v>56.01</v>
      </c>
      <c r="E238">
        <v>1.8360000000000001</v>
      </c>
      <c r="F238">
        <v>0.79809309882531765</v>
      </c>
      <c r="G238" t="s">
        <v>17</v>
      </c>
    </row>
    <row r="239" spans="1:7" x14ac:dyDescent="0.25">
      <c r="A239" t="s">
        <v>11119</v>
      </c>
      <c r="B239" t="s">
        <v>5017</v>
      </c>
      <c r="C239">
        <v>3</v>
      </c>
      <c r="D239">
        <v>9.9610000000000003</v>
      </c>
      <c r="E239">
        <v>1.8240000000000001</v>
      </c>
      <c r="F239">
        <v>0.51417880704351127</v>
      </c>
      <c r="G239" t="s">
        <v>65</v>
      </c>
    </row>
    <row r="240" spans="1:7" x14ac:dyDescent="0.25">
      <c r="A240" t="s">
        <v>11313</v>
      </c>
      <c r="B240" t="s">
        <v>5017</v>
      </c>
      <c r="C240">
        <v>3</v>
      </c>
      <c r="D240">
        <v>8.7360000000000007</v>
      </c>
      <c r="E240">
        <v>1.82</v>
      </c>
      <c r="F240">
        <v>0.52263717124328635</v>
      </c>
      <c r="G240" t="s">
        <v>65</v>
      </c>
    </row>
    <row r="241" spans="1:7" x14ac:dyDescent="0.25">
      <c r="A241" t="s">
        <v>8101</v>
      </c>
      <c r="B241" t="s">
        <v>5017</v>
      </c>
      <c r="C241">
        <v>5</v>
      </c>
      <c r="D241">
        <v>62.171999999999997</v>
      </c>
      <c r="E241">
        <v>1.819</v>
      </c>
      <c r="F241">
        <v>0.72883445436541261</v>
      </c>
      <c r="G241" t="s">
        <v>17</v>
      </c>
    </row>
    <row r="242" spans="1:7" x14ac:dyDescent="0.25">
      <c r="A242" t="s">
        <v>16351</v>
      </c>
      <c r="B242" t="s">
        <v>5017</v>
      </c>
      <c r="C242">
        <v>7</v>
      </c>
      <c r="D242">
        <v>4.5610000000000008</v>
      </c>
      <c r="E242">
        <v>1.8180000000000001</v>
      </c>
      <c r="F242">
        <v>0.64345993080769637</v>
      </c>
      <c r="G242" t="s">
        <v>41</v>
      </c>
    </row>
    <row r="243" spans="1:7" x14ac:dyDescent="0.25">
      <c r="A243" t="s">
        <v>13791</v>
      </c>
      <c r="B243" t="s">
        <v>5017</v>
      </c>
      <c r="C243">
        <v>7</v>
      </c>
      <c r="D243">
        <v>13.481999999999999</v>
      </c>
      <c r="E243">
        <v>1.8029999999999999</v>
      </c>
      <c r="F243">
        <v>0.66456092456078975</v>
      </c>
      <c r="G243" t="s">
        <v>41</v>
      </c>
    </row>
    <row r="244" spans="1:7" x14ac:dyDescent="0.25">
      <c r="A244" t="s">
        <v>14319</v>
      </c>
      <c r="B244" t="s">
        <v>5017</v>
      </c>
      <c r="C244">
        <v>2</v>
      </c>
      <c r="D244">
        <v>12.282</v>
      </c>
      <c r="E244">
        <v>1.792</v>
      </c>
      <c r="F244">
        <v>0.50180205444154602</v>
      </c>
      <c r="G244" t="s">
        <v>35</v>
      </c>
    </row>
    <row r="245" spans="1:7" x14ac:dyDescent="0.25">
      <c r="A245" t="s">
        <v>6188</v>
      </c>
      <c r="B245" t="s">
        <v>5017</v>
      </c>
      <c r="C245">
        <v>2</v>
      </c>
      <c r="D245">
        <v>13.529</v>
      </c>
      <c r="E245">
        <v>1.764</v>
      </c>
      <c r="F245">
        <v>0.3974639862454532</v>
      </c>
      <c r="G245" t="s">
        <v>35</v>
      </c>
    </row>
    <row r="246" spans="1:7" x14ac:dyDescent="0.25">
      <c r="A246" t="s">
        <v>9942</v>
      </c>
      <c r="B246" t="s">
        <v>5017</v>
      </c>
      <c r="C246">
        <v>7</v>
      </c>
      <c r="D246">
        <v>1.5249999999999999</v>
      </c>
      <c r="E246">
        <v>1.7350000000000001</v>
      </c>
      <c r="F246">
        <v>0.70301655917443773</v>
      </c>
      <c r="G246" t="s">
        <v>41</v>
      </c>
    </row>
    <row r="247" spans="1:7" x14ac:dyDescent="0.25">
      <c r="A247" t="s">
        <v>52</v>
      </c>
      <c r="B247" t="s">
        <v>5017</v>
      </c>
      <c r="C247">
        <v>6</v>
      </c>
      <c r="D247">
        <v>16.971</v>
      </c>
      <c r="E247">
        <v>1.7350000000000001</v>
      </c>
      <c r="F247">
        <v>0.7011680891119948</v>
      </c>
      <c r="G247" t="s">
        <v>53</v>
      </c>
    </row>
    <row r="248" spans="1:7" x14ac:dyDescent="0.25">
      <c r="A248" t="s">
        <v>5323</v>
      </c>
      <c r="B248" t="s">
        <v>5017</v>
      </c>
      <c r="C248">
        <v>2</v>
      </c>
      <c r="D248">
        <v>31.454000000000001</v>
      </c>
      <c r="E248">
        <v>1.728</v>
      </c>
      <c r="F248">
        <v>0.6660217013247286</v>
      </c>
      <c r="G248" t="s">
        <v>35</v>
      </c>
    </row>
    <row r="249" spans="1:7" x14ac:dyDescent="0.25">
      <c r="A249" t="s">
        <v>152</v>
      </c>
      <c r="B249" t="s">
        <v>5017</v>
      </c>
      <c r="C249">
        <v>6</v>
      </c>
      <c r="D249">
        <v>22.08</v>
      </c>
      <c r="E249">
        <v>1.7090000000000001</v>
      </c>
      <c r="F249">
        <v>0.65094177827710131</v>
      </c>
      <c r="G249" t="s">
        <v>53</v>
      </c>
    </row>
    <row r="250" spans="1:7" x14ac:dyDescent="0.25">
      <c r="A250" t="s">
        <v>13765</v>
      </c>
      <c r="B250" t="s">
        <v>5017</v>
      </c>
      <c r="C250">
        <v>2</v>
      </c>
      <c r="D250">
        <v>7.2469999999999999</v>
      </c>
      <c r="E250">
        <v>1.708</v>
      </c>
      <c r="F250">
        <v>0.56533281358457999</v>
      </c>
      <c r="G250" t="s">
        <v>35</v>
      </c>
    </row>
    <row r="251" spans="1:7" x14ac:dyDescent="0.25">
      <c r="A251" t="s">
        <v>14534</v>
      </c>
      <c r="B251" t="s">
        <v>5017</v>
      </c>
      <c r="C251">
        <v>2</v>
      </c>
      <c r="D251">
        <v>27.262</v>
      </c>
      <c r="E251">
        <v>1.68</v>
      </c>
      <c r="F251">
        <v>0.59293799400670988</v>
      </c>
      <c r="G251" t="s">
        <v>35</v>
      </c>
    </row>
    <row r="252" spans="1:7" x14ac:dyDescent="0.25">
      <c r="A252" t="s">
        <v>5441</v>
      </c>
      <c r="B252" t="s">
        <v>5017</v>
      </c>
      <c r="C252">
        <v>7</v>
      </c>
      <c r="D252">
        <v>13.851000000000001</v>
      </c>
      <c r="E252">
        <v>1.6459999999999999</v>
      </c>
      <c r="F252">
        <v>0.60605741437702332</v>
      </c>
      <c r="G252" t="s">
        <v>41</v>
      </c>
    </row>
    <row r="253" spans="1:7" x14ac:dyDescent="0.25">
      <c r="A253" t="s">
        <v>11012</v>
      </c>
      <c r="B253" t="s">
        <v>5017</v>
      </c>
      <c r="C253">
        <v>7</v>
      </c>
      <c r="D253">
        <v>10.989000000000001</v>
      </c>
      <c r="E253">
        <v>1.6419999999999999</v>
      </c>
      <c r="F253">
        <v>0.57447347741384513</v>
      </c>
      <c r="G253" t="s">
        <v>41</v>
      </c>
    </row>
    <row r="254" spans="1:7" x14ac:dyDescent="0.25">
      <c r="A254" t="s">
        <v>16372</v>
      </c>
      <c r="B254" t="s">
        <v>5017</v>
      </c>
      <c r="C254">
        <v>3</v>
      </c>
      <c r="D254">
        <v>15.868</v>
      </c>
      <c r="E254">
        <v>1.63</v>
      </c>
      <c r="F254">
        <v>0.43017130158156491</v>
      </c>
      <c r="G254" t="s">
        <v>65</v>
      </c>
    </row>
    <row r="255" spans="1:7" x14ac:dyDescent="0.25">
      <c r="A255" t="s">
        <v>105</v>
      </c>
      <c r="B255" t="s">
        <v>5017</v>
      </c>
      <c r="C255">
        <v>1</v>
      </c>
      <c r="D255">
        <v>18.515000000000011</v>
      </c>
      <c r="E255">
        <v>1.6180000000000001</v>
      </c>
      <c r="F255">
        <v>0.67937316892282329</v>
      </c>
      <c r="G255" t="s">
        <v>47</v>
      </c>
    </row>
    <row r="256" spans="1:7" x14ac:dyDescent="0.25">
      <c r="A256" t="s">
        <v>8376</v>
      </c>
      <c r="B256" t="s">
        <v>5017</v>
      </c>
      <c r="C256">
        <v>1</v>
      </c>
      <c r="D256">
        <v>18.515000000000011</v>
      </c>
      <c r="E256">
        <v>1.6180000000000001</v>
      </c>
      <c r="F256">
        <v>0.67937316892282329</v>
      </c>
      <c r="G256" t="s">
        <v>47</v>
      </c>
    </row>
    <row r="257" spans="1:7" x14ac:dyDescent="0.25">
      <c r="A257" t="s">
        <v>70</v>
      </c>
      <c r="B257" t="s">
        <v>5017</v>
      </c>
      <c r="C257">
        <v>0</v>
      </c>
      <c r="D257">
        <v>6.7789999999999999</v>
      </c>
      <c r="E257">
        <v>1.5980000000000001</v>
      </c>
      <c r="F257">
        <v>0.74878414882734801</v>
      </c>
      <c r="G257" t="s">
        <v>71</v>
      </c>
    </row>
    <row r="258" spans="1:7" x14ac:dyDescent="0.25">
      <c r="A258" t="s">
        <v>11105</v>
      </c>
      <c r="B258" t="s">
        <v>5017</v>
      </c>
      <c r="C258">
        <v>5</v>
      </c>
      <c r="D258">
        <v>32.953000000000003</v>
      </c>
      <c r="E258">
        <v>1.5820000000000001</v>
      </c>
      <c r="F258">
        <v>0.72031830523757179</v>
      </c>
      <c r="G258" t="s">
        <v>17</v>
      </c>
    </row>
    <row r="259" spans="1:7" x14ac:dyDescent="0.25">
      <c r="A259" t="s">
        <v>15851</v>
      </c>
      <c r="B259" t="s">
        <v>5017</v>
      </c>
      <c r="C259">
        <v>9</v>
      </c>
      <c r="D259">
        <v>15.17799999999999</v>
      </c>
      <c r="E259">
        <v>1.5009999999999999</v>
      </c>
      <c r="F259">
        <v>0.83640410512103802</v>
      </c>
      <c r="G259" t="s">
        <v>29</v>
      </c>
    </row>
    <row r="260" spans="1:7" x14ac:dyDescent="0.25">
      <c r="A260" t="s">
        <v>151</v>
      </c>
      <c r="B260" t="s">
        <v>5017</v>
      </c>
      <c r="C260">
        <v>1</v>
      </c>
      <c r="D260">
        <v>25.052</v>
      </c>
      <c r="E260">
        <v>1.4950000000000001</v>
      </c>
      <c r="F260">
        <v>0.64488659807994275</v>
      </c>
      <c r="G260" t="s">
        <v>47</v>
      </c>
    </row>
    <row r="261" spans="1:7" x14ac:dyDescent="0.25">
      <c r="A261" t="s">
        <v>6120</v>
      </c>
      <c r="B261" t="s">
        <v>5017</v>
      </c>
      <c r="C261">
        <v>1</v>
      </c>
      <c r="D261">
        <v>14.398</v>
      </c>
      <c r="E261">
        <v>1.482</v>
      </c>
      <c r="F261">
        <v>0.6519027203489125</v>
      </c>
      <c r="G261" t="s">
        <v>47</v>
      </c>
    </row>
    <row r="262" spans="1:7" x14ac:dyDescent="0.25">
      <c r="A262" t="s">
        <v>5019</v>
      </c>
      <c r="B262" t="s">
        <v>5017</v>
      </c>
      <c r="C262">
        <v>6</v>
      </c>
      <c r="D262">
        <v>20.553000000000001</v>
      </c>
      <c r="E262">
        <v>1.468</v>
      </c>
      <c r="F262">
        <v>0.65151071227637636</v>
      </c>
      <c r="G262" t="s">
        <v>53</v>
      </c>
    </row>
    <row r="263" spans="1:7" x14ac:dyDescent="0.25">
      <c r="A263" t="s">
        <v>8765</v>
      </c>
      <c r="B263" t="s">
        <v>5017</v>
      </c>
      <c r="C263">
        <v>7</v>
      </c>
      <c r="D263">
        <v>18.437000000000001</v>
      </c>
      <c r="E263">
        <v>1.4510000000000001</v>
      </c>
      <c r="F263">
        <v>0.70070987315419453</v>
      </c>
      <c r="G263" t="s">
        <v>41</v>
      </c>
    </row>
    <row r="264" spans="1:7" x14ac:dyDescent="0.25">
      <c r="A264" t="s">
        <v>16429</v>
      </c>
      <c r="B264" t="s">
        <v>5017</v>
      </c>
      <c r="C264">
        <v>6</v>
      </c>
      <c r="D264">
        <v>18.760000000000002</v>
      </c>
      <c r="E264">
        <v>1.411</v>
      </c>
      <c r="F264">
        <v>0.65182928499235993</v>
      </c>
      <c r="G264" t="s">
        <v>53</v>
      </c>
    </row>
    <row r="265" spans="1:7" x14ac:dyDescent="0.25">
      <c r="A265" t="s">
        <v>111</v>
      </c>
      <c r="B265" t="s">
        <v>5017</v>
      </c>
      <c r="C265">
        <v>4</v>
      </c>
      <c r="D265">
        <v>19.850000000000001</v>
      </c>
      <c r="E265">
        <v>1.403</v>
      </c>
      <c r="F265">
        <v>0.83623794805220719</v>
      </c>
      <c r="G265" t="s">
        <v>59</v>
      </c>
    </row>
    <row r="266" spans="1:7" x14ac:dyDescent="0.25">
      <c r="A266" t="s">
        <v>10946</v>
      </c>
      <c r="B266" t="s">
        <v>5017</v>
      </c>
      <c r="C266">
        <v>7</v>
      </c>
      <c r="D266">
        <v>4.7360000000000007</v>
      </c>
      <c r="E266">
        <v>1.4019999999999999</v>
      </c>
      <c r="F266">
        <v>0.64811966495411943</v>
      </c>
      <c r="G266" t="s">
        <v>41</v>
      </c>
    </row>
    <row r="267" spans="1:7" x14ac:dyDescent="0.25">
      <c r="A267" t="s">
        <v>6630</v>
      </c>
      <c r="B267" t="s">
        <v>5017</v>
      </c>
      <c r="C267">
        <v>7</v>
      </c>
      <c r="D267">
        <v>7.923</v>
      </c>
      <c r="E267">
        <v>1.375</v>
      </c>
      <c r="F267">
        <v>0.67712178548546098</v>
      </c>
      <c r="G267" t="s">
        <v>41</v>
      </c>
    </row>
    <row r="268" spans="1:7" x14ac:dyDescent="0.25">
      <c r="A268" t="s">
        <v>14</v>
      </c>
      <c r="B268" t="s">
        <v>5017</v>
      </c>
      <c r="C268">
        <v>11</v>
      </c>
      <c r="D268">
        <v>50.903000000000063</v>
      </c>
      <c r="E268">
        <v>1.3620000000000001</v>
      </c>
      <c r="F268">
        <v>1.032756201482022</v>
      </c>
      <c r="G268" t="s">
        <v>11</v>
      </c>
    </row>
    <row r="269" spans="1:7" x14ac:dyDescent="0.25">
      <c r="A269" t="s">
        <v>12</v>
      </c>
      <c r="B269" t="s">
        <v>5017</v>
      </c>
      <c r="C269">
        <v>11</v>
      </c>
      <c r="D269">
        <v>50.903000000000063</v>
      </c>
      <c r="E269">
        <v>1.3620000000000001</v>
      </c>
      <c r="F269">
        <v>1.131875236158072</v>
      </c>
      <c r="G269" t="s">
        <v>11</v>
      </c>
    </row>
    <row r="270" spans="1:7" x14ac:dyDescent="0.25">
      <c r="A270" t="s">
        <v>7865</v>
      </c>
      <c r="B270" t="s">
        <v>5017</v>
      </c>
      <c r="C270">
        <v>11</v>
      </c>
      <c r="D270">
        <v>50.903000000000063</v>
      </c>
      <c r="E270">
        <v>1.3620000000000001</v>
      </c>
      <c r="F270">
        <v>0.9407728559762778</v>
      </c>
      <c r="G270" t="s">
        <v>11</v>
      </c>
    </row>
    <row r="271" spans="1:7" x14ac:dyDescent="0.25">
      <c r="A271" t="s">
        <v>7868</v>
      </c>
      <c r="B271" t="s">
        <v>5017</v>
      </c>
      <c r="C271">
        <v>11</v>
      </c>
      <c r="D271">
        <v>50.903000000000063</v>
      </c>
      <c r="E271">
        <v>1.3620000000000001</v>
      </c>
      <c r="F271">
        <v>0.83243450133305763</v>
      </c>
      <c r="G271" t="s">
        <v>11</v>
      </c>
    </row>
    <row r="272" spans="1:7" x14ac:dyDescent="0.25">
      <c r="A272" t="s">
        <v>10</v>
      </c>
      <c r="B272" t="s">
        <v>5017</v>
      </c>
      <c r="C272">
        <v>11</v>
      </c>
      <c r="D272">
        <v>50.903000000000063</v>
      </c>
      <c r="E272">
        <v>1.3620000000000001</v>
      </c>
      <c r="F272">
        <v>1.1329941480372441</v>
      </c>
      <c r="G272" t="s">
        <v>11</v>
      </c>
    </row>
    <row r="273" spans="1:7" x14ac:dyDescent="0.25">
      <c r="A273" t="s">
        <v>13518</v>
      </c>
      <c r="B273" t="s">
        <v>5017</v>
      </c>
      <c r="C273">
        <v>6</v>
      </c>
      <c r="D273">
        <v>19.722000000000001</v>
      </c>
      <c r="E273">
        <v>1.34</v>
      </c>
      <c r="F273">
        <v>0.63476387255977118</v>
      </c>
      <c r="G273" t="s">
        <v>53</v>
      </c>
    </row>
    <row r="274" spans="1:7" x14ac:dyDescent="0.25">
      <c r="A274" t="s">
        <v>6873</v>
      </c>
      <c r="B274" t="s">
        <v>5017</v>
      </c>
      <c r="C274">
        <v>8</v>
      </c>
      <c r="D274">
        <v>7.8920000000000021</v>
      </c>
      <c r="E274">
        <v>1.3089999999999999</v>
      </c>
      <c r="F274">
        <v>0.58101301125766147</v>
      </c>
      <c r="G274" t="s">
        <v>23</v>
      </c>
    </row>
    <row r="275" spans="1:7" x14ac:dyDescent="0.25">
      <c r="A275" t="s">
        <v>157</v>
      </c>
      <c r="B275" t="s">
        <v>5017</v>
      </c>
      <c r="C275">
        <v>3</v>
      </c>
      <c r="D275">
        <v>17.577999999999999</v>
      </c>
      <c r="E275">
        <v>1.3080000000000001</v>
      </c>
      <c r="F275">
        <v>0.49121504360043522</v>
      </c>
      <c r="G275" t="s">
        <v>65</v>
      </c>
    </row>
    <row r="276" spans="1:7" x14ac:dyDescent="0.25">
      <c r="A276" t="s">
        <v>156</v>
      </c>
      <c r="B276" t="s">
        <v>5017</v>
      </c>
      <c r="C276">
        <v>3</v>
      </c>
      <c r="D276">
        <v>19.239999999999998</v>
      </c>
      <c r="E276">
        <v>1.2949999999999999</v>
      </c>
      <c r="F276">
        <v>0.50968598134473286</v>
      </c>
      <c r="G276" t="s">
        <v>65</v>
      </c>
    </row>
    <row r="277" spans="1:7" x14ac:dyDescent="0.25">
      <c r="A277" t="s">
        <v>153</v>
      </c>
      <c r="B277" t="s">
        <v>5017</v>
      </c>
      <c r="C277">
        <v>6</v>
      </c>
      <c r="D277">
        <v>21.402999999999999</v>
      </c>
      <c r="E277">
        <v>1.2869999999999999</v>
      </c>
      <c r="F277">
        <v>0.63389458200794491</v>
      </c>
      <c r="G277" t="s">
        <v>53</v>
      </c>
    </row>
    <row r="278" spans="1:7" x14ac:dyDescent="0.25">
      <c r="A278" t="s">
        <v>7315</v>
      </c>
      <c r="B278" t="s">
        <v>5017</v>
      </c>
      <c r="C278">
        <v>8</v>
      </c>
      <c r="D278">
        <v>13.923999999999999</v>
      </c>
      <c r="E278">
        <v>1.284</v>
      </c>
      <c r="F278">
        <v>0.55386378839280126</v>
      </c>
      <c r="G278" t="s">
        <v>23</v>
      </c>
    </row>
    <row r="279" spans="1:7" x14ac:dyDescent="0.25">
      <c r="A279" t="s">
        <v>13421</v>
      </c>
      <c r="B279" t="s">
        <v>5017</v>
      </c>
      <c r="C279">
        <v>2</v>
      </c>
      <c r="D279">
        <v>13.919</v>
      </c>
      <c r="E279">
        <v>1.2829999999999999</v>
      </c>
      <c r="F279">
        <v>0.50923708300617243</v>
      </c>
      <c r="G279" t="s">
        <v>35</v>
      </c>
    </row>
    <row r="280" spans="1:7" x14ac:dyDescent="0.25">
      <c r="A280" t="s">
        <v>13038</v>
      </c>
      <c r="B280" t="s">
        <v>5017</v>
      </c>
      <c r="C280">
        <v>7</v>
      </c>
      <c r="D280">
        <v>11.287000000000001</v>
      </c>
      <c r="E280">
        <v>1.2709999999999999</v>
      </c>
      <c r="F280">
        <v>0.58603482588152589</v>
      </c>
      <c r="G280" t="s">
        <v>41</v>
      </c>
    </row>
    <row r="281" spans="1:7" x14ac:dyDescent="0.25">
      <c r="A281" t="s">
        <v>12560</v>
      </c>
      <c r="B281" t="s">
        <v>5017</v>
      </c>
      <c r="C281">
        <v>7</v>
      </c>
      <c r="D281">
        <v>13.147</v>
      </c>
      <c r="E281">
        <v>1.2709999999999999</v>
      </c>
      <c r="F281">
        <v>0.59805826288020902</v>
      </c>
      <c r="G281" t="s">
        <v>41</v>
      </c>
    </row>
    <row r="282" spans="1:7" x14ac:dyDescent="0.25">
      <c r="A282" t="s">
        <v>139</v>
      </c>
      <c r="B282" t="s">
        <v>5017</v>
      </c>
      <c r="C282">
        <v>8</v>
      </c>
      <c r="D282">
        <v>28.885999999999999</v>
      </c>
      <c r="E282">
        <v>1.2669999999999999</v>
      </c>
      <c r="F282">
        <v>0.67268019804363288</v>
      </c>
      <c r="G282" t="s">
        <v>23</v>
      </c>
    </row>
    <row r="283" spans="1:7" x14ac:dyDescent="0.25">
      <c r="A283" t="s">
        <v>13418</v>
      </c>
      <c r="B283" t="s">
        <v>5017</v>
      </c>
      <c r="C283">
        <v>2</v>
      </c>
      <c r="D283">
        <v>8.8730000000000011</v>
      </c>
      <c r="E283">
        <v>1.258</v>
      </c>
      <c r="F283">
        <v>0.51504815279135152</v>
      </c>
      <c r="G283" t="s">
        <v>35</v>
      </c>
    </row>
    <row r="284" spans="1:7" x14ac:dyDescent="0.25">
      <c r="A284" t="s">
        <v>64</v>
      </c>
      <c r="B284" t="s">
        <v>5017</v>
      </c>
      <c r="C284">
        <v>3</v>
      </c>
      <c r="D284">
        <v>4.45</v>
      </c>
      <c r="E284">
        <v>1.2250000000000001</v>
      </c>
      <c r="F284">
        <v>0.68463592741490398</v>
      </c>
      <c r="G284" t="s">
        <v>65</v>
      </c>
    </row>
    <row r="285" spans="1:7" x14ac:dyDescent="0.25">
      <c r="A285" t="s">
        <v>37</v>
      </c>
      <c r="B285" t="s">
        <v>5017</v>
      </c>
      <c r="C285">
        <v>2</v>
      </c>
      <c r="D285">
        <v>28.73800000000001</v>
      </c>
      <c r="E285">
        <v>1.2030000000000001</v>
      </c>
      <c r="F285">
        <v>0.71756784113047223</v>
      </c>
      <c r="G285" t="s">
        <v>35</v>
      </c>
    </row>
    <row r="286" spans="1:7" x14ac:dyDescent="0.25">
      <c r="A286" t="s">
        <v>12426</v>
      </c>
      <c r="B286" t="s">
        <v>5017</v>
      </c>
      <c r="C286">
        <v>8</v>
      </c>
      <c r="D286">
        <v>5.6919999999999993</v>
      </c>
      <c r="E286">
        <v>1.2</v>
      </c>
      <c r="F286">
        <v>0.62707709582748183</v>
      </c>
      <c r="G286" t="s">
        <v>23</v>
      </c>
    </row>
    <row r="287" spans="1:7" x14ac:dyDescent="0.25">
      <c r="A287" t="s">
        <v>11836</v>
      </c>
      <c r="B287" t="s">
        <v>5017</v>
      </c>
      <c r="C287">
        <v>5</v>
      </c>
      <c r="D287">
        <v>25.26100000000001</v>
      </c>
      <c r="E287">
        <v>1.1819999999999999</v>
      </c>
      <c r="F287">
        <v>0.77017353285875223</v>
      </c>
      <c r="G287" t="s">
        <v>17</v>
      </c>
    </row>
    <row r="288" spans="1:7" x14ac:dyDescent="0.25">
      <c r="A288" t="s">
        <v>12423</v>
      </c>
      <c r="B288" t="s">
        <v>5017</v>
      </c>
      <c r="C288">
        <v>8</v>
      </c>
      <c r="D288">
        <v>6.6020000000000012</v>
      </c>
      <c r="E288">
        <v>1.1679999999999999</v>
      </c>
      <c r="F288">
        <v>0.58505058361586049</v>
      </c>
      <c r="G288" t="s">
        <v>23</v>
      </c>
    </row>
    <row r="289" spans="1:7" x14ac:dyDescent="0.25">
      <c r="A289" t="s">
        <v>11911</v>
      </c>
      <c r="B289" t="s">
        <v>5017</v>
      </c>
      <c r="C289">
        <v>5</v>
      </c>
      <c r="D289">
        <v>27.20999999999999</v>
      </c>
      <c r="E289">
        <v>1.1659999999999999</v>
      </c>
      <c r="F289">
        <v>0.8694660811806082</v>
      </c>
      <c r="G289" t="s">
        <v>17</v>
      </c>
    </row>
    <row r="290" spans="1:7" x14ac:dyDescent="0.25">
      <c r="A290" t="s">
        <v>116</v>
      </c>
      <c r="B290" t="s">
        <v>5017</v>
      </c>
      <c r="C290">
        <v>0</v>
      </c>
      <c r="D290">
        <v>5.455000000000001</v>
      </c>
      <c r="E290">
        <v>1.1579999999999999</v>
      </c>
      <c r="F290">
        <v>0.61762782627733037</v>
      </c>
      <c r="G290" t="s">
        <v>71</v>
      </c>
    </row>
    <row r="291" spans="1:7" x14ac:dyDescent="0.25">
      <c r="A291" t="s">
        <v>22</v>
      </c>
      <c r="B291" t="s">
        <v>5017</v>
      </c>
      <c r="C291">
        <v>8</v>
      </c>
      <c r="D291">
        <v>9.5429999999999993</v>
      </c>
      <c r="E291">
        <v>1.143</v>
      </c>
      <c r="F291">
        <v>0.79154129518351635</v>
      </c>
      <c r="G291" t="s">
        <v>23</v>
      </c>
    </row>
    <row r="292" spans="1:7" x14ac:dyDescent="0.25">
      <c r="A292" t="s">
        <v>24</v>
      </c>
      <c r="B292" t="s">
        <v>5017</v>
      </c>
      <c r="C292">
        <v>8</v>
      </c>
      <c r="D292">
        <v>9.5429999999999993</v>
      </c>
      <c r="E292">
        <v>1.143</v>
      </c>
      <c r="F292">
        <v>0.79154129518351635</v>
      </c>
      <c r="G292" t="s">
        <v>23</v>
      </c>
    </row>
    <row r="293" spans="1:7" x14ac:dyDescent="0.25">
      <c r="A293" t="s">
        <v>13961</v>
      </c>
      <c r="B293" t="s">
        <v>5017</v>
      </c>
      <c r="C293">
        <v>4</v>
      </c>
      <c r="D293">
        <v>11.317</v>
      </c>
      <c r="E293">
        <v>1.1399999999999999</v>
      </c>
      <c r="F293">
        <v>0.83307133278183132</v>
      </c>
      <c r="G293" t="s">
        <v>59</v>
      </c>
    </row>
    <row r="294" spans="1:7" x14ac:dyDescent="0.25">
      <c r="A294" t="s">
        <v>49</v>
      </c>
      <c r="B294" t="s">
        <v>5017</v>
      </c>
      <c r="C294">
        <v>1</v>
      </c>
      <c r="D294">
        <v>17.858000000000001</v>
      </c>
      <c r="E294">
        <v>1.081</v>
      </c>
      <c r="F294">
        <v>1.455847655803046</v>
      </c>
      <c r="G294" t="s">
        <v>47</v>
      </c>
    </row>
    <row r="295" spans="1:7" x14ac:dyDescent="0.25">
      <c r="A295" t="s">
        <v>6102</v>
      </c>
      <c r="B295" t="s">
        <v>5017</v>
      </c>
      <c r="C295">
        <v>9</v>
      </c>
      <c r="D295">
        <v>10.313000000000001</v>
      </c>
      <c r="E295">
        <v>1.0569999999999999</v>
      </c>
      <c r="F295">
        <v>0.72012835209184978</v>
      </c>
      <c r="G295" t="s">
        <v>29</v>
      </c>
    </row>
    <row r="296" spans="1:7" x14ac:dyDescent="0.25">
      <c r="A296" t="s">
        <v>10654</v>
      </c>
      <c r="B296" t="s">
        <v>5017</v>
      </c>
      <c r="C296">
        <v>8</v>
      </c>
      <c r="D296">
        <v>9.0799999999999983</v>
      </c>
      <c r="E296">
        <v>1.052</v>
      </c>
      <c r="F296">
        <v>0.71087082562321968</v>
      </c>
      <c r="G296" t="s">
        <v>23</v>
      </c>
    </row>
    <row r="297" spans="1:7" x14ac:dyDescent="0.25">
      <c r="A297" t="s">
        <v>117</v>
      </c>
      <c r="B297" t="s">
        <v>5017</v>
      </c>
      <c r="C297">
        <v>0</v>
      </c>
      <c r="D297">
        <v>6.4720000000000004</v>
      </c>
      <c r="E297">
        <v>1.0309999999999999</v>
      </c>
      <c r="F297">
        <v>0.66570233150567237</v>
      </c>
      <c r="G297" t="s">
        <v>71</v>
      </c>
    </row>
    <row r="298" spans="1:7" x14ac:dyDescent="0.25">
      <c r="A298" t="s">
        <v>7308</v>
      </c>
      <c r="B298" t="s">
        <v>5017</v>
      </c>
      <c r="C298">
        <v>8</v>
      </c>
      <c r="D298">
        <v>12.401999999999999</v>
      </c>
      <c r="E298">
        <v>1.026</v>
      </c>
      <c r="F298">
        <v>0.49177551128753522</v>
      </c>
      <c r="G298" t="s">
        <v>23</v>
      </c>
    </row>
    <row r="299" spans="1:7" x14ac:dyDescent="0.25">
      <c r="A299" t="s">
        <v>7312</v>
      </c>
      <c r="B299" t="s">
        <v>5017</v>
      </c>
      <c r="C299">
        <v>8</v>
      </c>
      <c r="D299">
        <v>12.401999999999999</v>
      </c>
      <c r="E299">
        <v>1.026</v>
      </c>
      <c r="F299">
        <v>0.49177551128753522</v>
      </c>
      <c r="G299" t="s">
        <v>23</v>
      </c>
    </row>
    <row r="300" spans="1:7" x14ac:dyDescent="0.25">
      <c r="A300" t="s">
        <v>8650</v>
      </c>
      <c r="B300" t="s">
        <v>5017</v>
      </c>
      <c r="C300">
        <v>1</v>
      </c>
      <c r="D300">
        <v>23.597999999999999</v>
      </c>
      <c r="E300">
        <v>1.026</v>
      </c>
      <c r="F300">
        <v>0.66711892451653998</v>
      </c>
      <c r="G300" t="s">
        <v>47</v>
      </c>
    </row>
    <row r="301" spans="1:7" x14ac:dyDescent="0.25">
      <c r="A301" t="s">
        <v>7304</v>
      </c>
      <c r="B301" t="s">
        <v>5017</v>
      </c>
      <c r="C301">
        <v>8</v>
      </c>
      <c r="D301">
        <v>20.498000000000001</v>
      </c>
      <c r="E301">
        <v>1.0109999999999999</v>
      </c>
      <c r="F301">
        <v>0.59628354077252077</v>
      </c>
      <c r="G301" t="s">
        <v>23</v>
      </c>
    </row>
    <row r="302" spans="1:7" x14ac:dyDescent="0.25">
      <c r="A302" t="s">
        <v>14155</v>
      </c>
      <c r="B302" t="s">
        <v>5017</v>
      </c>
      <c r="C302">
        <v>7</v>
      </c>
      <c r="D302">
        <v>14.837</v>
      </c>
      <c r="E302">
        <v>0.99199999999999999</v>
      </c>
      <c r="F302">
        <v>0.71720408469453989</v>
      </c>
      <c r="G302" t="s">
        <v>41</v>
      </c>
    </row>
    <row r="303" spans="1:7" x14ac:dyDescent="0.25">
      <c r="A303" t="s">
        <v>15512</v>
      </c>
      <c r="B303" t="s">
        <v>5017</v>
      </c>
      <c r="C303">
        <v>7</v>
      </c>
      <c r="D303">
        <v>4.5080000000000009</v>
      </c>
      <c r="E303">
        <v>0.97199999999999998</v>
      </c>
      <c r="F303">
        <v>0.54073077157883065</v>
      </c>
      <c r="G303" t="s">
        <v>41</v>
      </c>
    </row>
    <row r="304" spans="1:7" x14ac:dyDescent="0.25">
      <c r="A304" t="s">
        <v>14537</v>
      </c>
      <c r="B304" t="s">
        <v>5017</v>
      </c>
      <c r="C304">
        <v>7</v>
      </c>
      <c r="D304">
        <v>11.288</v>
      </c>
      <c r="E304">
        <v>0.96399999999999997</v>
      </c>
      <c r="F304">
        <v>0.65027666584625232</v>
      </c>
      <c r="G304" t="s">
        <v>41</v>
      </c>
    </row>
    <row r="305" spans="1:7" x14ac:dyDescent="0.25">
      <c r="A305" t="s">
        <v>8604</v>
      </c>
      <c r="B305" t="s">
        <v>5017</v>
      </c>
      <c r="C305">
        <v>1</v>
      </c>
      <c r="D305">
        <v>24.45300000000001</v>
      </c>
      <c r="E305">
        <v>0.95700000000000007</v>
      </c>
      <c r="F305">
        <v>0.63548904485421087</v>
      </c>
      <c r="G305" t="s">
        <v>47</v>
      </c>
    </row>
    <row r="306" spans="1:7" x14ac:dyDescent="0.25">
      <c r="A306" t="s">
        <v>8608</v>
      </c>
      <c r="B306" t="s">
        <v>5017</v>
      </c>
      <c r="C306">
        <v>1</v>
      </c>
      <c r="D306">
        <v>24.45300000000001</v>
      </c>
      <c r="E306">
        <v>0.95700000000000007</v>
      </c>
      <c r="F306">
        <v>0.63548904485421087</v>
      </c>
      <c r="G306" t="s">
        <v>47</v>
      </c>
    </row>
    <row r="307" spans="1:7" x14ac:dyDescent="0.25">
      <c r="A307" t="s">
        <v>48</v>
      </c>
      <c r="B307" t="s">
        <v>5017</v>
      </c>
      <c r="C307">
        <v>1</v>
      </c>
      <c r="D307">
        <v>19.108000000000001</v>
      </c>
      <c r="E307">
        <v>0.94100000000000006</v>
      </c>
      <c r="F307">
        <v>1.4572378698571229</v>
      </c>
      <c r="G307" t="s">
        <v>47</v>
      </c>
    </row>
    <row r="308" spans="1:7" x14ac:dyDescent="0.25">
      <c r="A308" t="s">
        <v>63</v>
      </c>
      <c r="B308" t="s">
        <v>5017</v>
      </c>
      <c r="C308">
        <v>4</v>
      </c>
      <c r="D308">
        <v>11.788</v>
      </c>
      <c r="E308">
        <v>0.93100000000000005</v>
      </c>
      <c r="F308">
        <v>0.93697902662478594</v>
      </c>
      <c r="G308" t="s">
        <v>59</v>
      </c>
    </row>
    <row r="309" spans="1:7" x14ac:dyDescent="0.25">
      <c r="A309" t="s">
        <v>11905</v>
      </c>
      <c r="B309" t="s">
        <v>5017</v>
      </c>
      <c r="C309">
        <v>5</v>
      </c>
      <c r="D309">
        <v>71.940999999999931</v>
      </c>
      <c r="E309">
        <v>0.92</v>
      </c>
      <c r="F309">
        <v>0.7514798285819555</v>
      </c>
      <c r="G309" t="s">
        <v>17</v>
      </c>
    </row>
    <row r="310" spans="1:7" x14ac:dyDescent="0.25">
      <c r="A310" t="s">
        <v>12354</v>
      </c>
      <c r="B310" t="s">
        <v>5017</v>
      </c>
      <c r="C310">
        <v>2</v>
      </c>
      <c r="D310">
        <v>25.478000000000002</v>
      </c>
      <c r="E310">
        <v>0.91900000000000004</v>
      </c>
      <c r="F310">
        <v>0.69954650730383205</v>
      </c>
      <c r="G310" t="s">
        <v>35</v>
      </c>
    </row>
    <row r="311" spans="1:7" x14ac:dyDescent="0.25">
      <c r="A311" t="s">
        <v>5847</v>
      </c>
      <c r="B311" t="s">
        <v>5017</v>
      </c>
      <c r="C311">
        <v>2</v>
      </c>
      <c r="D311">
        <v>26.702999999999999</v>
      </c>
      <c r="E311">
        <v>0.91500000000000004</v>
      </c>
      <c r="F311">
        <v>0.6285759070910838</v>
      </c>
      <c r="G311" t="s">
        <v>35</v>
      </c>
    </row>
    <row r="312" spans="1:7" x14ac:dyDescent="0.25">
      <c r="A312" t="s">
        <v>6464</v>
      </c>
      <c r="B312" t="s">
        <v>5017</v>
      </c>
      <c r="C312">
        <v>1</v>
      </c>
      <c r="D312">
        <v>1.1599999999999999</v>
      </c>
      <c r="E312">
        <v>0.91400000000000003</v>
      </c>
      <c r="F312">
        <v>0.76066178812142882</v>
      </c>
      <c r="G312" t="s">
        <v>47</v>
      </c>
    </row>
    <row r="313" spans="1:7" x14ac:dyDescent="0.25">
      <c r="A313" t="s">
        <v>5698</v>
      </c>
      <c r="B313" t="s">
        <v>5017</v>
      </c>
      <c r="C313">
        <v>5</v>
      </c>
      <c r="D313">
        <v>29.34899999999999</v>
      </c>
      <c r="E313">
        <v>0.90100000000000002</v>
      </c>
      <c r="F313">
        <v>0.68255192597617975</v>
      </c>
      <c r="G313" t="s">
        <v>17</v>
      </c>
    </row>
    <row r="314" spans="1:7" x14ac:dyDescent="0.25">
      <c r="A314" t="s">
        <v>58</v>
      </c>
      <c r="B314" t="s">
        <v>5017</v>
      </c>
      <c r="C314">
        <v>4</v>
      </c>
      <c r="D314">
        <v>19.079999999999998</v>
      </c>
      <c r="E314">
        <v>0.879</v>
      </c>
      <c r="F314">
        <v>0.99655038348063152</v>
      </c>
      <c r="G314" t="s">
        <v>59</v>
      </c>
    </row>
    <row r="315" spans="1:7" x14ac:dyDescent="0.25">
      <c r="A315" t="s">
        <v>11397</v>
      </c>
      <c r="B315" t="s">
        <v>5017</v>
      </c>
      <c r="C315">
        <v>7</v>
      </c>
      <c r="D315">
        <v>24.35</v>
      </c>
      <c r="E315">
        <v>0.877</v>
      </c>
      <c r="F315">
        <v>0.73102244581990383</v>
      </c>
      <c r="G315" t="s">
        <v>41</v>
      </c>
    </row>
    <row r="316" spans="1:7" x14ac:dyDescent="0.25">
      <c r="A316" t="s">
        <v>15586</v>
      </c>
      <c r="B316" t="s">
        <v>5017</v>
      </c>
      <c r="C316">
        <v>7</v>
      </c>
      <c r="D316">
        <v>19.815999999999999</v>
      </c>
      <c r="E316">
        <v>0.876</v>
      </c>
      <c r="F316">
        <v>0.69524626885657115</v>
      </c>
      <c r="G316" t="s">
        <v>41</v>
      </c>
    </row>
    <row r="317" spans="1:7" x14ac:dyDescent="0.25">
      <c r="A317" t="s">
        <v>14161</v>
      </c>
      <c r="B317" t="s">
        <v>5017</v>
      </c>
      <c r="C317">
        <v>7</v>
      </c>
      <c r="D317">
        <v>9.5</v>
      </c>
      <c r="E317">
        <v>0.874</v>
      </c>
      <c r="F317">
        <v>0.67121042425743727</v>
      </c>
      <c r="G317" t="s">
        <v>41</v>
      </c>
    </row>
    <row r="318" spans="1:7" x14ac:dyDescent="0.25">
      <c r="A318" t="s">
        <v>118</v>
      </c>
      <c r="B318" t="s">
        <v>5017</v>
      </c>
      <c r="C318">
        <v>0</v>
      </c>
      <c r="D318">
        <v>4.6579999999999986</v>
      </c>
      <c r="E318">
        <v>0.871</v>
      </c>
      <c r="F318">
        <v>0.58803009675050055</v>
      </c>
      <c r="G318" t="s">
        <v>71</v>
      </c>
    </row>
    <row r="319" spans="1:7" x14ac:dyDescent="0.25">
      <c r="A319" t="s">
        <v>14638</v>
      </c>
      <c r="B319" t="s">
        <v>5017</v>
      </c>
      <c r="C319">
        <v>6</v>
      </c>
      <c r="D319">
        <v>17.023</v>
      </c>
      <c r="E319">
        <v>0.86499999999999999</v>
      </c>
      <c r="F319">
        <v>0.65869422499151764</v>
      </c>
      <c r="G319" t="s">
        <v>53</v>
      </c>
    </row>
    <row r="320" spans="1:7" x14ac:dyDescent="0.25">
      <c r="A320" t="s">
        <v>46</v>
      </c>
      <c r="B320" t="s">
        <v>5017</v>
      </c>
      <c r="C320">
        <v>1</v>
      </c>
      <c r="D320">
        <v>23.405000000000001</v>
      </c>
      <c r="E320">
        <v>0.86499999999999999</v>
      </c>
      <c r="F320">
        <v>1.547513575461847</v>
      </c>
      <c r="G320" t="s">
        <v>47</v>
      </c>
    </row>
    <row r="321" spans="1:7" x14ac:dyDescent="0.25">
      <c r="A321" t="s">
        <v>11290</v>
      </c>
      <c r="B321" t="s">
        <v>5017</v>
      </c>
      <c r="C321">
        <v>7</v>
      </c>
      <c r="D321">
        <v>18.420000000000002</v>
      </c>
      <c r="E321">
        <v>0.85199999999999998</v>
      </c>
      <c r="F321">
        <v>0.69801339965248888</v>
      </c>
      <c r="G321" t="s">
        <v>41</v>
      </c>
    </row>
    <row r="322" spans="1:7" x14ac:dyDescent="0.25">
      <c r="A322" t="s">
        <v>14927</v>
      </c>
      <c r="B322" t="s">
        <v>5017</v>
      </c>
      <c r="C322">
        <v>5</v>
      </c>
      <c r="D322">
        <v>54.15199999999998</v>
      </c>
      <c r="E322">
        <v>0.85</v>
      </c>
      <c r="F322">
        <v>0.92894024099172479</v>
      </c>
      <c r="G322" t="s">
        <v>17</v>
      </c>
    </row>
    <row r="323" spans="1:7" x14ac:dyDescent="0.25">
      <c r="A323" t="s">
        <v>67</v>
      </c>
      <c r="B323" t="s">
        <v>5017</v>
      </c>
      <c r="C323">
        <v>3</v>
      </c>
      <c r="D323">
        <v>12.351000000000001</v>
      </c>
      <c r="E323">
        <v>0.84899999999999998</v>
      </c>
      <c r="F323">
        <v>0.60134285901391371</v>
      </c>
      <c r="G323" t="s">
        <v>65</v>
      </c>
    </row>
    <row r="324" spans="1:7" x14ac:dyDescent="0.25">
      <c r="A324" t="s">
        <v>5024</v>
      </c>
      <c r="B324" t="s">
        <v>5017</v>
      </c>
      <c r="C324">
        <v>7</v>
      </c>
      <c r="D324">
        <v>3.5459999999999998</v>
      </c>
      <c r="E324">
        <v>0.82799999999999996</v>
      </c>
      <c r="F324">
        <v>0.6005554517577224</v>
      </c>
      <c r="G324" t="s">
        <v>41</v>
      </c>
    </row>
    <row r="325" spans="1:7" x14ac:dyDescent="0.25">
      <c r="A325" t="s">
        <v>144</v>
      </c>
      <c r="B325" t="s">
        <v>5017</v>
      </c>
      <c r="C325">
        <v>2</v>
      </c>
      <c r="D325">
        <v>36.792999999999999</v>
      </c>
      <c r="E325">
        <v>0.82699999999999996</v>
      </c>
      <c r="F325">
        <v>0.61855427768351334</v>
      </c>
      <c r="G325" t="s">
        <v>35</v>
      </c>
    </row>
    <row r="326" spans="1:7" x14ac:dyDescent="0.25">
      <c r="A326" t="s">
        <v>11348</v>
      </c>
      <c r="B326" t="s">
        <v>5017</v>
      </c>
      <c r="C326">
        <v>2</v>
      </c>
      <c r="D326">
        <v>31.741</v>
      </c>
      <c r="E326">
        <v>0.80800000000000005</v>
      </c>
      <c r="F326">
        <v>0.63787320252580793</v>
      </c>
      <c r="G326" t="s">
        <v>35</v>
      </c>
    </row>
    <row r="327" spans="1:7" x14ac:dyDescent="0.25">
      <c r="A327" t="s">
        <v>16121</v>
      </c>
      <c r="B327" t="s">
        <v>5017</v>
      </c>
      <c r="C327">
        <v>5</v>
      </c>
      <c r="D327">
        <v>21.811</v>
      </c>
      <c r="E327">
        <v>0.79100000000000004</v>
      </c>
      <c r="F327">
        <v>0.86543596248889398</v>
      </c>
      <c r="G327" t="s">
        <v>17</v>
      </c>
    </row>
    <row r="328" spans="1:7" x14ac:dyDescent="0.25">
      <c r="A328" t="s">
        <v>140</v>
      </c>
      <c r="B328" t="s">
        <v>5017</v>
      </c>
      <c r="C328">
        <v>9</v>
      </c>
      <c r="D328">
        <v>26.018999999999981</v>
      </c>
      <c r="E328">
        <v>0.72399999999999998</v>
      </c>
      <c r="F328">
        <v>0.86278589758122126</v>
      </c>
      <c r="G328" t="s">
        <v>29</v>
      </c>
    </row>
    <row r="329" spans="1:7" x14ac:dyDescent="0.25">
      <c r="A329" t="s">
        <v>13415</v>
      </c>
      <c r="B329" t="s">
        <v>5017</v>
      </c>
      <c r="C329">
        <v>2</v>
      </c>
      <c r="D329">
        <v>7.418000000000001</v>
      </c>
      <c r="E329">
        <v>0.68400000000000005</v>
      </c>
      <c r="F329">
        <v>0.5064949450458659</v>
      </c>
      <c r="G329" t="s">
        <v>35</v>
      </c>
    </row>
    <row r="330" spans="1:7" x14ac:dyDescent="0.25">
      <c r="A330" t="s">
        <v>6033</v>
      </c>
      <c r="B330" t="s">
        <v>5017</v>
      </c>
      <c r="C330">
        <v>5</v>
      </c>
      <c r="D330">
        <v>85.846999999999923</v>
      </c>
      <c r="E330">
        <v>0.68400000000000005</v>
      </c>
      <c r="F330">
        <v>0.77164821801492967</v>
      </c>
      <c r="G330" t="s">
        <v>17</v>
      </c>
    </row>
    <row r="331" spans="1:7" x14ac:dyDescent="0.25">
      <c r="A331" t="s">
        <v>14549</v>
      </c>
      <c r="B331" t="s">
        <v>5017</v>
      </c>
      <c r="C331">
        <v>2</v>
      </c>
      <c r="D331">
        <v>5.0749999999999993</v>
      </c>
      <c r="E331">
        <v>0.67700000000000005</v>
      </c>
      <c r="F331">
        <v>0.63671767075735208</v>
      </c>
      <c r="G331" t="s">
        <v>35</v>
      </c>
    </row>
    <row r="332" spans="1:7" x14ac:dyDescent="0.25">
      <c r="A332" t="s">
        <v>5943</v>
      </c>
      <c r="B332" t="s">
        <v>5017</v>
      </c>
      <c r="C332">
        <v>5</v>
      </c>
      <c r="D332">
        <v>95.819000000000059</v>
      </c>
      <c r="E332">
        <v>0.67100000000000004</v>
      </c>
      <c r="F332">
        <v>0.83263045133816604</v>
      </c>
      <c r="G332" t="s">
        <v>17</v>
      </c>
    </row>
    <row r="333" spans="1:7" x14ac:dyDescent="0.25">
      <c r="A333" t="s">
        <v>11409</v>
      </c>
      <c r="B333" t="s">
        <v>5017</v>
      </c>
      <c r="C333">
        <v>6</v>
      </c>
      <c r="D333">
        <v>18.712</v>
      </c>
      <c r="E333">
        <v>0.67</v>
      </c>
      <c r="F333">
        <v>0.63839768103833294</v>
      </c>
      <c r="G333" t="s">
        <v>53</v>
      </c>
    </row>
    <row r="334" spans="1:7" x14ac:dyDescent="0.25">
      <c r="A334" t="s">
        <v>13149</v>
      </c>
      <c r="B334" t="s">
        <v>5017</v>
      </c>
      <c r="C334">
        <v>5</v>
      </c>
      <c r="D334">
        <v>38.927</v>
      </c>
      <c r="E334">
        <v>0.64800000000000002</v>
      </c>
      <c r="F334">
        <v>0.70270220979232612</v>
      </c>
      <c r="G334" t="s">
        <v>17</v>
      </c>
    </row>
    <row r="335" spans="1:7" x14ac:dyDescent="0.25">
      <c r="A335" t="s">
        <v>15940</v>
      </c>
      <c r="B335" t="s">
        <v>5017</v>
      </c>
      <c r="C335">
        <v>9</v>
      </c>
      <c r="D335">
        <v>5.8869999999999987</v>
      </c>
      <c r="E335">
        <v>0.61499999999999999</v>
      </c>
      <c r="F335">
        <v>0.7830993905146616</v>
      </c>
      <c r="G335" t="s">
        <v>29</v>
      </c>
    </row>
    <row r="336" spans="1:7" x14ac:dyDescent="0.25">
      <c r="A336" t="s">
        <v>11163</v>
      </c>
      <c r="B336" t="s">
        <v>5017</v>
      </c>
      <c r="C336">
        <v>5</v>
      </c>
      <c r="D336">
        <v>25.309000000000001</v>
      </c>
      <c r="E336">
        <v>0.61299999999999999</v>
      </c>
      <c r="F336">
        <v>0.6442614890654863</v>
      </c>
      <c r="G336" t="s">
        <v>17</v>
      </c>
    </row>
    <row r="337" spans="1:7" x14ac:dyDescent="0.25">
      <c r="A337" t="s">
        <v>5710</v>
      </c>
      <c r="B337" t="s">
        <v>5017</v>
      </c>
      <c r="C337">
        <v>5</v>
      </c>
      <c r="D337">
        <v>20.461999999999989</v>
      </c>
      <c r="E337">
        <v>0.60599999999999998</v>
      </c>
      <c r="F337">
        <v>0.89520005557564586</v>
      </c>
      <c r="G337" t="s">
        <v>17</v>
      </c>
    </row>
    <row r="338" spans="1:7" x14ac:dyDescent="0.25">
      <c r="A338" t="s">
        <v>14398</v>
      </c>
      <c r="B338" t="s">
        <v>5017</v>
      </c>
      <c r="C338">
        <v>2</v>
      </c>
      <c r="D338">
        <v>10.510999999999999</v>
      </c>
      <c r="E338">
        <v>0.60399999999999998</v>
      </c>
      <c r="F338">
        <v>0.39856409254403308</v>
      </c>
      <c r="G338" t="s">
        <v>35</v>
      </c>
    </row>
    <row r="339" spans="1:7" x14ac:dyDescent="0.25">
      <c r="A339" t="s">
        <v>11866</v>
      </c>
      <c r="B339" t="s">
        <v>5017</v>
      </c>
      <c r="C339">
        <v>5</v>
      </c>
      <c r="D339">
        <v>26.016999999999999</v>
      </c>
      <c r="E339">
        <v>0.60399999999999998</v>
      </c>
      <c r="F339">
        <v>0.77605038892754497</v>
      </c>
      <c r="G339" t="s">
        <v>17</v>
      </c>
    </row>
    <row r="340" spans="1:7" x14ac:dyDescent="0.25">
      <c r="A340" t="s">
        <v>14770</v>
      </c>
      <c r="B340" t="s">
        <v>5017</v>
      </c>
      <c r="C340">
        <v>1</v>
      </c>
      <c r="D340">
        <v>12.1</v>
      </c>
      <c r="E340">
        <v>0.58699999999999997</v>
      </c>
      <c r="F340">
        <v>0.78090693412793588</v>
      </c>
      <c r="G340" t="s">
        <v>47</v>
      </c>
    </row>
    <row r="341" spans="1:7" x14ac:dyDescent="0.25">
      <c r="A341" t="s">
        <v>11953</v>
      </c>
      <c r="B341" t="s">
        <v>5017</v>
      </c>
      <c r="C341">
        <v>5</v>
      </c>
      <c r="D341">
        <v>23.39</v>
      </c>
      <c r="E341">
        <v>0.58599999999999997</v>
      </c>
      <c r="F341">
        <v>0.83044905707025329</v>
      </c>
      <c r="G341" t="s">
        <v>17</v>
      </c>
    </row>
    <row r="342" spans="1:7" x14ac:dyDescent="0.25">
      <c r="A342" t="s">
        <v>10602</v>
      </c>
      <c r="B342" t="s">
        <v>5017</v>
      </c>
      <c r="C342">
        <v>2</v>
      </c>
      <c r="D342">
        <v>27.635000000000002</v>
      </c>
      <c r="E342">
        <v>0.57099999999999995</v>
      </c>
      <c r="F342">
        <v>0.62225332327280158</v>
      </c>
      <c r="G342" t="s">
        <v>35</v>
      </c>
    </row>
    <row r="343" spans="1:7" x14ac:dyDescent="0.25">
      <c r="A343" t="s">
        <v>10639</v>
      </c>
      <c r="B343" t="s">
        <v>5017</v>
      </c>
      <c r="C343">
        <v>6</v>
      </c>
      <c r="D343">
        <v>18.222999999999999</v>
      </c>
      <c r="E343">
        <v>0.56399999999999995</v>
      </c>
      <c r="F343">
        <v>0.63583851454424956</v>
      </c>
      <c r="G343" t="s">
        <v>53</v>
      </c>
    </row>
    <row r="344" spans="1:7" x14ac:dyDescent="0.25">
      <c r="A344" t="s">
        <v>5088</v>
      </c>
      <c r="B344" t="s">
        <v>5017</v>
      </c>
      <c r="C344">
        <v>7</v>
      </c>
      <c r="D344">
        <v>23.86</v>
      </c>
      <c r="E344">
        <v>0.56399999999999995</v>
      </c>
      <c r="F344">
        <v>0.7115628075583299</v>
      </c>
      <c r="G344" t="s">
        <v>41</v>
      </c>
    </row>
    <row r="345" spans="1:7" x14ac:dyDescent="0.25">
      <c r="A345" t="s">
        <v>12234</v>
      </c>
      <c r="B345" t="s">
        <v>5017</v>
      </c>
      <c r="C345">
        <v>5</v>
      </c>
      <c r="D345">
        <v>44.732000000000028</v>
      </c>
      <c r="E345">
        <v>0.56000000000000005</v>
      </c>
      <c r="F345">
        <v>0.86097812380415395</v>
      </c>
      <c r="G345" t="s">
        <v>17</v>
      </c>
    </row>
    <row r="346" spans="1:7" x14ac:dyDescent="0.25">
      <c r="A346" t="s">
        <v>8618</v>
      </c>
      <c r="B346" t="s">
        <v>5017</v>
      </c>
      <c r="C346">
        <v>7</v>
      </c>
      <c r="D346">
        <v>25.010999999999999</v>
      </c>
      <c r="E346">
        <v>0.55600000000000005</v>
      </c>
      <c r="F346">
        <v>0.71136464604282867</v>
      </c>
      <c r="G346" t="s">
        <v>41</v>
      </c>
    </row>
    <row r="347" spans="1:7" x14ac:dyDescent="0.25">
      <c r="A347" t="s">
        <v>34</v>
      </c>
      <c r="B347" t="s">
        <v>5017</v>
      </c>
      <c r="C347">
        <v>2</v>
      </c>
      <c r="D347">
        <v>28.493000000000009</v>
      </c>
      <c r="E347">
        <v>0.55300000000000005</v>
      </c>
      <c r="F347">
        <v>0.77451373873931195</v>
      </c>
      <c r="G347" t="s">
        <v>35</v>
      </c>
    </row>
    <row r="348" spans="1:7" x14ac:dyDescent="0.25">
      <c r="A348" t="s">
        <v>13233</v>
      </c>
      <c r="B348" t="s">
        <v>5017</v>
      </c>
      <c r="C348">
        <v>5</v>
      </c>
      <c r="D348">
        <v>33.89500000000001</v>
      </c>
      <c r="E348">
        <v>0.54800000000000004</v>
      </c>
      <c r="F348">
        <v>0.82710640530237556</v>
      </c>
      <c r="G348" t="s">
        <v>17</v>
      </c>
    </row>
    <row r="349" spans="1:7" x14ac:dyDescent="0.25">
      <c r="A349" t="s">
        <v>5510</v>
      </c>
      <c r="B349" t="s">
        <v>5017</v>
      </c>
      <c r="C349">
        <v>1</v>
      </c>
      <c r="D349">
        <v>7.8209999999999997</v>
      </c>
      <c r="E349">
        <v>0.53500000000000003</v>
      </c>
      <c r="F349">
        <v>0.7551615158535786</v>
      </c>
      <c r="G349" t="s">
        <v>47</v>
      </c>
    </row>
    <row r="350" spans="1:7" x14ac:dyDescent="0.25">
      <c r="A350" t="s">
        <v>7813</v>
      </c>
      <c r="B350" t="s">
        <v>5017</v>
      </c>
      <c r="C350">
        <v>5</v>
      </c>
      <c r="D350">
        <v>30.413</v>
      </c>
      <c r="E350">
        <v>0.53500000000000003</v>
      </c>
      <c r="F350">
        <v>0.74364236439443077</v>
      </c>
      <c r="G350" t="s">
        <v>17</v>
      </c>
    </row>
    <row r="351" spans="1:7" x14ac:dyDescent="0.25">
      <c r="A351" t="s">
        <v>11920</v>
      </c>
      <c r="B351" t="s">
        <v>5017</v>
      </c>
      <c r="C351">
        <v>5</v>
      </c>
      <c r="D351">
        <v>45.771999999999977</v>
      </c>
      <c r="E351">
        <v>0.52300000000000002</v>
      </c>
      <c r="F351">
        <v>0.73383471578143789</v>
      </c>
      <c r="G351" t="s">
        <v>17</v>
      </c>
    </row>
    <row r="352" spans="1:7" x14ac:dyDescent="0.25">
      <c r="A352" t="s">
        <v>11902</v>
      </c>
      <c r="B352" t="s">
        <v>5017</v>
      </c>
      <c r="C352">
        <v>5</v>
      </c>
      <c r="D352">
        <v>35.47999999999999</v>
      </c>
      <c r="E352">
        <v>0.51</v>
      </c>
      <c r="F352">
        <v>0.68120234373801103</v>
      </c>
      <c r="G352" t="s">
        <v>17</v>
      </c>
    </row>
    <row r="353" spans="1:7" x14ac:dyDescent="0.25">
      <c r="A353" t="s">
        <v>6215</v>
      </c>
      <c r="B353" t="s">
        <v>5017</v>
      </c>
      <c r="C353">
        <v>3</v>
      </c>
      <c r="D353">
        <v>8.5960000000000001</v>
      </c>
      <c r="E353">
        <v>0.50600000000000001</v>
      </c>
      <c r="F353">
        <v>0.53680033325333132</v>
      </c>
      <c r="G353" t="s">
        <v>65</v>
      </c>
    </row>
    <row r="354" spans="1:7" x14ac:dyDescent="0.25">
      <c r="A354" t="s">
        <v>13797</v>
      </c>
      <c r="B354" t="s">
        <v>5017</v>
      </c>
      <c r="C354">
        <v>5</v>
      </c>
      <c r="D354">
        <v>46.2</v>
      </c>
      <c r="E354">
        <v>0.50600000000000001</v>
      </c>
      <c r="F354">
        <v>0.67179448291528931</v>
      </c>
      <c r="G354" t="s">
        <v>17</v>
      </c>
    </row>
    <row r="355" spans="1:7" x14ac:dyDescent="0.25">
      <c r="A355" t="s">
        <v>15910</v>
      </c>
      <c r="B355" t="s">
        <v>5017</v>
      </c>
      <c r="C355">
        <v>3</v>
      </c>
      <c r="D355">
        <v>15.733000000000001</v>
      </c>
      <c r="E355">
        <v>0.505</v>
      </c>
      <c r="F355">
        <v>0.42704353693905178</v>
      </c>
      <c r="G355" t="s">
        <v>65</v>
      </c>
    </row>
    <row r="356" spans="1:7" x14ac:dyDescent="0.25">
      <c r="A356" t="s">
        <v>12790</v>
      </c>
      <c r="B356" t="s">
        <v>5017</v>
      </c>
      <c r="C356">
        <v>7</v>
      </c>
      <c r="D356">
        <v>6.5789999999999997</v>
      </c>
      <c r="E356">
        <v>0.504</v>
      </c>
      <c r="F356">
        <v>0.60667040991285248</v>
      </c>
      <c r="G356" t="s">
        <v>41</v>
      </c>
    </row>
    <row r="357" spans="1:7" x14ac:dyDescent="0.25">
      <c r="A357" t="s">
        <v>14340</v>
      </c>
      <c r="B357" t="s">
        <v>5017</v>
      </c>
      <c r="C357">
        <v>2</v>
      </c>
      <c r="D357">
        <v>10.847</v>
      </c>
      <c r="E357">
        <v>0.48399999999999999</v>
      </c>
      <c r="F357">
        <v>0.5966840879664137</v>
      </c>
      <c r="G357" t="s">
        <v>35</v>
      </c>
    </row>
    <row r="358" spans="1:7" x14ac:dyDescent="0.25">
      <c r="A358" t="s">
        <v>16094</v>
      </c>
      <c r="B358" t="s">
        <v>5017</v>
      </c>
      <c r="C358">
        <v>6</v>
      </c>
      <c r="D358">
        <v>8.1860000000000017</v>
      </c>
      <c r="E358">
        <v>0.48099999999999998</v>
      </c>
      <c r="F358">
        <v>0.59162245174182104</v>
      </c>
      <c r="G358" t="s">
        <v>53</v>
      </c>
    </row>
    <row r="359" spans="1:7" x14ac:dyDescent="0.25">
      <c r="A359" t="s">
        <v>6567</v>
      </c>
      <c r="B359" t="s">
        <v>5017</v>
      </c>
      <c r="C359">
        <v>7</v>
      </c>
      <c r="D359">
        <v>8.3180000000000014</v>
      </c>
      <c r="E359">
        <v>0.48099999999999998</v>
      </c>
      <c r="F359">
        <v>0.67121885913997392</v>
      </c>
      <c r="G359" t="s">
        <v>41</v>
      </c>
    </row>
    <row r="360" spans="1:7" x14ac:dyDescent="0.25">
      <c r="A360" t="s">
        <v>6517</v>
      </c>
      <c r="B360" t="s">
        <v>5017</v>
      </c>
      <c r="C360">
        <v>2</v>
      </c>
      <c r="D360">
        <v>20.908999999999999</v>
      </c>
      <c r="E360">
        <v>0.47799999999999998</v>
      </c>
      <c r="F360">
        <v>0.57369941794384927</v>
      </c>
      <c r="G360" t="s">
        <v>35</v>
      </c>
    </row>
    <row r="361" spans="1:7" x14ac:dyDescent="0.25">
      <c r="A361" t="s">
        <v>5814</v>
      </c>
      <c r="B361" t="s">
        <v>5017</v>
      </c>
      <c r="C361">
        <v>7</v>
      </c>
      <c r="D361">
        <v>18.613</v>
      </c>
      <c r="E361">
        <v>0.47599999999999998</v>
      </c>
      <c r="F361">
        <v>0.65351051501217472</v>
      </c>
      <c r="G361" t="s">
        <v>41</v>
      </c>
    </row>
    <row r="362" spans="1:7" x14ac:dyDescent="0.25">
      <c r="A362" t="s">
        <v>13438</v>
      </c>
      <c r="B362" t="s">
        <v>5017</v>
      </c>
      <c r="C362">
        <v>3</v>
      </c>
      <c r="D362">
        <v>13.851000000000001</v>
      </c>
      <c r="E362">
        <v>0.47399999999999998</v>
      </c>
      <c r="F362">
        <v>0.52727511560452189</v>
      </c>
      <c r="G362" t="s">
        <v>65</v>
      </c>
    </row>
    <row r="363" spans="1:7" x14ac:dyDescent="0.25">
      <c r="A363" t="s">
        <v>12521</v>
      </c>
      <c r="B363" t="s">
        <v>5017</v>
      </c>
      <c r="C363">
        <v>6</v>
      </c>
      <c r="D363">
        <v>19.425999999999998</v>
      </c>
      <c r="E363">
        <v>0.47099999999999997</v>
      </c>
      <c r="F363">
        <v>0.64934304189134517</v>
      </c>
      <c r="G363" t="s">
        <v>53</v>
      </c>
    </row>
    <row r="364" spans="1:7" x14ac:dyDescent="0.25">
      <c r="A364" t="s">
        <v>11000</v>
      </c>
      <c r="B364" t="s">
        <v>5017</v>
      </c>
      <c r="C364">
        <v>7</v>
      </c>
      <c r="D364">
        <v>20.78</v>
      </c>
      <c r="E364">
        <v>0.47099999999999997</v>
      </c>
      <c r="F364">
        <v>0.64272101436891249</v>
      </c>
      <c r="G364" t="s">
        <v>41</v>
      </c>
    </row>
    <row r="365" spans="1:7" x14ac:dyDescent="0.25">
      <c r="A365" t="s">
        <v>14683</v>
      </c>
      <c r="B365" t="s">
        <v>5017</v>
      </c>
      <c r="C365">
        <v>7</v>
      </c>
      <c r="D365">
        <v>22.763999999999999</v>
      </c>
      <c r="E365">
        <v>0.46899999999999997</v>
      </c>
      <c r="F365">
        <v>0.64635996878706237</v>
      </c>
      <c r="G365" t="s">
        <v>41</v>
      </c>
    </row>
    <row r="366" spans="1:7" x14ac:dyDescent="0.25">
      <c r="A366" t="s">
        <v>8710</v>
      </c>
      <c r="B366" t="s">
        <v>5017</v>
      </c>
      <c r="C366">
        <v>1</v>
      </c>
      <c r="D366">
        <v>24.715</v>
      </c>
      <c r="E366">
        <v>0.46899999999999997</v>
      </c>
      <c r="F366">
        <v>0.54668814047606085</v>
      </c>
      <c r="G366" t="s">
        <v>47</v>
      </c>
    </row>
    <row r="367" spans="1:7" x14ac:dyDescent="0.25">
      <c r="A367" t="s">
        <v>8769</v>
      </c>
      <c r="B367" t="s">
        <v>5017</v>
      </c>
      <c r="C367">
        <v>1</v>
      </c>
      <c r="D367">
        <v>24.715</v>
      </c>
      <c r="E367">
        <v>0.46899999999999997</v>
      </c>
      <c r="F367">
        <v>0.57410986680594522</v>
      </c>
      <c r="G367" t="s">
        <v>47</v>
      </c>
    </row>
    <row r="368" spans="1:7" x14ac:dyDescent="0.25">
      <c r="A368" t="s">
        <v>8772</v>
      </c>
      <c r="B368" t="s">
        <v>5017</v>
      </c>
      <c r="C368">
        <v>1</v>
      </c>
      <c r="D368">
        <v>24.715</v>
      </c>
      <c r="E368">
        <v>0.46899999999999997</v>
      </c>
      <c r="F368">
        <v>0.5992693091423027</v>
      </c>
      <c r="G368" t="s">
        <v>47</v>
      </c>
    </row>
    <row r="369" spans="1:7" x14ac:dyDescent="0.25">
      <c r="A369" t="s">
        <v>148</v>
      </c>
      <c r="B369" t="s">
        <v>5017</v>
      </c>
      <c r="C369">
        <v>1</v>
      </c>
      <c r="D369">
        <v>27.50800000000001</v>
      </c>
      <c r="E369">
        <v>0.46899999999999997</v>
      </c>
      <c r="F369">
        <v>0.6352282368698926</v>
      </c>
      <c r="G369" t="s">
        <v>47</v>
      </c>
    </row>
    <row r="370" spans="1:7" x14ac:dyDescent="0.25">
      <c r="A370" t="s">
        <v>119</v>
      </c>
      <c r="B370" t="s">
        <v>5017</v>
      </c>
      <c r="C370">
        <v>0</v>
      </c>
      <c r="D370">
        <v>8.0580000000000016</v>
      </c>
      <c r="E370">
        <v>0.46300000000000002</v>
      </c>
      <c r="F370">
        <v>0.62550477578495001</v>
      </c>
      <c r="G370" t="s">
        <v>71</v>
      </c>
    </row>
    <row r="371" spans="1:7" x14ac:dyDescent="0.25">
      <c r="A371" t="s">
        <v>6416</v>
      </c>
      <c r="B371" t="s">
        <v>5017</v>
      </c>
      <c r="C371">
        <v>5</v>
      </c>
      <c r="D371">
        <v>45.393000000000008</v>
      </c>
      <c r="E371">
        <v>0.46</v>
      </c>
      <c r="F371">
        <v>0.92955658228028759</v>
      </c>
      <c r="G371" t="s">
        <v>17</v>
      </c>
    </row>
    <row r="372" spans="1:7" x14ac:dyDescent="0.25">
      <c r="A372" t="s">
        <v>16097</v>
      </c>
      <c r="B372" t="s">
        <v>5017</v>
      </c>
      <c r="C372">
        <v>6</v>
      </c>
      <c r="D372">
        <v>8.1890000000000001</v>
      </c>
      <c r="E372">
        <v>0.45500000000000002</v>
      </c>
      <c r="F372">
        <v>0.58901008387790554</v>
      </c>
      <c r="G372" t="s">
        <v>53</v>
      </c>
    </row>
    <row r="373" spans="1:7" x14ac:dyDescent="0.25">
      <c r="A373" t="s">
        <v>56</v>
      </c>
      <c r="B373" t="s">
        <v>5017</v>
      </c>
      <c r="C373">
        <v>6</v>
      </c>
      <c r="D373">
        <v>18.954999999999998</v>
      </c>
      <c r="E373">
        <v>0.45400000000000001</v>
      </c>
      <c r="F373">
        <v>0.66902376820237908</v>
      </c>
      <c r="G373" t="s">
        <v>53</v>
      </c>
    </row>
    <row r="374" spans="1:7" x14ac:dyDescent="0.25">
      <c r="A374" t="s">
        <v>5926</v>
      </c>
      <c r="B374" t="s">
        <v>5017</v>
      </c>
      <c r="C374">
        <v>1</v>
      </c>
      <c r="D374">
        <v>24.463000000000001</v>
      </c>
      <c r="E374">
        <v>0.45100000000000001</v>
      </c>
      <c r="F374">
        <v>0.73868619341280339</v>
      </c>
      <c r="G374" t="s">
        <v>47</v>
      </c>
    </row>
    <row r="375" spans="1:7" x14ac:dyDescent="0.25">
      <c r="A375" t="s">
        <v>14761</v>
      </c>
      <c r="B375" t="s">
        <v>5017</v>
      </c>
      <c r="C375">
        <v>1</v>
      </c>
      <c r="D375">
        <v>19.707999999999998</v>
      </c>
      <c r="E375">
        <v>0.45</v>
      </c>
      <c r="F375">
        <v>0.715157047841254</v>
      </c>
      <c r="G375" t="s">
        <v>47</v>
      </c>
    </row>
    <row r="376" spans="1:7" x14ac:dyDescent="0.25">
      <c r="A376" t="s">
        <v>11096</v>
      </c>
      <c r="B376" t="s">
        <v>5017</v>
      </c>
      <c r="C376">
        <v>3</v>
      </c>
      <c r="D376">
        <v>12.221</v>
      </c>
      <c r="E376">
        <v>0.44900000000000001</v>
      </c>
      <c r="F376">
        <v>0.44682055624446387</v>
      </c>
      <c r="G376" t="s">
        <v>65</v>
      </c>
    </row>
    <row r="377" spans="1:7" x14ac:dyDescent="0.25">
      <c r="A377" t="s">
        <v>11890</v>
      </c>
      <c r="B377" t="s">
        <v>5017</v>
      </c>
      <c r="C377">
        <v>5</v>
      </c>
      <c r="D377">
        <v>47.996000000000031</v>
      </c>
      <c r="E377">
        <v>0.44900000000000001</v>
      </c>
      <c r="F377">
        <v>0.67883659578302979</v>
      </c>
      <c r="G377" t="s">
        <v>17</v>
      </c>
    </row>
    <row r="378" spans="1:7" x14ac:dyDescent="0.25">
      <c r="A378" t="s">
        <v>72</v>
      </c>
      <c r="B378" t="s">
        <v>5017</v>
      </c>
      <c r="C378">
        <v>0</v>
      </c>
      <c r="D378">
        <v>8.2680000000000007</v>
      </c>
      <c r="E378">
        <v>0.44800000000000001</v>
      </c>
      <c r="F378">
        <v>0.72258046303535584</v>
      </c>
      <c r="G378" t="s">
        <v>71</v>
      </c>
    </row>
    <row r="379" spans="1:7" x14ac:dyDescent="0.25">
      <c r="A379" t="s">
        <v>12456</v>
      </c>
      <c r="B379" t="s">
        <v>5017</v>
      </c>
      <c r="C379">
        <v>5</v>
      </c>
      <c r="D379">
        <v>2.34</v>
      </c>
      <c r="E379">
        <v>0.44700000000000001</v>
      </c>
      <c r="F379">
        <v>0.69741870688448793</v>
      </c>
      <c r="G379" t="s">
        <v>17</v>
      </c>
    </row>
    <row r="380" spans="1:7" x14ac:dyDescent="0.25">
      <c r="A380" t="s">
        <v>15494</v>
      </c>
      <c r="B380" t="s">
        <v>5017</v>
      </c>
      <c r="C380">
        <v>5</v>
      </c>
      <c r="D380">
        <v>33.999000000000017</v>
      </c>
      <c r="E380">
        <v>0.44700000000000001</v>
      </c>
      <c r="F380">
        <v>0.76978270874610288</v>
      </c>
      <c r="G380" t="s">
        <v>17</v>
      </c>
    </row>
    <row r="381" spans="1:7" x14ac:dyDescent="0.25">
      <c r="A381" t="s">
        <v>12243</v>
      </c>
      <c r="B381" t="s">
        <v>5017</v>
      </c>
      <c r="C381">
        <v>3</v>
      </c>
      <c r="D381">
        <v>15.874000000000001</v>
      </c>
      <c r="E381">
        <v>0.44500000000000001</v>
      </c>
      <c r="F381">
        <v>0.422587382774884</v>
      </c>
      <c r="G381" t="s">
        <v>65</v>
      </c>
    </row>
    <row r="382" spans="1:7" x14ac:dyDescent="0.25">
      <c r="A382" t="s">
        <v>154</v>
      </c>
      <c r="B382" t="s">
        <v>5017</v>
      </c>
      <c r="C382">
        <v>6</v>
      </c>
      <c r="D382">
        <v>21.140999999999998</v>
      </c>
      <c r="E382">
        <v>0.44400000000000001</v>
      </c>
      <c r="F382">
        <v>0.63953811193057664</v>
      </c>
      <c r="G382" t="s">
        <v>53</v>
      </c>
    </row>
    <row r="383" spans="1:7" x14ac:dyDescent="0.25">
      <c r="A383" t="s">
        <v>12417</v>
      </c>
      <c r="B383" t="s">
        <v>5017</v>
      </c>
      <c r="C383">
        <v>9</v>
      </c>
      <c r="D383">
        <v>4.78</v>
      </c>
      <c r="E383">
        <v>0.442</v>
      </c>
      <c r="F383">
        <v>0.72671144098534313</v>
      </c>
      <c r="G383" t="s">
        <v>29</v>
      </c>
    </row>
    <row r="384" spans="1:7" x14ac:dyDescent="0.25">
      <c r="A384" t="s">
        <v>8155</v>
      </c>
      <c r="B384" t="s">
        <v>5017</v>
      </c>
      <c r="C384">
        <v>5</v>
      </c>
      <c r="D384">
        <v>73.093999999999923</v>
      </c>
      <c r="E384">
        <v>0.442</v>
      </c>
      <c r="F384">
        <v>0.74791347987499124</v>
      </c>
      <c r="G384" t="s">
        <v>17</v>
      </c>
    </row>
    <row r="385" spans="1:7" x14ac:dyDescent="0.25">
      <c r="A385" t="s">
        <v>137</v>
      </c>
      <c r="B385" t="s">
        <v>5017</v>
      </c>
      <c r="C385">
        <v>8</v>
      </c>
      <c r="D385">
        <v>31.22999999999999</v>
      </c>
      <c r="E385">
        <v>0.441</v>
      </c>
      <c r="F385">
        <v>0.70784319741645063</v>
      </c>
      <c r="G385" t="s">
        <v>23</v>
      </c>
    </row>
    <row r="386" spans="1:7" x14ac:dyDescent="0.25">
      <c r="A386" t="s">
        <v>135</v>
      </c>
      <c r="B386" t="s">
        <v>5017</v>
      </c>
      <c r="C386">
        <v>8</v>
      </c>
      <c r="D386">
        <v>31.43399999999999</v>
      </c>
      <c r="E386">
        <v>0.441</v>
      </c>
      <c r="F386">
        <v>0.71417725470807736</v>
      </c>
      <c r="G386" t="s">
        <v>23</v>
      </c>
    </row>
    <row r="387" spans="1:7" x14ac:dyDescent="0.25">
      <c r="A387" t="s">
        <v>136</v>
      </c>
      <c r="B387" t="s">
        <v>5017</v>
      </c>
      <c r="C387">
        <v>8</v>
      </c>
      <c r="D387">
        <v>31.43399999999999</v>
      </c>
      <c r="E387">
        <v>0.441</v>
      </c>
      <c r="F387">
        <v>0.71459675670500911</v>
      </c>
      <c r="G387" t="s">
        <v>23</v>
      </c>
    </row>
    <row r="388" spans="1:7" x14ac:dyDescent="0.25">
      <c r="A388" t="s">
        <v>12339</v>
      </c>
      <c r="B388" t="s">
        <v>5017</v>
      </c>
      <c r="C388">
        <v>8</v>
      </c>
      <c r="D388">
        <v>8.5729999999999986</v>
      </c>
      <c r="E388">
        <v>0.44</v>
      </c>
      <c r="F388">
        <v>0.49771331214991787</v>
      </c>
      <c r="G388" t="s">
        <v>23</v>
      </c>
    </row>
    <row r="389" spans="1:7" x14ac:dyDescent="0.25">
      <c r="A389" t="s">
        <v>14371</v>
      </c>
      <c r="B389" t="s">
        <v>5017</v>
      </c>
      <c r="C389">
        <v>2</v>
      </c>
      <c r="D389">
        <v>4.1909999999999998</v>
      </c>
      <c r="E389">
        <v>0.438</v>
      </c>
      <c r="F389">
        <v>0.49558319255221928</v>
      </c>
      <c r="G389" t="s">
        <v>35</v>
      </c>
    </row>
    <row r="390" spans="1:7" x14ac:dyDescent="0.25">
      <c r="A390" t="s">
        <v>16477</v>
      </c>
      <c r="B390" t="s">
        <v>5017</v>
      </c>
      <c r="C390">
        <v>6</v>
      </c>
      <c r="D390">
        <v>18.274000000000001</v>
      </c>
      <c r="E390">
        <v>0.437</v>
      </c>
      <c r="F390">
        <v>0.66679002469698789</v>
      </c>
      <c r="G390" t="s">
        <v>53</v>
      </c>
    </row>
    <row r="391" spans="1:7" x14ac:dyDescent="0.25">
      <c r="A391" t="s">
        <v>39</v>
      </c>
      <c r="B391" t="s">
        <v>5017</v>
      </c>
      <c r="C391">
        <v>2</v>
      </c>
      <c r="D391">
        <v>11.867000000000001</v>
      </c>
      <c r="E391">
        <v>0.434</v>
      </c>
      <c r="F391">
        <v>0.70477392063035937</v>
      </c>
      <c r="G391" t="s">
        <v>35</v>
      </c>
    </row>
    <row r="392" spans="1:7" x14ac:dyDescent="0.25">
      <c r="A392" t="s">
        <v>10406</v>
      </c>
      <c r="B392" t="s">
        <v>5017</v>
      </c>
      <c r="C392">
        <v>5</v>
      </c>
      <c r="D392">
        <v>32.502999999999993</v>
      </c>
      <c r="E392">
        <v>0.434</v>
      </c>
      <c r="F392">
        <v>0.75760664306424674</v>
      </c>
      <c r="G392" t="s">
        <v>17</v>
      </c>
    </row>
    <row r="393" spans="1:7" x14ac:dyDescent="0.25">
      <c r="A393" t="s">
        <v>11893</v>
      </c>
      <c r="B393" t="s">
        <v>5017</v>
      </c>
      <c r="C393">
        <v>5</v>
      </c>
      <c r="D393">
        <v>55.810000000000038</v>
      </c>
      <c r="E393">
        <v>0.432</v>
      </c>
      <c r="F393">
        <v>0.74324908438094439</v>
      </c>
      <c r="G393" t="s">
        <v>17</v>
      </c>
    </row>
    <row r="394" spans="1:7" x14ac:dyDescent="0.25">
      <c r="A394" t="s">
        <v>12336</v>
      </c>
      <c r="B394" t="s">
        <v>5017</v>
      </c>
      <c r="C394">
        <v>3</v>
      </c>
      <c r="D394">
        <v>14.097</v>
      </c>
      <c r="E394">
        <v>0.43099999999999999</v>
      </c>
      <c r="F394">
        <v>0.43223613472591688</v>
      </c>
      <c r="G394" t="s">
        <v>65</v>
      </c>
    </row>
    <row r="395" spans="1:7" x14ac:dyDescent="0.25">
      <c r="A395" t="s">
        <v>12871</v>
      </c>
      <c r="B395" t="s">
        <v>5017</v>
      </c>
      <c r="C395">
        <v>7</v>
      </c>
      <c r="D395">
        <v>13.303000000000001</v>
      </c>
      <c r="E395">
        <v>0.42899999999999999</v>
      </c>
      <c r="F395">
        <v>0.7329838109680934</v>
      </c>
      <c r="G395" t="s">
        <v>41</v>
      </c>
    </row>
    <row r="396" spans="1:7" x14ac:dyDescent="0.25">
      <c r="A396" t="s">
        <v>12889</v>
      </c>
      <c r="B396" t="s">
        <v>5017</v>
      </c>
      <c r="C396">
        <v>6</v>
      </c>
      <c r="D396">
        <v>7.1560000000000006</v>
      </c>
      <c r="E396">
        <v>0.42499999999999999</v>
      </c>
      <c r="F396">
        <v>0.60271267265919726</v>
      </c>
      <c r="G396" t="s">
        <v>53</v>
      </c>
    </row>
    <row r="397" spans="1:7" x14ac:dyDescent="0.25">
      <c r="A397" t="s">
        <v>11427</v>
      </c>
      <c r="B397" t="s">
        <v>5017</v>
      </c>
      <c r="C397">
        <v>5</v>
      </c>
      <c r="D397">
        <v>19.457999999999998</v>
      </c>
      <c r="E397">
        <v>0.42</v>
      </c>
      <c r="F397">
        <v>0.85243857556694491</v>
      </c>
      <c r="G397" t="s">
        <v>17</v>
      </c>
    </row>
    <row r="398" spans="1:7" x14ac:dyDescent="0.25">
      <c r="A398" t="s">
        <v>14764</v>
      </c>
      <c r="B398" t="s">
        <v>5017</v>
      </c>
      <c r="C398">
        <v>1</v>
      </c>
      <c r="D398">
        <v>15.608000000000001</v>
      </c>
      <c r="E398">
        <v>0.41899999999999998</v>
      </c>
      <c r="F398">
        <v>0.6766779273131508</v>
      </c>
      <c r="G398" t="s">
        <v>47</v>
      </c>
    </row>
    <row r="399" spans="1:7" x14ac:dyDescent="0.25">
      <c r="A399" t="s">
        <v>159</v>
      </c>
      <c r="B399" t="s">
        <v>5017</v>
      </c>
      <c r="C399">
        <v>0</v>
      </c>
      <c r="D399">
        <v>10.585000000000001</v>
      </c>
      <c r="E399">
        <v>0.41799999999999998</v>
      </c>
      <c r="F399">
        <v>0.56919144409483469</v>
      </c>
      <c r="G399" t="s">
        <v>71</v>
      </c>
    </row>
    <row r="400" spans="1:7" x14ac:dyDescent="0.25">
      <c r="A400" t="s">
        <v>5614</v>
      </c>
      <c r="B400" t="s">
        <v>5017</v>
      </c>
      <c r="C400">
        <v>0</v>
      </c>
      <c r="D400">
        <v>3.7269999999999999</v>
      </c>
      <c r="E400">
        <v>0.41499999999999998</v>
      </c>
      <c r="F400">
        <v>0.53532307867400775</v>
      </c>
      <c r="G400" t="s">
        <v>71</v>
      </c>
    </row>
    <row r="401" spans="1:7" x14ac:dyDescent="0.25">
      <c r="A401" t="s">
        <v>5979</v>
      </c>
      <c r="B401" t="s">
        <v>5017</v>
      </c>
      <c r="C401">
        <v>5</v>
      </c>
      <c r="D401">
        <v>10.49</v>
      </c>
      <c r="E401">
        <v>0.41199999999999998</v>
      </c>
      <c r="F401">
        <v>0.69181583834638305</v>
      </c>
      <c r="G401" t="s">
        <v>17</v>
      </c>
    </row>
    <row r="402" spans="1:7" x14ac:dyDescent="0.25">
      <c r="A402" t="s">
        <v>11075</v>
      </c>
      <c r="B402" t="s">
        <v>5017</v>
      </c>
      <c r="C402">
        <v>7</v>
      </c>
      <c r="D402">
        <v>2.2949999999999999</v>
      </c>
      <c r="E402">
        <v>0.40799999999999997</v>
      </c>
      <c r="F402">
        <v>0.62309948354521383</v>
      </c>
      <c r="G402" t="s">
        <v>41</v>
      </c>
    </row>
    <row r="403" spans="1:7" x14ac:dyDescent="0.25">
      <c r="A403" t="s">
        <v>16375</v>
      </c>
      <c r="B403" t="s">
        <v>5017</v>
      </c>
      <c r="C403">
        <v>3</v>
      </c>
      <c r="D403">
        <v>9.3060000000000009</v>
      </c>
      <c r="E403">
        <v>0.40500000000000003</v>
      </c>
      <c r="F403">
        <v>0.4569668106516967</v>
      </c>
      <c r="G403" t="s">
        <v>65</v>
      </c>
    </row>
    <row r="404" spans="1:7" x14ac:dyDescent="0.25">
      <c r="A404" t="s">
        <v>10108</v>
      </c>
      <c r="B404" t="s">
        <v>5017</v>
      </c>
      <c r="C404">
        <v>7</v>
      </c>
      <c r="D404">
        <v>11.632</v>
      </c>
      <c r="E404">
        <v>0.40200000000000002</v>
      </c>
      <c r="F404">
        <v>0.60895557721626259</v>
      </c>
      <c r="G404" t="s">
        <v>41</v>
      </c>
    </row>
    <row r="405" spans="1:7" x14ac:dyDescent="0.25">
      <c r="A405" t="s">
        <v>155</v>
      </c>
      <c r="B405" t="s">
        <v>5017</v>
      </c>
      <c r="C405">
        <v>6</v>
      </c>
      <c r="D405">
        <v>20.862999999999989</v>
      </c>
      <c r="E405">
        <v>0.40200000000000002</v>
      </c>
      <c r="F405">
        <v>0.63983487859514421</v>
      </c>
      <c r="G405" t="s">
        <v>53</v>
      </c>
    </row>
    <row r="406" spans="1:7" x14ac:dyDescent="0.25">
      <c r="A406" t="s">
        <v>55</v>
      </c>
      <c r="B406" t="s">
        <v>5017</v>
      </c>
      <c r="C406">
        <v>6</v>
      </c>
      <c r="D406">
        <v>19.309000000000001</v>
      </c>
      <c r="E406">
        <v>0.40100000000000002</v>
      </c>
      <c r="F406">
        <v>0.67380262055185358</v>
      </c>
      <c r="G406" t="s">
        <v>53</v>
      </c>
    </row>
    <row r="407" spans="1:7" x14ac:dyDescent="0.25">
      <c r="A407" t="s">
        <v>15916</v>
      </c>
      <c r="B407" t="s">
        <v>5017</v>
      </c>
      <c r="C407">
        <v>3</v>
      </c>
      <c r="D407">
        <v>15.547000000000001</v>
      </c>
      <c r="E407">
        <v>0.4</v>
      </c>
      <c r="F407">
        <v>0.43289466004259908</v>
      </c>
      <c r="G407" t="s">
        <v>65</v>
      </c>
    </row>
    <row r="408" spans="1:7" x14ac:dyDescent="0.25">
      <c r="A408" t="s">
        <v>14728</v>
      </c>
      <c r="B408" t="s">
        <v>5017</v>
      </c>
      <c r="C408">
        <v>2</v>
      </c>
      <c r="D408">
        <v>19.867000000000001</v>
      </c>
      <c r="E408">
        <v>0.4</v>
      </c>
      <c r="F408">
        <v>0.60897894554203302</v>
      </c>
      <c r="G408" t="s">
        <v>35</v>
      </c>
    </row>
    <row r="409" spans="1:7" x14ac:dyDescent="0.25">
      <c r="A409" t="s">
        <v>11959</v>
      </c>
      <c r="B409" t="s">
        <v>5017</v>
      </c>
      <c r="C409">
        <v>5</v>
      </c>
      <c r="D409">
        <v>88.466999999999871</v>
      </c>
      <c r="E409">
        <v>0.4</v>
      </c>
      <c r="F409">
        <v>0.79984043652597847</v>
      </c>
      <c r="G409" t="s">
        <v>17</v>
      </c>
    </row>
    <row r="410" spans="1:7" x14ac:dyDescent="0.25">
      <c r="A410" t="s">
        <v>5775</v>
      </c>
      <c r="B410" t="s">
        <v>5017</v>
      </c>
      <c r="C410">
        <v>0</v>
      </c>
      <c r="D410">
        <v>0.92900000000000005</v>
      </c>
      <c r="E410">
        <v>0</v>
      </c>
      <c r="F410">
        <v>0.41270559335121398</v>
      </c>
      <c r="G410" t="s">
        <v>71</v>
      </c>
    </row>
    <row r="411" spans="1:7" x14ac:dyDescent="0.25">
      <c r="A411" t="s">
        <v>43</v>
      </c>
      <c r="B411" t="s">
        <v>5017</v>
      </c>
      <c r="C411">
        <v>7</v>
      </c>
      <c r="D411">
        <v>1.9650000000000001</v>
      </c>
      <c r="E411">
        <v>0</v>
      </c>
      <c r="F411">
        <v>0.78117911868158152</v>
      </c>
      <c r="G411" t="s">
        <v>41</v>
      </c>
    </row>
    <row r="412" spans="1:7" x14ac:dyDescent="0.25">
      <c r="A412" t="s">
        <v>15841</v>
      </c>
      <c r="B412" t="s">
        <v>5017</v>
      </c>
      <c r="C412">
        <v>8</v>
      </c>
      <c r="D412">
        <v>1.9650000000000001</v>
      </c>
      <c r="E412">
        <v>0</v>
      </c>
      <c r="F412">
        <v>0.48387260874488458</v>
      </c>
      <c r="G412" t="s">
        <v>23</v>
      </c>
    </row>
    <row r="413" spans="1:7" x14ac:dyDescent="0.25">
      <c r="A413" t="s">
        <v>6374</v>
      </c>
      <c r="B413" t="s">
        <v>5017</v>
      </c>
      <c r="C413">
        <v>8</v>
      </c>
      <c r="D413">
        <v>2.0659999999999998</v>
      </c>
      <c r="E413">
        <v>0</v>
      </c>
      <c r="F413">
        <v>0.39916125954455067</v>
      </c>
      <c r="G413" t="s">
        <v>23</v>
      </c>
    </row>
    <row r="414" spans="1:7" x14ac:dyDescent="0.25">
      <c r="A414" t="s">
        <v>5626</v>
      </c>
      <c r="B414" t="s">
        <v>5017</v>
      </c>
      <c r="C414">
        <v>0</v>
      </c>
      <c r="D414">
        <v>2.133</v>
      </c>
      <c r="E414">
        <v>0</v>
      </c>
      <c r="F414">
        <v>0.67197943051707698</v>
      </c>
      <c r="G414" t="s">
        <v>71</v>
      </c>
    </row>
    <row r="415" spans="1:7" x14ac:dyDescent="0.25">
      <c r="A415" t="s">
        <v>15760</v>
      </c>
      <c r="B415" t="s">
        <v>5017</v>
      </c>
      <c r="C415">
        <v>6</v>
      </c>
      <c r="D415">
        <v>2.358000000000001</v>
      </c>
      <c r="E415">
        <v>0</v>
      </c>
      <c r="F415">
        <v>0.56103947709124713</v>
      </c>
      <c r="G415" t="s">
        <v>53</v>
      </c>
    </row>
    <row r="416" spans="1:7" x14ac:dyDescent="0.25">
      <c r="A416" t="s">
        <v>5248</v>
      </c>
      <c r="B416" t="s">
        <v>5017</v>
      </c>
      <c r="C416">
        <v>8</v>
      </c>
      <c r="D416">
        <v>3.2989999999999999</v>
      </c>
      <c r="E416">
        <v>0</v>
      </c>
      <c r="F416">
        <v>0.50509310411981301</v>
      </c>
      <c r="G416" t="s">
        <v>23</v>
      </c>
    </row>
    <row r="417" spans="1:7" x14ac:dyDescent="0.25">
      <c r="A417" t="s">
        <v>13433</v>
      </c>
      <c r="B417" t="s">
        <v>5017</v>
      </c>
      <c r="C417">
        <v>9</v>
      </c>
      <c r="D417">
        <v>3.3119999999999998</v>
      </c>
      <c r="E417">
        <v>0</v>
      </c>
      <c r="F417">
        <v>0.72696768273663315</v>
      </c>
      <c r="G417" t="s">
        <v>29</v>
      </c>
    </row>
    <row r="418" spans="1:7" x14ac:dyDescent="0.25">
      <c r="A418" t="s">
        <v>10693</v>
      </c>
      <c r="B418" t="s">
        <v>5017</v>
      </c>
      <c r="C418">
        <v>7</v>
      </c>
      <c r="D418">
        <v>3.612000000000001</v>
      </c>
      <c r="E418">
        <v>0</v>
      </c>
      <c r="F418">
        <v>0.64498077964980771</v>
      </c>
      <c r="G418" t="s">
        <v>41</v>
      </c>
    </row>
    <row r="419" spans="1:7" x14ac:dyDescent="0.25">
      <c r="A419" t="s">
        <v>12647</v>
      </c>
      <c r="B419" t="s">
        <v>5017</v>
      </c>
      <c r="C419">
        <v>2</v>
      </c>
      <c r="D419">
        <v>3.7610000000000001</v>
      </c>
      <c r="E419">
        <v>0</v>
      </c>
      <c r="F419">
        <v>0.53809540536073175</v>
      </c>
      <c r="G419" t="s">
        <v>35</v>
      </c>
    </row>
    <row r="420" spans="1:7" x14ac:dyDescent="0.25">
      <c r="A420" t="s">
        <v>27</v>
      </c>
      <c r="B420" t="s">
        <v>5017</v>
      </c>
      <c r="C420">
        <v>8</v>
      </c>
      <c r="D420">
        <v>3.826000000000001</v>
      </c>
      <c r="E420">
        <v>0</v>
      </c>
      <c r="F420">
        <v>0.76441693546479428</v>
      </c>
      <c r="G420" t="s">
        <v>23</v>
      </c>
    </row>
    <row r="421" spans="1:7" x14ac:dyDescent="0.25">
      <c r="A421" t="s">
        <v>15046</v>
      </c>
      <c r="B421" t="s">
        <v>5017</v>
      </c>
      <c r="C421">
        <v>7</v>
      </c>
      <c r="D421">
        <v>4.1080000000000014</v>
      </c>
      <c r="E421">
        <v>0</v>
      </c>
      <c r="F421">
        <v>0.67058370076832863</v>
      </c>
      <c r="G421" t="s">
        <v>41</v>
      </c>
    </row>
    <row r="422" spans="1:7" x14ac:dyDescent="0.25">
      <c r="A422" t="s">
        <v>11754</v>
      </c>
      <c r="B422" t="s">
        <v>5017</v>
      </c>
      <c r="C422">
        <v>2</v>
      </c>
      <c r="D422">
        <v>4.258</v>
      </c>
      <c r="E422">
        <v>0</v>
      </c>
      <c r="F422">
        <v>0.47899807297425251</v>
      </c>
      <c r="G422" t="s">
        <v>35</v>
      </c>
    </row>
    <row r="423" spans="1:7" x14ac:dyDescent="0.25">
      <c r="A423" t="s">
        <v>16041</v>
      </c>
      <c r="B423" t="s">
        <v>5017</v>
      </c>
      <c r="C423">
        <v>5</v>
      </c>
      <c r="D423">
        <v>4.2880000000000003</v>
      </c>
      <c r="E423">
        <v>0</v>
      </c>
      <c r="F423">
        <v>0.73564022080726232</v>
      </c>
      <c r="G423" t="s">
        <v>17</v>
      </c>
    </row>
    <row r="424" spans="1:7" x14ac:dyDescent="0.25">
      <c r="A424" t="s">
        <v>12213</v>
      </c>
      <c r="B424" t="s">
        <v>5017</v>
      </c>
      <c r="C424">
        <v>7</v>
      </c>
      <c r="D424">
        <v>4.3259999999999996</v>
      </c>
      <c r="E424">
        <v>0</v>
      </c>
      <c r="F424">
        <v>0.62591654929398455</v>
      </c>
      <c r="G424" t="s">
        <v>41</v>
      </c>
    </row>
    <row r="425" spans="1:7" x14ac:dyDescent="0.25">
      <c r="A425" t="s">
        <v>9880</v>
      </c>
      <c r="B425" t="s">
        <v>5017</v>
      </c>
      <c r="C425">
        <v>8</v>
      </c>
      <c r="D425">
        <v>4.3689999999999998</v>
      </c>
      <c r="E425">
        <v>0</v>
      </c>
      <c r="F425">
        <v>0.66396069055266238</v>
      </c>
      <c r="G425" t="s">
        <v>23</v>
      </c>
    </row>
    <row r="426" spans="1:7" x14ac:dyDescent="0.25">
      <c r="A426" t="s">
        <v>12342</v>
      </c>
      <c r="B426" t="s">
        <v>5017</v>
      </c>
      <c r="C426">
        <v>5</v>
      </c>
      <c r="D426">
        <v>4.4430000000000014</v>
      </c>
      <c r="E426">
        <v>0</v>
      </c>
      <c r="F426">
        <v>0.75605218027250642</v>
      </c>
      <c r="G426" t="s">
        <v>17</v>
      </c>
    </row>
    <row r="427" spans="1:7" x14ac:dyDescent="0.25">
      <c r="A427" t="s">
        <v>73</v>
      </c>
      <c r="B427" t="s">
        <v>5017</v>
      </c>
      <c r="C427">
        <v>0</v>
      </c>
      <c r="D427">
        <v>4.5650000000000013</v>
      </c>
      <c r="E427">
        <v>0</v>
      </c>
      <c r="F427">
        <v>0.70894845932647121</v>
      </c>
      <c r="G427" t="s">
        <v>71</v>
      </c>
    </row>
    <row r="428" spans="1:7" x14ac:dyDescent="0.25">
      <c r="A428" t="s">
        <v>15461</v>
      </c>
      <c r="B428" t="s">
        <v>5017</v>
      </c>
      <c r="C428">
        <v>0</v>
      </c>
      <c r="D428">
        <v>4.9889999999999999</v>
      </c>
      <c r="E428">
        <v>0</v>
      </c>
      <c r="F428">
        <v>0.46916686796173768</v>
      </c>
      <c r="G428" t="s">
        <v>71</v>
      </c>
    </row>
    <row r="429" spans="1:7" x14ac:dyDescent="0.25">
      <c r="A429" t="s">
        <v>6069</v>
      </c>
      <c r="B429" t="s">
        <v>5017</v>
      </c>
      <c r="C429">
        <v>3</v>
      </c>
      <c r="D429">
        <v>5.0290000000000008</v>
      </c>
      <c r="E429">
        <v>0</v>
      </c>
      <c r="F429">
        <v>0.4673697431940283</v>
      </c>
      <c r="G429" t="s">
        <v>65</v>
      </c>
    </row>
    <row r="430" spans="1:7" x14ac:dyDescent="0.25">
      <c r="A430" t="s">
        <v>5755</v>
      </c>
      <c r="B430" t="s">
        <v>5017</v>
      </c>
      <c r="C430">
        <v>5</v>
      </c>
      <c r="D430">
        <v>5.1250000000000009</v>
      </c>
      <c r="E430">
        <v>0</v>
      </c>
      <c r="F430">
        <v>0.84263633482211209</v>
      </c>
      <c r="G430" t="s">
        <v>17</v>
      </c>
    </row>
    <row r="431" spans="1:7" x14ac:dyDescent="0.25">
      <c r="A431" t="s">
        <v>5206</v>
      </c>
      <c r="B431" t="s">
        <v>5017</v>
      </c>
      <c r="C431">
        <v>5</v>
      </c>
      <c r="D431">
        <v>5.3</v>
      </c>
      <c r="E431">
        <v>0</v>
      </c>
      <c r="F431">
        <v>0.55634270457210444</v>
      </c>
      <c r="G431" t="s">
        <v>17</v>
      </c>
    </row>
    <row r="432" spans="1:7" x14ac:dyDescent="0.25">
      <c r="A432" t="s">
        <v>11388</v>
      </c>
      <c r="B432" t="s">
        <v>5017</v>
      </c>
      <c r="C432">
        <v>1</v>
      </c>
      <c r="D432">
        <v>5.67</v>
      </c>
      <c r="E432">
        <v>0</v>
      </c>
      <c r="F432">
        <v>0.66137068577206892</v>
      </c>
      <c r="G432" t="s">
        <v>47</v>
      </c>
    </row>
    <row r="433" spans="1:7" x14ac:dyDescent="0.25">
      <c r="A433" t="s">
        <v>5650</v>
      </c>
      <c r="B433" t="s">
        <v>5017</v>
      </c>
      <c r="C433">
        <v>8</v>
      </c>
      <c r="D433">
        <v>5.7640000000000002</v>
      </c>
      <c r="E433">
        <v>0</v>
      </c>
      <c r="F433">
        <v>0.58453204021223837</v>
      </c>
      <c r="G433" t="s">
        <v>23</v>
      </c>
    </row>
    <row r="434" spans="1:7" x14ac:dyDescent="0.25">
      <c r="A434" t="s">
        <v>5890</v>
      </c>
      <c r="B434" t="s">
        <v>5017</v>
      </c>
      <c r="C434">
        <v>7</v>
      </c>
      <c r="D434">
        <v>5.8690000000000007</v>
      </c>
      <c r="E434">
        <v>0</v>
      </c>
      <c r="F434">
        <v>0.67074057737047732</v>
      </c>
      <c r="G434" t="s">
        <v>41</v>
      </c>
    </row>
    <row r="435" spans="1:7" x14ac:dyDescent="0.25">
      <c r="A435" t="s">
        <v>11145</v>
      </c>
      <c r="B435" t="s">
        <v>5017</v>
      </c>
      <c r="C435">
        <v>0</v>
      </c>
      <c r="D435">
        <v>6.27</v>
      </c>
      <c r="E435">
        <v>0</v>
      </c>
      <c r="F435">
        <v>0.63846639518902926</v>
      </c>
      <c r="G435" t="s">
        <v>71</v>
      </c>
    </row>
    <row r="436" spans="1:7" x14ac:dyDescent="0.25">
      <c r="A436" t="s">
        <v>15928</v>
      </c>
      <c r="B436" t="s">
        <v>5017</v>
      </c>
      <c r="C436">
        <v>9</v>
      </c>
      <c r="D436">
        <v>6.3029999999999999</v>
      </c>
      <c r="E436">
        <v>0</v>
      </c>
      <c r="F436">
        <v>0.75797957450811182</v>
      </c>
      <c r="G436" t="s">
        <v>29</v>
      </c>
    </row>
    <row r="437" spans="1:7" x14ac:dyDescent="0.25">
      <c r="A437" t="s">
        <v>74</v>
      </c>
      <c r="B437" t="s">
        <v>5017</v>
      </c>
      <c r="C437">
        <v>0</v>
      </c>
      <c r="D437">
        <v>6.8090000000000011</v>
      </c>
      <c r="E437">
        <v>0</v>
      </c>
      <c r="F437">
        <v>0.70880052010698535</v>
      </c>
      <c r="G437" t="s">
        <v>71</v>
      </c>
    </row>
    <row r="438" spans="1:7" x14ac:dyDescent="0.25">
      <c r="A438" t="s">
        <v>13406</v>
      </c>
      <c r="B438" t="s">
        <v>5017</v>
      </c>
      <c r="C438">
        <v>5</v>
      </c>
      <c r="D438">
        <v>6.8580000000000014</v>
      </c>
      <c r="E438">
        <v>0</v>
      </c>
      <c r="F438">
        <v>0.75437012330649678</v>
      </c>
      <c r="G438" t="s">
        <v>17</v>
      </c>
    </row>
    <row r="439" spans="1:7" x14ac:dyDescent="0.25">
      <c r="A439" t="s">
        <v>13640</v>
      </c>
      <c r="B439" t="s">
        <v>5017</v>
      </c>
      <c r="C439">
        <v>7</v>
      </c>
      <c r="D439">
        <v>6.9109999999999996</v>
      </c>
      <c r="E439">
        <v>0</v>
      </c>
      <c r="F439">
        <v>0.64453772535568699</v>
      </c>
      <c r="G439" t="s">
        <v>41</v>
      </c>
    </row>
    <row r="440" spans="1:7" x14ac:dyDescent="0.25">
      <c r="A440" t="s">
        <v>11142</v>
      </c>
      <c r="B440" t="s">
        <v>5017</v>
      </c>
      <c r="C440">
        <v>7</v>
      </c>
      <c r="D440">
        <v>6.923</v>
      </c>
      <c r="E440">
        <v>0</v>
      </c>
      <c r="F440">
        <v>0.62575777735903226</v>
      </c>
      <c r="G440" t="s">
        <v>41</v>
      </c>
    </row>
    <row r="441" spans="1:7" x14ac:dyDescent="0.25">
      <c r="A441" t="s">
        <v>11457</v>
      </c>
      <c r="B441" t="s">
        <v>5017</v>
      </c>
      <c r="C441">
        <v>0</v>
      </c>
      <c r="D441">
        <v>6.9900000000000011</v>
      </c>
      <c r="E441">
        <v>0</v>
      </c>
      <c r="F441">
        <v>0.57743157098042897</v>
      </c>
      <c r="G441" t="s">
        <v>71</v>
      </c>
    </row>
    <row r="442" spans="1:7" x14ac:dyDescent="0.25">
      <c r="A442" t="s">
        <v>13033</v>
      </c>
      <c r="B442" t="s">
        <v>5017</v>
      </c>
      <c r="C442">
        <v>0</v>
      </c>
      <c r="D442">
        <v>7.1350000000000016</v>
      </c>
      <c r="E442">
        <v>0</v>
      </c>
      <c r="F442">
        <v>0.6206105970560406</v>
      </c>
      <c r="G442" t="s">
        <v>71</v>
      </c>
    </row>
    <row r="443" spans="1:7" x14ac:dyDescent="0.25">
      <c r="A443" t="s">
        <v>5184</v>
      </c>
      <c r="B443" t="s">
        <v>5017</v>
      </c>
      <c r="C443">
        <v>8</v>
      </c>
      <c r="D443">
        <v>7.1529999999999987</v>
      </c>
      <c r="E443">
        <v>0</v>
      </c>
      <c r="F443">
        <v>0.52676350652556136</v>
      </c>
      <c r="G443" t="s">
        <v>23</v>
      </c>
    </row>
    <row r="444" spans="1:7" x14ac:dyDescent="0.25">
      <c r="A444" t="s">
        <v>10102</v>
      </c>
      <c r="B444" t="s">
        <v>5017</v>
      </c>
      <c r="C444">
        <v>7</v>
      </c>
      <c r="D444">
        <v>7.214999999999999</v>
      </c>
      <c r="E444">
        <v>0</v>
      </c>
      <c r="F444">
        <v>0.67263420504583982</v>
      </c>
      <c r="G444" t="s">
        <v>41</v>
      </c>
    </row>
    <row r="445" spans="1:7" x14ac:dyDescent="0.25">
      <c r="A445" t="s">
        <v>13979</v>
      </c>
      <c r="B445" t="s">
        <v>5017</v>
      </c>
      <c r="C445">
        <v>3</v>
      </c>
      <c r="D445">
        <v>7.4960000000000004</v>
      </c>
      <c r="E445">
        <v>0</v>
      </c>
      <c r="F445">
        <v>0.39585464911652302</v>
      </c>
      <c r="G445" t="s">
        <v>65</v>
      </c>
    </row>
    <row r="446" spans="1:7" x14ac:dyDescent="0.25">
      <c r="A446" t="s">
        <v>10997</v>
      </c>
      <c r="B446" t="s">
        <v>5017</v>
      </c>
      <c r="C446">
        <v>7</v>
      </c>
      <c r="D446">
        <v>7.8839999999999986</v>
      </c>
      <c r="E446">
        <v>0</v>
      </c>
      <c r="F446">
        <v>0.66878773436313588</v>
      </c>
      <c r="G446" t="s">
        <v>41</v>
      </c>
    </row>
    <row r="447" spans="1:7" x14ac:dyDescent="0.25">
      <c r="A447" t="s">
        <v>6455</v>
      </c>
      <c r="B447" t="s">
        <v>5017</v>
      </c>
      <c r="C447">
        <v>3</v>
      </c>
      <c r="D447">
        <v>8.0789999999999988</v>
      </c>
      <c r="E447">
        <v>0</v>
      </c>
      <c r="F447">
        <v>0.47547148468844691</v>
      </c>
      <c r="G447" t="s">
        <v>65</v>
      </c>
    </row>
    <row r="448" spans="1:7" x14ac:dyDescent="0.25">
      <c r="A448" t="s">
        <v>15518</v>
      </c>
      <c r="B448" t="s">
        <v>5017</v>
      </c>
      <c r="C448">
        <v>0</v>
      </c>
      <c r="D448">
        <v>8.1349999999999998</v>
      </c>
      <c r="E448">
        <v>0</v>
      </c>
      <c r="F448">
        <v>0.66513881068291336</v>
      </c>
      <c r="G448" t="s">
        <v>71</v>
      </c>
    </row>
    <row r="449" spans="1:7" x14ac:dyDescent="0.25">
      <c r="A449" t="s">
        <v>8263</v>
      </c>
      <c r="B449" t="s">
        <v>5017</v>
      </c>
      <c r="C449">
        <v>7</v>
      </c>
      <c r="D449">
        <v>8.1440000000000001</v>
      </c>
      <c r="E449">
        <v>0</v>
      </c>
      <c r="F449">
        <v>0.65320550734819571</v>
      </c>
      <c r="G449" t="s">
        <v>41</v>
      </c>
    </row>
    <row r="450" spans="1:7" x14ac:dyDescent="0.25">
      <c r="A450" t="s">
        <v>6380</v>
      </c>
      <c r="B450" t="s">
        <v>5017</v>
      </c>
      <c r="C450">
        <v>3</v>
      </c>
      <c r="D450">
        <v>8.15</v>
      </c>
      <c r="E450">
        <v>0</v>
      </c>
      <c r="F450">
        <v>0.55599177055898652</v>
      </c>
      <c r="G450" t="s">
        <v>65</v>
      </c>
    </row>
    <row r="451" spans="1:7" x14ac:dyDescent="0.25">
      <c r="A451" t="s">
        <v>11727</v>
      </c>
      <c r="B451" t="s">
        <v>5017</v>
      </c>
      <c r="C451">
        <v>9</v>
      </c>
      <c r="D451">
        <v>8.2490000000000023</v>
      </c>
      <c r="E451">
        <v>0</v>
      </c>
      <c r="F451">
        <v>0.7569702160923486</v>
      </c>
      <c r="G451" t="s">
        <v>29</v>
      </c>
    </row>
    <row r="452" spans="1:7" x14ac:dyDescent="0.25">
      <c r="A452" t="s">
        <v>5052</v>
      </c>
      <c r="B452" t="s">
        <v>5017</v>
      </c>
      <c r="C452">
        <v>7</v>
      </c>
      <c r="D452">
        <v>8.5410000000000004</v>
      </c>
      <c r="E452">
        <v>0</v>
      </c>
      <c r="F452">
        <v>0.59248991951985885</v>
      </c>
      <c r="G452" t="s">
        <v>41</v>
      </c>
    </row>
    <row r="453" spans="1:7" x14ac:dyDescent="0.25">
      <c r="A453" t="s">
        <v>5296</v>
      </c>
      <c r="B453" t="s">
        <v>5017</v>
      </c>
      <c r="C453">
        <v>5</v>
      </c>
      <c r="D453">
        <v>8.6540000000000017</v>
      </c>
      <c r="E453">
        <v>0</v>
      </c>
      <c r="F453">
        <v>0.84258712802581881</v>
      </c>
      <c r="G453" t="s">
        <v>17</v>
      </c>
    </row>
    <row r="454" spans="1:7" x14ac:dyDescent="0.25">
      <c r="A454" t="s">
        <v>5290</v>
      </c>
      <c r="B454" t="s">
        <v>5017</v>
      </c>
      <c r="C454">
        <v>7</v>
      </c>
      <c r="D454">
        <v>8.6549999999999994</v>
      </c>
      <c r="E454">
        <v>0</v>
      </c>
      <c r="F454">
        <v>0.56667153293103811</v>
      </c>
      <c r="G454" t="s">
        <v>41</v>
      </c>
    </row>
    <row r="455" spans="1:7" x14ac:dyDescent="0.25">
      <c r="A455" t="s">
        <v>10669</v>
      </c>
      <c r="B455" t="s">
        <v>5017</v>
      </c>
      <c r="C455">
        <v>7</v>
      </c>
      <c r="D455">
        <v>8.7349999999999994</v>
      </c>
      <c r="E455">
        <v>0</v>
      </c>
      <c r="F455">
        <v>0.62811171367645002</v>
      </c>
      <c r="G455" t="s">
        <v>41</v>
      </c>
    </row>
    <row r="456" spans="1:7" x14ac:dyDescent="0.25">
      <c r="A456" t="s">
        <v>44</v>
      </c>
      <c r="B456" t="s">
        <v>5017</v>
      </c>
      <c r="C456">
        <v>7</v>
      </c>
      <c r="D456">
        <v>8.8010000000000019</v>
      </c>
      <c r="E456">
        <v>0</v>
      </c>
      <c r="F456">
        <v>0.73696135121391282</v>
      </c>
      <c r="G456" t="s">
        <v>41</v>
      </c>
    </row>
    <row r="457" spans="1:7" x14ac:dyDescent="0.25">
      <c r="A457" t="s">
        <v>5100</v>
      </c>
      <c r="B457" t="s">
        <v>5017</v>
      </c>
      <c r="C457">
        <v>7</v>
      </c>
      <c r="D457">
        <v>8.8940000000000001</v>
      </c>
      <c r="E457">
        <v>0</v>
      </c>
      <c r="F457">
        <v>0.52087690806929177</v>
      </c>
      <c r="G457" t="s">
        <v>41</v>
      </c>
    </row>
    <row r="458" spans="1:7" x14ac:dyDescent="0.25">
      <c r="A458" t="s">
        <v>5121</v>
      </c>
      <c r="B458" t="s">
        <v>5017</v>
      </c>
      <c r="C458">
        <v>7</v>
      </c>
      <c r="D458">
        <v>9.0689999999999991</v>
      </c>
      <c r="E458">
        <v>0</v>
      </c>
      <c r="F458">
        <v>0.66914950577498999</v>
      </c>
      <c r="G458" t="s">
        <v>41</v>
      </c>
    </row>
    <row r="459" spans="1:7" x14ac:dyDescent="0.25">
      <c r="A459" t="s">
        <v>162</v>
      </c>
      <c r="B459" t="s">
        <v>5017</v>
      </c>
      <c r="C459">
        <v>0</v>
      </c>
      <c r="D459">
        <v>9.1950000000000003</v>
      </c>
      <c r="E459">
        <v>0</v>
      </c>
      <c r="F459">
        <v>0.58442637576860512</v>
      </c>
      <c r="G459" t="s">
        <v>71</v>
      </c>
    </row>
    <row r="460" spans="1:7" x14ac:dyDescent="0.25">
      <c r="A460" t="s">
        <v>16432</v>
      </c>
      <c r="B460" t="s">
        <v>5017</v>
      </c>
      <c r="C460">
        <v>8</v>
      </c>
      <c r="D460">
        <v>9.2940000000000005</v>
      </c>
      <c r="E460">
        <v>0</v>
      </c>
      <c r="F460">
        <v>0.54068514940557055</v>
      </c>
      <c r="G460" t="s">
        <v>23</v>
      </c>
    </row>
    <row r="461" spans="1:7" x14ac:dyDescent="0.25">
      <c r="A461" t="s">
        <v>11655</v>
      </c>
      <c r="B461" t="s">
        <v>5017</v>
      </c>
      <c r="C461">
        <v>9</v>
      </c>
      <c r="D461">
        <v>9.5959999999999983</v>
      </c>
      <c r="E461">
        <v>0</v>
      </c>
      <c r="F461">
        <v>0.74238177641580561</v>
      </c>
      <c r="G461" t="s">
        <v>29</v>
      </c>
    </row>
    <row r="462" spans="1:7" x14ac:dyDescent="0.25">
      <c r="A462" t="s">
        <v>13060</v>
      </c>
      <c r="B462" t="s">
        <v>5017</v>
      </c>
      <c r="C462">
        <v>5</v>
      </c>
      <c r="D462">
        <v>9.599000000000002</v>
      </c>
      <c r="E462">
        <v>0</v>
      </c>
      <c r="F462">
        <v>0.61138822015415939</v>
      </c>
      <c r="G462" t="s">
        <v>17</v>
      </c>
    </row>
    <row r="463" spans="1:7" x14ac:dyDescent="0.25">
      <c r="A463" t="s">
        <v>161</v>
      </c>
      <c r="B463" t="s">
        <v>5017</v>
      </c>
      <c r="C463">
        <v>0</v>
      </c>
      <c r="D463">
        <v>9.6999999999999993</v>
      </c>
      <c r="E463">
        <v>0</v>
      </c>
      <c r="F463">
        <v>0.56765585955216458</v>
      </c>
      <c r="G463" t="s">
        <v>71</v>
      </c>
    </row>
    <row r="464" spans="1:7" x14ac:dyDescent="0.25">
      <c r="A464" t="s">
        <v>160</v>
      </c>
      <c r="B464" t="s">
        <v>5017</v>
      </c>
      <c r="C464">
        <v>0</v>
      </c>
      <c r="D464">
        <v>9.7580000000000009</v>
      </c>
      <c r="E464">
        <v>0</v>
      </c>
      <c r="F464">
        <v>0.59714397581341916</v>
      </c>
      <c r="G464" t="s">
        <v>71</v>
      </c>
    </row>
    <row r="465" spans="1:7" x14ac:dyDescent="0.25">
      <c r="A465" t="s">
        <v>11090</v>
      </c>
      <c r="B465" t="s">
        <v>5017</v>
      </c>
      <c r="C465">
        <v>5</v>
      </c>
      <c r="D465">
        <v>9.8510000000000009</v>
      </c>
      <c r="E465">
        <v>0</v>
      </c>
      <c r="F465">
        <v>0.75751523906164608</v>
      </c>
      <c r="G465" t="s">
        <v>17</v>
      </c>
    </row>
    <row r="466" spans="1:7" x14ac:dyDescent="0.25">
      <c r="A466" t="s">
        <v>11932</v>
      </c>
      <c r="B466" t="s">
        <v>5017</v>
      </c>
      <c r="C466">
        <v>5</v>
      </c>
      <c r="D466">
        <v>10.167</v>
      </c>
      <c r="E466">
        <v>0</v>
      </c>
      <c r="F466">
        <v>0.55240682105933159</v>
      </c>
      <c r="G466" t="s">
        <v>17</v>
      </c>
    </row>
    <row r="467" spans="1:7" x14ac:dyDescent="0.25">
      <c r="A467" t="s">
        <v>10066</v>
      </c>
      <c r="B467" t="s">
        <v>5017</v>
      </c>
      <c r="C467">
        <v>7</v>
      </c>
      <c r="D467">
        <v>10.201000000000001</v>
      </c>
      <c r="E467">
        <v>0</v>
      </c>
      <c r="F467">
        <v>0.73053845176463261</v>
      </c>
      <c r="G467" t="s">
        <v>41</v>
      </c>
    </row>
    <row r="468" spans="1:7" x14ac:dyDescent="0.25">
      <c r="A468" t="s">
        <v>10171</v>
      </c>
      <c r="B468" t="s">
        <v>5017</v>
      </c>
      <c r="C468">
        <v>7</v>
      </c>
      <c r="D468">
        <v>10.226000000000001</v>
      </c>
      <c r="E468">
        <v>0</v>
      </c>
      <c r="F468">
        <v>0.58906831059044062</v>
      </c>
      <c r="G468" t="s">
        <v>41</v>
      </c>
    </row>
    <row r="469" spans="1:7" x14ac:dyDescent="0.25">
      <c r="A469" t="s">
        <v>6180</v>
      </c>
      <c r="B469" t="s">
        <v>5017</v>
      </c>
      <c r="C469">
        <v>8</v>
      </c>
      <c r="D469">
        <v>10.247999999999999</v>
      </c>
      <c r="E469">
        <v>0</v>
      </c>
      <c r="F469">
        <v>0.62636407484020706</v>
      </c>
      <c r="G469" t="s">
        <v>23</v>
      </c>
    </row>
    <row r="470" spans="1:7" x14ac:dyDescent="0.25">
      <c r="A470" t="s">
        <v>11116</v>
      </c>
      <c r="B470" t="s">
        <v>5017</v>
      </c>
      <c r="C470">
        <v>3</v>
      </c>
      <c r="D470">
        <v>10.263</v>
      </c>
      <c r="E470">
        <v>0</v>
      </c>
      <c r="F470">
        <v>0.39784040964686368</v>
      </c>
      <c r="G470" t="s">
        <v>65</v>
      </c>
    </row>
    <row r="471" spans="1:7" x14ac:dyDescent="0.25">
      <c r="A471" t="s">
        <v>11751</v>
      </c>
      <c r="B471" t="s">
        <v>5017</v>
      </c>
      <c r="C471">
        <v>3</v>
      </c>
      <c r="D471">
        <v>10.307</v>
      </c>
      <c r="E471">
        <v>0</v>
      </c>
      <c r="F471">
        <v>0.48092748511039929</v>
      </c>
      <c r="G471" t="s">
        <v>65</v>
      </c>
    </row>
    <row r="472" spans="1:7" x14ac:dyDescent="0.25">
      <c r="A472" t="s">
        <v>6939</v>
      </c>
      <c r="B472" t="s">
        <v>5017</v>
      </c>
      <c r="C472">
        <v>9</v>
      </c>
      <c r="D472">
        <v>10.465999999999999</v>
      </c>
      <c r="E472">
        <v>0</v>
      </c>
      <c r="F472">
        <v>0.73092018497883893</v>
      </c>
      <c r="G472" t="s">
        <v>29</v>
      </c>
    </row>
    <row r="473" spans="1:7" x14ac:dyDescent="0.25">
      <c r="A473" t="s">
        <v>16656</v>
      </c>
      <c r="B473" t="s">
        <v>5017</v>
      </c>
      <c r="C473">
        <v>5</v>
      </c>
      <c r="D473">
        <v>10.521000000000001</v>
      </c>
      <c r="E473">
        <v>0</v>
      </c>
      <c r="F473">
        <v>0.72764065927181409</v>
      </c>
      <c r="G473" t="s">
        <v>17</v>
      </c>
    </row>
    <row r="474" spans="1:7" x14ac:dyDescent="0.25">
      <c r="A474" t="s">
        <v>15179</v>
      </c>
      <c r="B474" t="s">
        <v>5017</v>
      </c>
      <c r="C474">
        <v>4</v>
      </c>
      <c r="D474">
        <v>10.553000000000001</v>
      </c>
      <c r="E474">
        <v>0</v>
      </c>
      <c r="F474">
        <v>0.90913502835606252</v>
      </c>
      <c r="G474" t="s">
        <v>59</v>
      </c>
    </row>
    <row r="475" spans="1:7" x14ac:dyDescent="0.25">
      <c r="A475" t="s">
        <v>75</v>
      </c>
      <c r="B475" t="s">
        <v>5017</v>
      </c>
      <c r="C475">
        <v>0</v>
      </c>
      <c r="D475">
        <v>10.574</v>
      </c>
      <c r="E475">
        <v>0</v>
      </c>
      <c r="F475">
        <v>0.67904409702558732</v>
      </c>
      <c r="G475" t="s">
        <v>71</v>
      </c>
    </row>
    <row r="476" spans="1:7" x14ac:dyDescent="0.25">
      <c r="A476" t="s">
        <v>13467</v>
      </c>
      <c r="B476" t="s">
        <v>5017</v>
      </c>
      <c r="C476">
        <v>8</v>
      </c>
      <c r="D476">
        <v>10.68</v>
      </c>
      <c r="E476">
        <v>0</v>
      </c>
      <c r="F476">
        <v>0.43902690114800658</v>
      </c>
      <c r="G476" t="s">
        <v>23</v>
      </c>
    </row>
    <row r="477" spans="1:7" x14ac:dyDescent="0.25">
      <c r="A477" t="s">
        <v>13652</v>
      </c>
      <c r="B477" t="s">
        <v>5017</v>
      </c>
      <c r="C477">
        <v>7</v>
      </c>
      <c r="D477">
        <v>10.832000000000001</v>
      </c>
      <c r="E477">
        <v>0</v>
      </c>
      <c r="F477">
        <v>0.58303290462306367</v>
      </c>
      <c r="G477" t="s">
        <v>41</v>
      </c>
    </row>
    <row r="478" spans="1:7" x14ac:dyDescent="0.25">
      <c r="A478" t="s">
        <v>14930</v>
      </c>
      <c r="B478" t="s">
        <v>5017</v>
      </c>
      <c r="C478">
        <v>5</v>
      </c>
      <c r="D478">
        <v>10.852</v>
      </c>
      <c r="E478">
        <v>0</v>
      </c>
      <c r="F478">
        <v>0.82255842804901391</v>
      </c>
      <c r="G478" t="s">
        <v>17</v>
      </c>
    </row>
    <row r="479" spans="1:7" x14ac:dyDescent="0.25">
      <c r="A479" t="s">
        <v>10309</v>
      </c>
      <c r="B479" t="s">
        <v>5017</v>
      </c>
      <c r="C479">
        <v>5</v>
      </c>
      <c r="D479">
        <v>10.983000000000001</v>
      </c>
      <c r="E479">
        <v>0</v>
      </c>
      <c r="F479">
        <v>0.70587941829739154</v>
      </c>
      <c r="G479" t="s">
        <v>17</v>
      </c>
    </row>
    <row r="480" spans="1:7" x14ac:dyDescent="0.25">
      <c r="A480" t="s">
        <v>7337</v>
      </c>
      <c r="B480" t="s">
        <v>5017</v>
      </c>
      <c r="C480">
        <v>8</v>
      </c>
      <c r="D480">
        <v>11.047000000000001</v>
      </c>
      <c r="E480">
        <v>0</v>
      </c>
      <c r="F480">
        <v>0.39370618354235509</v>
      </c>
      <c r="G480" t="s">
        <v>23</v>
      </c>
    </row>
    <row r="481" spans="1:7" x14ac:dyDescent="0.25">
      <c r="A481" t="s">
        <v>9799</v>
      </c>
      <c r="B481" t="s">
        <v>5017</v>
      </c>
      <c r="C481">
        <v>8</v>
      </c>
      <c r="D481">
        <v>11.08</v>
      </c>
      <c r="E481">
        <v>0</v>
      </c>
      <c r="F481">
        <v>0.47977373873598839</v>
      </c>
      <c r="G481" t="s">
        <v>23</v>
      </c>
    </row>
    <row r="482" spans="1:7" x14ac:dyDescent="0.25">
      <c r="A482" t="s">
        <v>14972</v>
      </c>
      <c r="B482" t="s">
        <v>5017</v>
      </c>
      <c r="C482">
        <v>4</v>
      </c>
      <c r="D482">
        <v>11.362</v>
      </c>
      <c r="E482">
        <v>0</v>
      </c>
      <c r="F482">
        <v>0.93582000173523761</v>
      </c>
      <c r="G482" t="s">
        <v>59</v>
      </c>
    </row>
    <row r="483" spans="1:7" x14ac:dyDescent="0.25">
      <c r="A483" t="s">
        <v>13649</v>
      </c>
      <c r="B483" t="s">
        <v>5017</v>
      </c>
      <c r="C483">
        <v>7</v>
      </c>
      <c r="D483">
        <v>11.486000000000001</v>
      </c>
      <c r="E483">
        <v>0</v>
      </c>
      <c r="F483">
        <v>0.57767904847637441</v>
      </c>
      <c r="G483" t="s">
        <v>41</v>
      </c>
    </row>
    <row r="484" spans="1:7" x14ac:dyDescent="0.25">
      <c r="A484" t="s">
        <v>12477</v>
      </c>
      <c r="B484" t="s">
        <v>5017</v>
      </c>
      <c r="C484">
        <v>5</v>
      </c>
      <c r="D484">
        <v>11.659000000000001</v>
      </c>
      <c r="E484">
        <v>0</v>
      </c>
      <c r="F484">
        <v>0.75585453721334606</v>
      </c>
      <c r="G484" t="s">
        <v>17</v>
      </c>
    </row>
    <row r="485" spans="1:7" x14ac:dyDescent="0.25">
      <c r="A485" t="s">
        <v>13394</v>
      </c>
      <c r="B485" t="s">
        <v>5017</v>
      </c>
      <c r="C485">
        <v>7</v>
      </c>
      <c r="D485">
        <v>11.766</v>
      </c>
      <c r="E485">
        <v>0</v>
      </c>
      <c r="F485">
        <v>0.63383991071577805</v>
      </c>
      <c r="G485" t="s">
        <v>41</v>
      </c>
    </row>
    <row r="486" spans="1:7" x14ac:dyDescent="0.25">
      <c r="A486" t="s">
        <v>14570</v>
      </c>
      <c r="B486" t="s">
        <v>5017</v>
      </c>
      <c r="C486">
        <v>5</v>
      </c>
      <c r="D486">
        <v>11.792</v>
      </c>
      <c r="E486">
        <v>0</v>
      </c>
      <c r="F486">
        <v>0.59546044789797536</v>
      </c>
      <c r="G486" t="s">
        <v>17</v>
      </c>
    </row>
    <row r="487" spans="1:7" x14ac:dyDescent="0.25">
      <c r="A487" t="s">
        <v>7349</v>
      </c>
      <c r="B487" t="s">
        <v>5017</v>
      </c>
      <c r="C487">
        <v>8</v>
      </c>
      <c r="D487">
        <v>11.972</v>
      </c>
      <c r="E487">
        <v>0</v>
      </c>
      <c r="F487">
        <v>0.39380775930497952</v>
      </c>
      <c r="G487" t="s">
        <v>23</v>
      </c>
    </row>
    <row r="488" spans="1:7" x14ac:dyDescent="0.25">
      <c r="A488" t="s">
        <v>6308</v>
      </c>
      <c r="B488" t="s">
        <v>5017</v>
      </c>
      <c r="C488">
        <v>1</v>
      </c>
      <c r="D488">
        <v>12.007999999999999</v>
      </c>
      <c r="E488">
        <v>0</v>
      </c>
      <c r="F488">
        <v>0.4590180967255964</v>
      </c>
      <c r="G488" t="s">
        <v>47</v>
      </c>
    </row>
    <row r="489" spans="1:7" x14ac:dyDescent="0.25">
      <c r="A489" t="s">
        <v>13455</v>
      </c>
      <c r="B489" t="s">
        <v>5017</v>
      </c>
      <c r="C489">
        <v>7</v>
      </c>
      <c r="D489">
        <v>12.305999999999999</v>
      </c>
      <c r="E489">
        <v>0</v>
      </c>
      <c r="F489">
        <v>0.60352885667578482</v>
      </c>
      <c r="G489" t="s">
        <v>41</v>
      </c>
    </row>
    <row r="490" spans="1:7" x14ac:dyDescent="0.25">
      <c r="A490" t="s">
        <v>10306</v>
      </c>
      <c r="B490" t="s">
        <v>5017</v>
      </c>
      <c r="C490">
        <v>5</v>
      </c>
      <c r="D490">
        <v>12.851000000000001</v>
      </c>
      <c r="E490">
        <v>0</v>
      </c>
      <c r="F490">
        <v>0.72689299092236959</v>
      </c>
      <c r="G490" t="s">
        <v>17</v>
      </c>
    </row>
    <row r="491" spans="1:7" x14ac:dyDescent="0.25">
      <c r="A491" t="s">
        <v>13637</v>
      </c>
      <c r="B491" t="s">
        <v>5017</v>
      </c>
      <c r="C491">
        <v>7</v>
      </c>
      <c r="D491">
        <v>12.976000000000001</v>
      </c>
      <c r="E491">
        <v>0</v>
      </c>
      <c r="F491">
        <v>0.63354240444970933</v>
      </c>
      <c r="G491" t="s">
        <v>41</v>
      </c>
    </row>
    <row r="492" spans="1:7" x14ac:dyDescent="0.25">
      <c r="A492" t="s">
        <v>6311</v>
      </c>
      <c r="B492" t="s">
        <v>5017</v>
      </c>
      <c r="C492">
        <v>1</v>
      </c>
      <c r="D492">
        <v>13.332000000000001</v>
      </c>
      <c r="E492">
        <v>0</v>
      </c>
      <c r="F492">
        <v>0.47179948058924659</v>
      </c>
      <c r="G492" t="s">
        <v>47</v>
      </c>
    </row>
    <row r="493" spans="1:7" x14ac:dyDescent="0.25">
      <c r="A493" t="s">
        <v>5635</v>
      </c>
      <c r="B493" t="s">
        <v>5017</v>
      </c>
      <c r="C493">
        <v>7</v>
      </c>
      <c r="D493">
        <v>13.353</v>
      </c>
      <c r="E493">
        <v>0</v>
      </c>
      <c r="F493">
        <v>0.64505359859006661</v>
      </c>
      <c r="G493" t="s">
        <v>41</v>
      </c>
    </row>
    <row r="494" spans="1:7" x14ac:dyDescent="0.25">
      <c r="A494" t="s">
        <v>15016</v>
      </c>
      <c r="B494" t="s">
        <v>5017</v>
      </c>
      <c r="C494">
        <v>5</v>
      </c>
      <c r="D494">
        <v>13.385999999999999</v>
      </c>
      <c r="E494">
        <v>0</v>
      </c>
      <c r="F494">
        <v>0.72701905630286823</v>
      </c>
      <c r="G494" t="s">
        <v>17</v>
      </c>
    </row>
    <row r="495" spans="1:7" x14ac:dyDescent="0.25">
      <c r="A495" t="s">
        <v>9995</v>
      </c>
      <c r="B495" t="s">
        <v>5017</v>
      </c>
      <c r="C495">
        <v>5</v>
      </c>
      <c r="D495">
        <v>13.827999999999999</v>
      </c>
      <c r="E495">
        <v>0</v>
      </c>
      <c r="F495">
        <v>0.89118586372628594</v>
      </c>
      <c r="G495" t="s">
        <v>17</v>
      </c>
    </row>
    <row r="496" spans="1:7" x14ac:dyDescent="0.25">
      <c r="A496" t="s">
        <v>5752</v>
      </c>
      <c r="B496" t="s">
        <v>5017</v>
      </c>
      <c r="C496">
        <v>7</v>
      </c>
      <c r="D496">
        <v>13.83</v>
      </c>
      <c r="E496">
        <v>0</v>
      </c>
      <c r="F496">
        <v>0.56608785474741352</v>
      </c>
      <c r="G496" t="s">
        <v>41</v>
      </c>
    </row>
    <row r="497" spans="1:7" x14ac:dyDescent="0.25">
      <c r="A497" t="s">
        <v>6503</v>
      </c>
      <c r="B497" t="s">
        <v>5017</v>
      </c>
      <c r="C497">
        <v>2</v>
      </c>
      <c r="D497">
        <v>13.958</v>
      </c>
      <c r="E497">
        <v>0</v>
      </c>
      <c r="F497">
        <v>0.49296131888916878</v>
      </c>
      <c r="G497" t="s">
        <v>35</v>
      </c>
    </row>
    <row r="498" spans="1:7" x14ac:dyDescent="0.25">
      <c r="A498" t="s">
        <v>12195</v>
      </c>
      <c r="B498" t="s">
        <v>5017</v>
      </c>
      <c r="C498">
        <v>2</v>
      </c>
      <c r="D498">
        <v>14.064</v>
      </c>
      <c r="E498">
        <v>0</v>
      </c>
      <c r="F498">
        <v>0.48051976063145152</v>
      </c>
      <c r="G498" t="s">
        <v>35</v>
      </c>
    </row>
    <row r="499" spans="1:7" x14ac:dyDescent="0.25">
      <c r="A499" t="s">
        <v>11941</v>
      </c>
      <c r="B499" t="s">
        <v>5017</v>
      </c>
      <c r="C499">
        <v>5</v>
      </c>
      <c r="D499">
        <v>14.632999999999999</v>
      </c>
      <c r="E499">
        <v>0</v>
      </c>
      <c r="F499">
        <v>0.70359888778117263</v>
      </c>
      <c r="G499" t="s">
        <v>17</v>
      </c>
    </row>
    <row r="500" spans="1:7" x14ac:dyDescent="0.25">
      <c r="A500" t="s">
        <v>16068</v>
      </c>
      <c r="B500" t="s">
        <v>5017</v>
      </c>
      <c r="C500">
        <v>5</v>
      </c>
      <c r="D500">
        <v>14.901999999999999</v>
      </c>
      <c r="E500">
        <v>0</v>
      </c>
      <c r="F500">
        <v>0.82897313993349298</v>
      </c>
      <c r="G500" t="s">
        <v>17</v>
      </c>
    </row>
    <row r="501" spans="1:7" x14ac:dyDescent="0.25">
      <c r="A501" t="s">
        <v>11730</v>
      </c>
      <c r="B501" t="s">
        <v>5017</v>
      </c>
      <c r="C501">
        <v>9</v>
      </c>
      <c r="D501">
        <v>15.359999999999991</v>
      </c>
      <c r="E501">
        <v>0</v>
      </c>
      <c r="F501">
        <v>0.85887218638606133</v>
      </c>
      <c r="G501" t="s">
        <v>29</v>
      </c>
    </row>
    <row r="502" spans="1:7" x14ac:dyDescent="0.25">
      <c r="A502" t="s">
        <v>11938</v>
      </c>
      <c r="B502" t="s">
        <v>5017</v>
      </c>
      <c r="C502">
        <v>5</v>
      </c>
      <c r="D502">
        <v>15.531000000000001</v>
      </c>
      <c r="E502">
        <v>0</v>
      </c>
      <c r="F502">
        <v>0.66102790201622208</v>
      </c>
      <c r="G502" t="s">
        <v>17</v>
      </c>
    </row>
    <row r="503" spans="1:7" x14ac:dyDescent="0.25">
      <c r="A503" t="s">
        <v>15197</v>
      </c>
      <c r="B503" t="s">
        <v>5017</v>
      </c>
      <c r="C503">
        <v>5</v>
      </c>
      <c r="D503">
        <v>15.711</v>
      </c>
      <c r="E503">
        <v>0</v>
      </c>
      <c r="F503">
        <v>0.81319883102523915</v>
      </c>
      <c r="G503" t="s">
        <v>17</v>
      </c>
    </row>
    <row r="504" spans="1:7" x14ac:dyDescent="0.25">
      <c r="A504" t="s">
        <v>10937</v>
      </c>
      <c r="B504" t="s">
        <v>5017</v>
      </c>
      <c r="C504">
        <v>5</v>
      </c>
      <c r="D504">
        <v>15.782</v>
      </c>
      <c r="E504">
        <v>0</v>
      </c>
      <c r="F504">
        <v>0.7815298313760447</v>
      </c>
      <c r="G504" t="s">
        <v>17</v>
      </c>
    </row>
    <row r="505" spans="1:7" x14ac:dyDescent="0.25">
      <c r="A505" t="s">
        <v>6549</v>
      </c>
      <c r="B505" t="s">
        <v>5017</v>
      </c>
      <c r="C505">
        <v>5</v>
      </c>
      <c r="D505">
        <v>15.805999999999999</v>
      </c>
      <c r="E505">
        <v>0</v>
      </c>
      <c r="F505">
        <v>0.56034482145976217</v>
      </c>
      <c r="G505" t="s">
        <v>17</v>
      </c>
    </row>
    <row r="506" spans="1:7" x14ac:dyDescent="0.25">
      <c r="A506" t="s">
        <v>14024</v>
      </c>
      <c r="B506" t="s">
        <v>5017</v>
      </c>
      <c r="C506">
        <v>5</v>
      </c>
      <c r="D506">
        <v>15.829000000000001</v>
      </c>
      <c r="E506">
        <v>0</v>
      </c>
      <c r="F506">
        <v>0.7361112339084489</v>
      </c>
      <c r="G506" t="s">
        <v>17</v>
      </c>
    </row>
    <row r="507" spans="1:7" x14ac:dyDescent="0.25">
      <c r="A507" t="s">
        <v>11944</v>
      </c>
      <c r="B507" t="s">
        <v>5017</v>
      </c>
      <c r="C507">
        <v>5</v>
      </c>
      <c r="D507">
        <v>16.116</v>
      </c>
      <c r="E507">
        <v>0</v>
      </c>
      <c r="F507">
        <v>0.69951048938359839</v>
      </c>
      <c r="G507" t="s">
        <v>17</v>
      </c>
    </row>
    <row r="508" spans="1:7" x14ac:dyDescent="0.25">
      <c r="A508" t="s">
        <v>8370</v>
      </c>
      <c r="B508" t="s">
        <v>5017</v>
      </c>
      <c r="C508">
        <v>1</v>
      </c>
      <c r="D508">
        <v>16.251999999999999</v>
      </c>
      <c r="E508">
        <v>0</v>
      </c>
      <c r="F508">
        <v>1.272675520684019</v>
      </c>
      <c r="G508" t="s">
        <v>47</v>
      </c>
    </row>
    <row r="509" spans="1:7" x14ac:dyDescent="0.25">
      <c r="A509" t="s">
        <v>11839</v>
      </c>
      <c r="B509" t="s">
        <v>5017</v>
      </c>
      <c r="C509">
        <v>7</v>
      </c>
      <c r="D509">
        <v>16.286999999999999</v>
      </c>
      <c r="E509">
        <v>0</v>
      </c>
      <c r="F509">
        <v>0.63171627474724934</v>
      </c>
      <c r="G509" t="s">
        <v>41</v>
      </c>
    </row>
    <row r="510" spans="1:7" x14ac:dyDescent="0.25">
      <c r="A510" t="s">
        <v>5351</v>
      </c>
      <c r="B510" t="s">
        <v>5017</v>
      </c>
      <c r="C510">
        <v>7</v>
      </c>
      <c r="D510">
        <v>16.346</v>
      </c>
      <c r="E510">
        <v>0</v>
      </c>
      <c r="F510">
        <v>0.6755113316618977</v>
      </c>
      <c r="G510" t="s">
        <v>41</v>
      </c>
    </row>
    <row r="511" spans="1:7" x14ac:dyDescent="0.25">
      <c r="A511" t="s">
        <v>51</v>
      </c>
      <c r="B511" t="s">
        <v>5017</v>
      </c>
      <c r="C511">
        <v>1</v>
      </c>
      <c r="D511">
        <v>16.428000000000001</v>
      </c>
      <c r="E511">
        <v>0</v>
      </c>
      <c r="F511">
        <v>1.3505542065429459</v>
      </c>
      <c r="G511" t="s">
        <v>47</v>
      </c>
    </row>
    <row r="512" spans="1:7" x14ac:dyDescent="0.25">
      <c r="A512" t="s">
        <v>5082</v>
      </c>
      <c r="B512" t="s">
        <v>5017</v>
      </c>
      <c r="C512">
        <v>7</v>
      </c>
      <c r="D512">
        <v>16.443999999999999</v>
      </c>
      <c r="E512">
        <v>0</v>
      </c>
      <c r="F512">
        <v>0.65071866746995699</v>
      </c>
      <c r="G512" t="s">
        <v>41</v>
      </c>
    </row>
    <row r="513" spans="1:7" x14ac:dyDescent="0.25">
      <c r="A513" t="s">
        <v>10566</v>
      </c>
      <c r="B513" t="s">
        <v>5017</v>
      </c>
      <c r="C513">
        <v>7</v>
      </c>
      <c r="D513">
        <v>16.832999999999998</v>
      </c>
      <c r="E513">
        <v>0</v>
      </c>
      <c r="F513">
        <v>0.67068691102909073</v>
      </c>
      <c r="G513" t="s">
        <v>41</v>
      </c>
    </row>
    <row r="514" spans="1:7" x14ac:dyDescent="0.25">
      <c r="A514" t="s">
        <v>10003</v>
      </c>
      <c r="B514" t="s">
        <v>5017</v>
      </c>
      <c r="C514">
        <v>5</v>
      </c>
      <c r="D514">
        <v>17.103000000000002</v>
      </c>
      <c r="E514">
        <v>0</v>
      </c>
      <c r="F514">
        <v>0.90126104368905025</v>
      </c>
      <c r="G514" t="s">
        <v>17</v>
      </c>
    </row>
    <row r="515" spans="1:7" x14ac:dyDescent="0.25">
      <c r="A515" t="s">
        <v>6305</v>
      </c>
      <c r="B515" t="s">
        <v>5017</v>
      </c>
      <c r="C515">
        <v>1</v>
      </c>
      <c r="D515">
        <v>17.137</v>
      </c>
      <c r="E515">
        <v>0</v>
      </c>
      <c r="F515">
        <v>0.52270635145609357</v>
      </c>
      <c r="G515" t="s">
        <v>47</v>
      </c>
    </row>
    <row r="516" spans="1:7" x14ac:dyDescent="0.25">
      <c r="A516" t="s">
        <v>158</v>
      </c>
      <c r="B516" t="s">
        <v>5017</v>
      </c>
      <c r="C516">
        <v>3</v>
      </c>
      <c r="D516">
        <v>17.190000000000001</v>
      </c>
      <c r="E516">
        <v>0</v>
      </c>
      <c r="F516">
        <v>0.50282074459835147</v>
      </c>
      <c r="G516" t="s">
        <v>65</v>
      </c>
    </row>
    <row r="517" spans="1:7" x14ac:dyDescent="0.25">
      <c r="A517" t="s">
        <v>11463</v>
      </c>
      <c r="B517" t="s">
        <v>5017</v>
      </c>
      <c r="C517">
        <v>7</v>
      </c>
      <c r="D517">
        <v>17.302</v>
      </c>
      <c r="E517">
        <v>0</v>
      </c>
      <c r="F517">
        <v>0.60742872999172548</v>
      </c>
      <c r="G517" t="s">
        <v>41</v>
      </c>
    </row>
    <row r="518" spans="1:7" x14ac:dyDescent="0.25">
      <c r="A518" t="s">
        <v>7286</v>
      </c>
      <c r="B518" t="s">
        <v>5017</v>
      </c>
      <c r="C518">
        <v>8</v>
      </c>
      <c r="D518">
        <v>17.806000000000001</v>
      </c>
      <c r="E518">
        <v>0</v>
      </c>
      <c r="F518">
        <v>0.49147174402622068</v>
      </c>
      <c r="G518" t="s">
        <v>23</v>
      </c>
    </row>
    <row r="519" spans="1:7" x14ac:dyDescent="0.25">
      <c r="A519" t="s">
        <v>8601</v>
      </c>
      <c r="B519" t="s">
        <v>5017</v>
      </c>
      <c r="C519">
        <v>1</v>
      </c>
      <c r="D519">
        <v>17.996000000000009</v>
      </c>
      <c r="E519">
        <v>0</v>
      </c>
      <c r="F519">
        <v>0.99536103419088628</v>
      </c>
      <c r="G519" t="s">
        <v>47</v>
      </c>
    </row>
    <row r="520" spans="1:7" x14ac:dyDescent="0.25">
      <c r="A520" t="s">
        <v>54</v>
      </c>
      <c r="B520" t="s">
        <v>5017</v>
      </c>
      <c r="C520">
        <v>6</v>
      </c>
      <c r="D520">
        <v>18.134</v>
      </c>
      <c r="E520">
        <v>0</v>
      </c>
      <c r="F520">
        <v>0.67959307550342618</v>
      </c>
      <c r="G520" t="s">
        <v>53</v>
      </c>
    </row>
    <row r="521" spans="1:7" x14ac:dyDescent="0.25">
      <c r="A521" t="s">
        <v>5384</v>
      </c>
      <c r="B521" t="s">
        <v>5017</v>
      </c>
      <c r="C521">
        <v>5</v>
      </c>
      <c r="D521">
        <v>18.143000000000001</v>
      </c>
      <c r="E521">
        <v>0</v>
      </c>
      <c r="F521">
        <v>0.7719398384949212</v>
      </c>
      <c r="G521" t="s">
        <v>17</v>
      </c>
    </row>
    <row r="522" spans="1:7" x14ac:dyDescent="0.25">
      <c r="A522" t="s">
        <v>14520</v>
      </c>
      <c r="B522" t="s">
        <v>5017</v>
      </c>
      <c r="C522">
        <v>2</v>
      </c>
      <c r="D522">
        <v>18.198999999999991</v>
      </c>
      <c r="E522">
        <v>0</v>
      </c>
      <c r="F522">
        <v>0.50513823772466249</v>
      </c>
      <c r="G522" t="s">
        <v>35</v>
      </c>
    </row>
    <row r="523" spans="1:7" x14ac:dyDescent="0.25">
      <c r="A523" t="s">
        <v>11406</v>
      </c>
      <c r="B523" t="s">
        <v>5017</v>
      </c>
      <c r="C523">
        <v>6</v>
      </c>
      <c r="D523">
        <v>18.437000000000001</v>
      </c>
      <c r="E523">
        <v>0</v>
      </c>
      <c r="F523">
        <v>0.6451920840773937</v>
      </c>
      <c r="G523" t="s">
        <v>53</v>
      </c>
    </row>
    <row r="524" spans="1:7" x14ac:dyDescent="0.25">
      <c r="A524" t="s">
        <v>7290</v>
      </c>
      <c r="B524" t="s">
        <v>5017</v>
      </c>
      <c r="C524">
        <v>8</v>
      </c>
      <c r="D524">
        <v>18.991</v>
      </c>
      <c r="E524">
        <v>0</v>
      </c>
      <c r="F524">
        <v>0.61863428091911998</v>
      </c>
      <c r="G524" t="s">
        <v>23</v>
      </c>
    </row>
    <row r="525" spans="1:7" x14ac:dyDescent="0.25">
      <c r="A525" t="s">
        <v>10660</v>
      </c>
      <c r="B525" t="s">
        <v>5017</v>
      </c>
      <c r="C525">
        <v>8</v>
      </c>
      <c r="D525">
        <v>19.000000000000011</v>
      </c>
      <c r="E525">
        <v>0</v>
      </c>
      <c r="F525">
        <v>0.69116954170308764</v>
      </c>
      <c r="G525" t="s">
        <v>23</v>
      </c>
    </row>
    <row r="526" spans="1:7" x14ac:dyDescent="0.25">
      <c r="A526" t="s">
        <v>10156</v>
      </c>
      <c r="B526" t="s">
        <v>5017</v>
      </c>
      <c r="C526">
        <v>7</v>
      </c>
      <c r="D526">
        <v>19.097000000000001</v>
      </c>
      <c r="E526">
        <v>0</v>
      </c>
      <c r="F526">
        <v>0.61378409223490615</v>
      </c>
      <c r="G526" t="s">
        <v>41</v>
      </c>
    </row>
    <row r="527" spans="1:7" x14ac:dyDescent="0.25">
      <c r="A527" t="s">
        <v>7402</v>
      </c>
      <c r="B527" t="s">
        <v>5017</v>
      </c>
      <c r="C527">
        <v>8</v>
      </c>
      <c r="D527">
        <v>19.324000000000009</v>
      </c>
      <c r="E527">
        <v>0</v>
      </c>
      <c r="F527">
        <v>0.62678567544451913</v>
      </c>
      <c r="G527" t="s">
        <v>23</v>
      </c>
    </row>
    <row r="528" spans="1:7" x14ac:dyDescent="0.25">
      <c r="A528" t="s">
        <v>13012</v>
      </c>
      <c r="B528" t="s">
        <v>5017</v>
      </c>
      <c r="C528">
        <v>5</v>
      </c>
      <c r="D528">
        <v>19.385999999999999</v>
      </c>
      <c r="E528">
        <v>0</v>
      </c>
      <c r="F528">
        <v>0.67391864783653044</v>
      </c>
      <c r="G528" t="s">
        <v>17</v>
      </c>
    </row>
    <row r="529" spans="1:7" x14ac:dyDescent="0.25">
      <c r="A529" t="s">
        <v>13009</v>
      </c>
      <c r="B529" t="s">
        <v>5017</v>
      </c>
      <c r="C529">
        <v>5</v>
      </c>
      <c r="D529">
        <v>19.416999999999991</v>
      </c>
      <c r="E529">
        <v>0</v>
      </c>
      <c r="F529">
        <v>0.60739415672072539</v>
      </c>
      <c r="G529" t="s">
        <v>17</v>
      </c>
    </row>
    <row r="530" spans="1:7" x14ac:dyDescent="0.25">
      <c r="A530" t="s">
        <v>14331</v>
      </c>
      <c r="B530" t="s">
        <v>5017</v>
      </c>
      <c r="C530">
        <v>5</v>
      </c>
      <c r="D530">
        <v>19.48</v>
      </c>
      <c r="E530">
        <v>0</v>
      </c>
      <c r="F530">
        <v>0.74773829099184319</v>
      </c>
      <c r="G530" t="s">
        <v>17</v>
      </c>
    </row>
    <row r="531" spans="1:7" x14ac:dyDescent="0.25">
      <c r="A531" t="s">
        <v>15603</v>
      </c>
      <c r="B531" t="s">
        <v>5017</v>
      </c>
      <c r="C531">
        <v>6</v>
      </c>
      <c r="D531">
        <v>19.643000000000001</v>
      </c>
      <c r="E531">
        <v>0</v>
      </c>
      <c r="F531">
        <v>0.6279125967671032</v>
      </c>
      <c r="G531" t="s">
        <v>53</v>
      </c>
    </row>
    <row r="532" spans="1:7" x14ac:dyDescent="0.25">
      <c r="A532" t="s">
        <v>10630</v>
      </c>
      <c r="B532" t="s">
        <v>5017</v>
      </c>
      <c r="C532">
        <v>2</v>
      </c>
      <c r="D532">
        <v>19.645</v>
      </c>
      <c r="E532">
        <v>0</v>
      </c>
      <c r="F532">
        <v>0.59608835831709339</v>
      </c>
      <c r="G532" t="s">
        <v>35</v>
      </c>
    </row>
    <row r="533" spans="1:7" x14ac:dyDescent="0.25">
      <c r="A533" t="s">
        <v>7341</v>
      </c>
      <c r="B533" t="s">
        <v>5017</v>
      </c>
      <c r="C533">
        <v>8</v>
      </c>
      <c r="D533">
        <v>20.027000000000001</v>
      </c>
      <c r="E533">
        <v>0</v>
      </c>
      <c r="F533">
        <v>0.53725119929870102</v>
      </c>
      <c r="G533" t="s">
        <v>23</v>
      </c>
    </row>
    <row r="534" spans="1:7" x14ac:dyDescent="0.25">
      <c r="A534" t="s">
        <v>16144</v>
      </c>
      <c r="B534" t="s">
        <v>5017</v>
      </c>
      <c r="C534">
        <v>5</v>
      </c>
      <c r="D534">
        <v>20.048999999999989</v>
      </c>
      <c r="E534">
        <v>0</v>
      </c>
      <c r="F534">
        <v>0.89368017520906096</v>
      </c>
      <c r="G534" t="s">
        <v>17</v>
      </c>
    </row>
    <row r="535" spans="1:7" x14ac:dyDescent="0.25">
      <c r="A535" t="s">
        <v>5091</v>
      </c>
      <c r="B535" t="s">
        <v>5017</v>
      </c>
      <c r="C535">
        <v>7</v>
      </c>
      <c r="D535">
        <v>20.215</v>
      </c>
      <c r="E535">
        <v>0</v>
      </c>
      <c r="F535">
        <v>0.6913130784588889</v>
      </c>
      <c r="G535" t="s">
        <v>41</v>
      </c>
    </row>
    <row r="536" spans="1:7" x14ac:dyDescent="0.25">
      <c r="A536" t="s">
        <v>5704</v>
      </c>
      <c r="B536" t="s">
        <v>5017</v>
      </c>
      <c r="C536">
        <v>5</v>
      </c>
      <c r="D536">
        <v>20.24199999999999</v>
      </c>
      <c r="E536">
        <v>0</v>
      </c>
      <c r="F536">
        <v>0.78761334559037999</v>
      </c>
      <c r="G536" t="s">
        <v>17</v>
      </c>
    </row>
    <row r="537" spans="1:7" x14ac:dyDescent="0.25">
      <c r="A537" t="s">
        <v>14526</v>
      </c>
      <c r="B537" t="s">
        <v>5017</v>
      </c>
      <c r="C537">
        <v>2</v>
      </c>
      <c r="D537">
        <v>20.654</v>
      </c>
      <c r="E537">
        <v>0</v>
      </c>
      <c r="F537">
        <v>0.63578929745067703</v>
      </c>
      <c r="G537" t="s">
        <v>35</v>
      </c>
    </row>
    <row r="538" spans="1:7" x14ac:dyDescent="0.25">
      <c r="A538" t="s">
        <v>6024</v>
      </c>
      <c r="B538" t="s">
        <v>5017</v>
      </c>
      <c r="C538">
        <v>5</v>
      </c>
      <c r="D538">
        <v>20.69</v>
      </c>
      <c r="E538">
        <v>0</v>
      </c>
      <c r="F538">
        <v>0.56500801787202448</v>
      </c>
      <c r="G538" t="s">
        <v>17</v>
      </c>
    </row>
    <row r="539" spans="1:7" x14ac:dyDescent="0.25">
      <c r="A539" t="s">
        <v>7495</v>
      </c>
      <c r="B539" t="s">
        <v>5017</v>
      </c>
      <c r="C539">
        <v>1</v>
      </c>
      <c r="D539">
        <v>20.91899999999999</v>
      </c>
      <c r="E539">
        <v>0</v>
      </c>
      <c r="F539">
        <v>0.56499735810060214</v>
      </c>
      <c r="G539" t="s">
        <v>47</v>
      </c>
    </row>
    <row r="540" spans="1:7" x14ac:dyDescent="0.25">
      <c r="A540" t="s">
        <v>8622</v>
      </c>
      <c r="B540" t="s">
        <v>5017</v>
      </c>
      <c r="C540">
        <v>1</v>
      </c>
      <c r="D540">
        <v>21.841999999999999</v>
      </c>
      <c r="E540">
        <v>0</v>
      </c>
      <c r="F540">
        <v>0.55998469379791838</v>
      </c>
      <c r="G540" t="s">
        <v>47</v>
      </c>
    </row>
    <row r="541" spans="1:7" x14ac:dyDescent="0.25">
      <c r="A541" t="s">
        <v>8626</v>
      </c>
      <c r="B541" t="s">
        <v>5017</v>
      </c>
      <c r="C541">
        <v>1</v>
      </c>
      <c r="D541">
        <v>21.841999999999999</v>
      </c>
      <c r="E541">
        <v>0</v>
      </c>
      <c r="F541">
        <v>0.58807337157475592</v>
      </c>
      <c r="G541" t="s">
        <v>47</v>
      </c>
    </row>
    <row r="542" spans="1:7" x14ac:dyDescent="0.25">
      <c r="A542" t="s">
        <v>8640</v>
      </c>
      <c r="B542" t="s">
        <v>5017</v>
      </c>
      <c r="C542">
        <v>1</v>
      </c>
      <c r="D542">
        <v>21.841999999999999</v>
      </c>
      <c r="E542">
        <v>0</v>
      </c>
      <c r="F542">
        <v>0.61384474206869566</v>
      </c>
      <c r="G542" t="s">
        <v>47</v>
      </c>
    </row>
    <row r="543" spans="1:7" x14ac:dyDescent="0.25">
      <c r="A543" t="s">
        <v>14449</v>
      </c>
      <c r="B543" t="s">
        <v>5017</v>
      </c>
      <c r="C543">
        <v>2</v>
      </c>
      <c r="D543">
        <v>22.010999999999999</v>
      </c>
      <c r="E543">
        <v>0</v>
      </c>
      <c r="F543">
        <v>0.56206934684764898</v>
      </c>
      <c r="G543" t="s">
        <v>35</v>
      </c>
    </row>
    <row r="544" spans="1:7" x14ac:dyDescent="0.25">
      <c r="A544" t="s">
        <v>16716</v>
      </c>
      <c r="B544" t="s">
        <v>5017</v>
      </c>
      <c r="C544">
        <v>2</v>
      </c>
      <c r="D544">
        <v>22.273</v>
      </c>
      <c r="E544">
        <v>0</v>
      </c>
      <c r="F544">
        <v>0.60994642458241621</v>
      </c>
      <c r="G544" t="s">
        <v>35</v>
      </c>
    </row>
    <row r="545" spans="1:7" x14ac:dyDescent="0.25">
      <c r="A545" t="s">
        <v>40</v>
      </c>
      <c r="B545" t="s">
        <v>5017</v>
      </c>
      <c r="C545">
        <v>7</v>
      </c>
      <c r="D545">
        <v>22.279</v>
      </c>
      <c r="E545">
        <v>0</v>
      </c>
      <c r="F545">
        <v>1.5434419425088099</v>
      </c>
      <c r="G545" t="s">
        <v>41</v>
      </c>
    </row>
    <row r="546" spans="1:7" x14ac:dyDescent="0.25">
      <c r="A546" t="s">
        <v>8485</v>
      </c>
      <c r="B546" t="s">
        <v>5017</v>
      </c>
      <c r="C546">
        <v>9</v>
      </c>
      <c r="D546">
        <v>22.66899999999999</v>
      </c>
      <c r="E546">
        <v>0</v>
      </c>
      <c r="F546">
        <v>0.86501267961775841</v>
      </c>
      <c r="G546" t="s">
        <v>29</v>
      </c>
    </row>
    <row r="547" spans="1:7" x14ac:dyDescent="0.25">
      <c r="A547" t="s">
        <v>32</v>
      </c>
      <c r="B547" t="s">
        <v>5017</v>
      </c>
      <c r="C547">
        <v>9</v>
      </c>
      <c r="D547">
        <v>22.66899999999999</v>
      </c>
      <c r="E547">
        <v>0</v>
      </c>
      <c r="F547">
        <v>0.86501267961775841</v>
      </c>
      <c r="G547" t="s">
        <v>29</v>
      </c>
    </row>
    <row r="548" spans="1:7" x14ac:dyDescent="0.25">
      <c r="A548" t="s">
        <v>33</v>
      </c>
      <c r="B548" t="s">
        <v>5017</v>
      </c>
      <c r="C548">
        <v>9</v>
      </c>
      <c r="D548">
        <v>22.66899999999999</v>
      </c>
      <c r="E548">
        <v>0</v>
      </c>
      <c r="F548">
        <v>0.86501267961775841</v>
      </c>
      <c r="G548" t="s">
        <v>29</v>
      </c>
    </row>
    <row r="549" spans="1:7" x14ac:dyDescent="0.25">
      <c r="A549" t="s">
        <v>8493</v>
      </c>
      <c r="B549" t="s">
        <v>5017</v>
      </c>
      <c r="C549">
        <v>9</v>
      </c>
      <c r="D549">
        <v>22.66899999999999</v>
      </c>
      <c r="E549">
        <v>0</v>
      </c>
      <c r="F549">
        <v>0.86501267961775841</v>
      </c>
      <c r="G549" t="s">
        <v>29</v>
      </c>
    </row>
    <row r="550" spans="1:7" x14ac:dyDescent="0.25">
      <c r="A550" t="s">
        <v>7333</v>
      </c>
      <c r="B550" t="s">
        <v>5017</v>
      </c>
      <c r="C550">
        <v>8</v>
      </c>
      <c r="D550">
        <v>22.721999999999991</v>
      </c>
      <c r="E550">
        <v>0</v>
      </c>
      <c r="F550">
        <v>0.49324914186954533</v>
      </c>
      <c r="G550" t="s">
        <v>23</v>
      </c>
    </row>
    <row r="551" spans="1:7" x14ac:dyDescent="0.25">
      <c r="A551" t="s">
        <v>7008</v>
      </c>
      <c r="B551" t="s">
        <v>5017</v>
      </c>
      <c r="C551">
        <v>9</v>
      </c>
      <c r="D551">
        <v>22.903999999999989</v>
      </c>
      <c r="E551">
        <v>0</v>
      </c>
      <c r="F551">
        <v>0.79416438748857598</v>
      </c>
      <c r="G551" t="s">
        <v>29</v>
      </c>
    </row>
    <row r="552" spans="1:7" x14ac:dyDescent="0.25">
      <c r="A552" t="s">
        <v>14039</v>
      </c>
      <c r="B552" t="s">
        <v>5017</v>
      </c>
      <c r="C552">
        <v>2</v>
      </c>
      <c r="D552">
        <v>22.908000000000001</v>
      </c>
      <c r="E552">
        <v>0</v>
      </c>
      <c r="F552">
        <v>0.61806221353656199</v>
      </c>
      <c r="G552" t="s">
        <v>35</v>
      </c>
    </row>
    <row r="553" spans="1:7" x14ac:dyDescent="0.25">
      <c r="A553" t="s">
        <v>15341</v>
      </c>
      <c r="B553" t="s">
        <v>5017</v>
      </c>
      <c r="C553">
        <v>2</v>
      </c>
      <c r="D553">
        <v>23.151</v>
      </c>
      <c r="E553">
        <v>0</v>
      </c>
      <c r="F553">
        <v>0.61546511725056985</v>
      </c>
      <c r="G553" t="s">
        <v>35</v>
      </c>
    </row>
    <row r="554" spans="1:7" x14ac:dyDescent="0.25">
      <c r="A554" t="s">
        <v>10735</v>
      </c>
      <c r="B554" t="s">
        <v>5017</v>
      </c>
      <c r="C554">
        <v>5</v>
      </c>
      <c r="D554">
        <v>23.686</v>
      </c>
      <c r="E554">
        <v>0</v>
      </c>
      <c r="F554">
        <v>0.78954104940796965</v>
      </c>
      <c r="G554" t="s">
        <v>17</v>
      </c>
    </row>
    <row r="555" spans="1:7" x14ac:dyDescent="0.25">
      <c r="A555" t="s">
        <v>5644</v>
      </c>
      <c r="B555" t="s">
        <v>5017</v>
      </c>
      <c r="C555">
        <v>5</v>
      </c>
      <c r="D555">
        <v>23.939000000000011</v>
      </c>
      <c r="E555">
        <v>0</v>
      </c>
      <c r="F555">
        <v>0.77170676871509225</v>
      </c>
      <c r="G555" t="s">
        <v>17</v>
      </c>
    </row>
    <row r="556" spans="1:7" x14ac:dyDescent="0.25">
      <c r="A556" t="s">
        <v>142</v>
      </c>
      <c r="B556" t="s">
        <v>5017</v>
      </c>
      <c r="C556">
        <v>9</v>
      </c>
      <c r="D556">
        <v>24.13199999999998</v>
      </c>
      <c r="E556">
        <v>0</v>
      </c>
      <c r="F556">
        <v>0.80121206463126737</v>
      </c>
      <c r="G556" t="s">
        <v>29</v>
      </c>
    </row>
    <row r="557" spans="1:7" x14ac:dyDescent="0.25">
      <c r="A557" t="s">
        <v>15464</v>
      </c>
      <c r="B557" t="s">
        <v>5017</v>
      </c>
      <c r="C557">
        <v>5</v>
      </c>
      <c r="D557">
        <v>24.17799999999999</v>
      </c>
      <c r="E557">
        <v>0</v>
      </c>
      <c r="F557">
        <v>0.60394623209176201</v>
      </c>
      <c r="G557" t="s">
        <v>17</v>
      </c>
    </row>
    <row r="558" spans="1:7" x14ac:dyDescent="0.25">
      <c r="A558" t="s">
        <v>11965</v>
      </c>
      <c r="B558" t="s">
        <v>5017</v>
      </c>
      <c r="C558">
        <v>5</v>
      </c>
      <c r="D558">
        <v>24.469000000000001</v>
      </c>
      <c r="E558">
        <v>0</v>
      </c>
      <c r="F558">
        <v>0.60014979459974871</v>
      </c>
      <c r="G558" t="s">
        <v>17</v>
      </c>
    </row>
    <row r="559" spans="1:7" x14ac:dyDescent="0.25">
      <c r="A559" t="s">
        <v>6012</v>
      </c>
      <c r="B559" t="s">
        <v>5017</v>
      </c>
      <c r="C559">
        <v>5</v>
      </c>
      <c r="D559">
        <v>24.684000000000001</v>
      </c>
      <c r="E559">
        <v>0</v>
      </c>
      <c r="F559">
        <v>0.59359743327284209</v>
      </c>
      <c r="G559" t="s">
        <v>17</v>
      </c>
    </row>
    <row r="560" spans="1:7" x14ac:dyDescent="0.25">
      <c r="A560" t="s">
        <v>5097</v>
      </c>
      <c r="B560" t="s">
        <v>5017</v>
      </c>
      <c r="C560">
        <v>7</v>
      </c>
      <c r="D560">
        <v>24.78</v>
      </c>
      <c r="E560">
        <v>0</v>
      </c>
      <c r="F560">
        <v>0.67533606301660842</v>
      </c>
      <c r="G560" t="s">
        <v>41</v>
      </c>
    </row>
    <row r="561" spans="1:7" x14ac:dyDescent="0.25">
      <c r="A561" t="s">
        <v>141</v>
      </c>
      <c r="B561" t="s">
        <v>5017</v>
      </c>
      <c r="C561">
        <v>9</v>
      </c>
      <c r="D561">
        <v>24.863999999999979</v>
      </c>
      <c r="E561">
        <v>0</v>
      </c>
      <c r="F561">
        <v>0.81985086410967678</v>
      </c>
      <c r="G561" t="s">
        <v>29</v>
      </c>
    </row>
    <row r="562" spans="1:7" x14ac:dyDescent="0.25">
      <c r="A562" t="s">
        <v>13551</v>
      </c>
      <c r="B562" t="s">
        <v>5017</v>
      </c>
      <c r="C562">
        <v>2</v>
      </c>
      <c r="D562">
        <v>24.972000000000001</v>
      </c>
      <c r="E562">
        <v>0</v>
      </c>
      <c r="F562">
        <v>0.60527521143000962</v>
      </c>
      <c r="G562" t="s">
        <v>35</v>
      </c>
    </row>
    <row r="563" spans="1:7" x14ac:dyDescent="0.25">
      <c r="A563" t="s">
        <v>150</v>
      </c>
      <c r="B563" t="s">
        <v>5017</v>
      </c>
      <c r="C563">
        <v>1</v>
      </c>
      <c r="D563">
        <v>25.253999999999991</v>
      </c>
      <c r="E563">
        <v>0</v>
      </c>
      <c r="F563">
        <v>0.65655037885639711</v>
      </c>
      <c r="G563" t="s">
        <v>47</v>
      </c>
    </row>
    <row r="564" spans="1:7" x14ac:dyDescent="0.25">
      <c r="A564" t="s">
        <v>11296</v>
      </c>
      <c r="B564" t="s">
        <v>5017</v>
      </c>
      <c r="C564">
        <v>5</v>
      </c>
      <c r="D564">
        <v>25.805</v>
      </c>
      <c r="E564">
        <v>0</v>
      </c>
      <c r="F564">
        <v>0.75147902830384383</v>
      </c>
      <c r="G564" t="s">
        <v>17</v>
      </c>
    </row>
    <row r="565" spans="1:7" x14ac:dyDescent="0.25">
      <c r="A565" t="s">
        <v>149</v>
      </c>
      <c r="B565" t="s">
        <v>5017</v>
      </c>
      <c r="C565">
        <v>1</v>
      </c>
      <c r="D565">
        <v>26.47600000000001</v>
      </c>
      <c r="E565">
        <v>0</v>
      </c>
      <c r="F565">
        <v>1.203158961009509</v>
      </c>
      <c r="G565" t="s">
        <v>47</v>
      </c>
    </row>
    <row r="566" spans="1:7" x14ac:dyDescent="0.25">
      <c r="A566" t="s">
        <v>147</v>
      </c>
      <c r="B566" t="s">
        <v>5017</v>
      </c>
      <c r="C566">
        <v>7</v>
      </c>
      <c r="D566">
        <v>26.664999999999999</v>
      </c>
      <c r="E566">
        <v>0</v>
      </c>
      <c r="F566">
        <v>0.64758469557500342</v>
      </c>
      <c r="G566" t="s">
        <v>41</v>
      </c>
    </row>
    <row r="567" spans="1:7" x14ac:dyDescent="0.25">
      <c r="A567" t="s">
        <v>6693</v>
      </c>
      <c r="B567" t="s">
        <v>5017</v>
      </c>
      <c r="C567">
        <v>5</v>
      </c>
      <c r="D567">
        <v>27.353000000000002</v>
      </c>
      <c r="E567">
        <v>0</v>
      </c>
      <c r="F567">
        <v>0.62154010869555421</v>
      </c>
      <c r="G567" t="s">
        <v>17</v>
      </c>
    </row>
    <row r="568" spans="1:7" x14ac:dyDescent="0.25">
      <c r="A568" t="s">
        <v>13248</v>
      </c>
      <c r="B568" t="s">
        <v>5017</v>
      </c>
      <c r="C568">
        <v>5</v>
      </c>
      <c r="D568">
        <v>27.360999999999979</v>
      </c>
      <c r="E568">
        <v>0</v>
      </c>
      <c r="F568">
        <v>0.81458168835549238</v>
      </c>
      <c r="G568" t="s">
        <v>17</v>
      </c>
    </row>
    <row r="569" spans="1:7" x14ac:dyDescent="0.25">
      <c r="A569" t="s">
        <v>11950</v>
      </c>
      <c r="B569" t="s">
        <v>5017</v>
      </c>
      <c r="C569">
        <v>5</v>
      </c>
      <c r="D569">
        <v>27.617000000000012</v>
      </c>
      <c r="E569">
        <v>0</v>
      </c>
      <c r="F569">
        <v>0.84759691650023528</v>
      </c>
      <c r="G569" t="s">
        <v>17</v>
      </c>
    </row>
    <row r="570" spans="1:7" x14ac:dyDescent="0.25">
      <c r="A570" t="s">
        <v>10318</v>
      </c>
      <c r="B570" t="s">
        <v>5017</v>
      </c>
      <c r="C570">
        <v>5</v>
      </c>
      <c r="D570">
        <v>28.243000000000009</v>
      </c>
      <c r="E570">
        <v>0</v>
      </c>
      <c r="F570">
        <v>0.71920548834403752</v>
      </c>
      <c r="G570" t="s">
        <v>17</v>
      </c>
    </row>
    <row r="571" spans="1:7" x14ac:dyDescent="0.25">
      <c r="A571" t="s">
        <v>6272</v>
      </c>
      <c r="B571" t="s">
        <v>5017</v>
      </c>
      <c r="C571">
        <v>2</v>
      </c>
      <c r="D571">
        <v>28.536999999999999</v>
      </c>
      <c r="E571">
        <v>0</v>
      </c>
      <c r="F571">
        <v>0.60123394657479257</v>
      </c>
      <c r="G571" t="s">
        <v>35</v>
      </c>
    </row>
    <row r="572" spans="1:7" x14ac:dyDescent="0.25">
      <c r="A572" t="s">
        <v>146</v>
      </c>
      <c r="B572" t="s">
        <v>5017</v>
      </c>
      <c r="C572">
        <v>7</v>
      </c>
      <c r="D572">
        <v>28.841999999999999</v>
      </c>
      <c r="E572">
        <v>0</v>
      </c>
      <c r="F572">
        <v>0.70355168291368719</v>
      </c>
      <c r="G572" t="s">
        <v>41</v>
      </c>
    </row>
    <row r="573" spans="1:7" x14ac:dyDescent="0.25">
      <c r="A573" t="s">
        <v>5692</v>
      </c>
      <c r="B573" t="s">
        <v>5017</v>
      </c>
      <c r="C573">
        <v>5</v>
      </c>
      <c r="D573">
        <v>29.524000000000001</v>
      </c>
      <c r="E573">
        <v>0</v>
      </c>
      <c r="F573">
        <v>0.70186742951477799</v>
      </c>
      <c r="G573" t="s">
        <v>17</v>
      </c>
    </row>
    <row r="574" spans="1:7" x14ac:dyDescent="0.25">
      <c r="A574" t="s">
        <v>11818</v>
      </c>
      <c r="B574" t="s">
        <v>5017</v>
      </c>
      <c r="C574">
        <v>5</v>
      </c>
      <c r="D574">
        <v>30.03599999999998</v>
      </c>
      <c r="E574">
        <v>0</v>
      </c>
      <c r="F574">
        <v>0.69550853411507041</v>
      </c>
      <c r="G574" t="s">
        <v>17</v>
      </c>
    </row>
    <row r="575" spans="1:7" x14ac:dyDescent="0.25">
      <c r="A575" t="s">
        <v>16225</v>
      </c>
      <c r="B575" t="s">
        <v>5017</v>
      </c>
      <c r="C575">
        <v>2</v>
      </c>
      <c r="D575">
        <v>30.166999999999991</v>
      </c>
      <c r="E575">
        <v>0</v>
      </c>
      <c r="F575">
        <v>0.6442025094392948</v>
      </c>
      <c r="G575" t="s">
        <v>35</v>
      </c>
    </row>
    <row r="576" spans="1:7" x14ac:dyDescent="0.25">
      <c r="A576" t="s">
        <v>10288</v>
      </c>
      <c r="B576" t="s">
        <v>5017</v>
      </c>
      <c r="C576">
        <v>5</v>
      </c>
      <c r="D576">
        <v>31.041999999999991</v>
      </c>
      <c r="E576">
        <v>0</v>
      </c>
      <c r="F576">
        <v>0.79586132742238558</v>
      </c>
      <c r="G576" t="s">
        <v>17</v>
      </c>
    </row>
    <row r="577" spans="1:7" x14ac:dyDescent="0.25">
      <c r="A577" t="s">
        <v>14359</v>
      </c>
      <c r="B577" t="s">
        <v>5017</v>
      </c>
      <c r="C577">
        <v>2</v>
      </c>
      <c r="D577">
        <v>31.852</v>
      </c>
      <c r="E577">
        <v>0</v>
      </c>
      <c r="F577">
        <v>0.66449711494507768</v>
      </c>
      <c r="G577" t="s">
        <v>35</v>
      </c>
    </row>
    <row r="578" spans="1:7" x14ac:dyDescent="0.25">
      <c r="A578" t="s">
        <v>11917</v>
      </c>
      <c r="B578" t="s">
        <v>5017</v>
      </c>
      <c r="C578">
        <v>5</v>
      </c>
      <c r="D578">
        <v>31.86200000000002</v>
      </c>
      <c r="E578">
        <v>0</v>
      </c>
      <c r="F578">
        <v>0.76609161446948659</v>
      </c>
      <c r="G578" t="s">
        <v>17</v>
      </c>
    </row>
    <row r="579" spans="1:7" x14ac:dyDescent="0.25">
      <c r="A579" t="s">
        <v>60</v>
      </c>
      <c r="B579" t="s">
        <v>5017</v>
      </c>
      <c r="C579">
        <v>4</v>
      </c>
      <c r="D579">
        <v>32.701000000000001</v>
      </c>
      <c r="E579">
        <v>0</v>
      </c>
      <c r="F579">
        <v>0.98423563930899083</v>
      </c>
      <c r="G579" t="s">
        <v>59</v>
      </c>
    </row>
    <row r="580" spans="1:7" x14ac:dyDescent="0.25">
      <c r="A580" t="s">
        <v>11935</v>
      </c>
      <c r="B580" t="s">
        <v>5017</v>
      </c>
      <c r="C580">
        <v>5</v>
      </c>
      <c r="D580">
        <v>32.881000000000022</v>
      </c>
      <c r="E580">
        <v>0</v>
      </c>
      <c r="F580">
        <v>0.8386358294909082</v>
      </c>
      <c r="G580" t="s">
        <v>17</v>
      </c>
    </row>
    <row r="581" spans="1:7" x14ac:dyDescent="0.25">
      <c r="A581" t="s">
        <v>13619</v>
      </c>
      <c r="B581" t="s">
        <v>5017</v>
      </c>
      <c r="C581">
        <v>5</v>
      </c>
      <c r="D581">
        <v>33.645999999999987</v>
      </c>
      <c r="E581">
        <v>0</v>
      </c>
      <c r="F581">
        <v>0.86971998081949975</v>
      </c>
      <c r="G581" t="s">
        <v>17</v>
      </c>
    </row>
    <row r="582" spans="1:7" x14ac:dyDescent="0.25">
      <c r="A582" t="s">
        <v>10732</v>
      </c>
      <c r="B582" t="s">
        <v>5017</v>
      </c>
      <c r="C582">
        <v>5</v>
      </c>
      <c r="D582">
        <v>34.21600000000003</v>
      </c>
      <c r="E582">
        <v>0</v>
      </c>
      <c r="F582">
        <v>0.81320033859014973</v>
      </c>
      <c r="G582" t="s">
        <v>17</v>
      </c>
    </row>
    <row r="583" spans="1:7" x14ac:dyDescent="0.25">
      <c r="A583" t="s">
        <v>6027</v>
      </c>
      <c r="B583" t="s">
        <v>5017</v>
      </c>
      <c r="C583">
        <v>5</v>
      </c>
      <c r="D583">
        <v>34.510000000000034</v>
      </c>
      <c r="E583">
        <v>0</v>
      </c>
      <c r="F583">
        <v>0.62254426538089258</v>
      </c>
      <c r="G583" t="s">
        <v>17</v>
      </c>
    </row>
    <row r="584" spans="1:7" x14ac:dyDescent="0.25">
      <c r="A584" t="s">
        <v>145</v>
      </c>
      <c r="B584" t="s">
        <v>5017</v>
      </c>
      <c r="C584">
        <v>2</v>
      </c>
      <c r="D584">
        <v>35.055</v>
      </c>
      <c r="E584">
        <v>0</v>
      </c>
      <c r="F584">
        <v>0.58227949624451092</v>
      </c>
      <c r="G584" t="s">
        <v>35</v>
      </c>
    </row>
    <row r="585" spans="1:7" x14ac:dyDescent="0.25">
      <c r="A585" t="s">
        <v>11899</v>
      </c>
      <c r="B585" t="s">
        <v>5017</v>
      </c>
      <c r="C585">
        <v>5</v>
      </c>
      <c r="D585">
        <v>37.099999999999987</v>
      </c>
      <c r="E585">
        <v>0</v>
      </c>
      <c r="F585">
        <v>0.7032815263239478</v>
      </c>
      <c r="G585" t="s">
        <v>17</v>
      </c>
    </row>
    <row r="586" spans="1:7" x14ac:dyDescent="0.25">
      <c r="A586" t="s">
        <v>21</v>
      </c>
      <c r="B586" t="s">
        <v>5017</v>
      </c>
      <c r="C586">
        <v>5</v>
      </c>
      <c r="D586">
        <v>37.433000000000021</v>
      </c>
      <c r="E586">
        <v>0</v>
      </c>
      <c r="F586">
        <v>0.9623076990254058</v>
      </c>
      <c r="G586" t="s">
        <v>17</v>
      </c>
    </row>
    <row r="587" spans="1:7" x14ac:dyDescent="0.25">
      <c r="A587" t="s">
        <v>11305</v>
      </c>
      <c r="B587" t="s">
        <v>5017</v>
      </c>
      <c r="C587">
        <v>5</v>
      </c>
      <c r="D587">
        <v>37.522999999999989</v>
      </c>
      <c r="E587">
        <v>0</v>
      </c>
      <c r="F587">
        <v>0.88309289273176628</v>
      </c>
      <c r="G587" t="s">
        <v>17</v>
      </c>
    </row>
    <row r="588" spans="1:7" x14ac:dyDescent="0.25">
      <c r="A588" t="s">
        <v>143</v>
      </c>
      <c r="B588" t="s">
        <v>5017</v>
      </c>
      <c r="C588">
        <v>2</v>
      </c>
      <c r="D588">
        <v>37.58700000000001</v>
      </c>
      <c r="E588">
        <v>0</v>
      </c>
      <c r="F588">
        <v>0.6581433885257183</v>
      </c>
      <c r="G588" t="s">
        <v>35</v>
      </c>
    </row>
    <row r="589" spans="1:7" x14ac:dyDescent="0.25">
      <c r="A589" t="s">
        <v>13296</v>
      </c>
      <c r="B589" t="s">
        <v>5017</v>
      </c>
      <c r="C589">
        <v>5</v>
      </c>
      <c r="D589">
        <v>37.875000000000021</v>
      </c>
      <c r="E589">
        <v>0</v>
      </c>
      <c r="F589">
        <v>0.72711120593529732</v>
      </c>
      <c r="G589" t="s">
        <v>17</v>
      </c>
    </row>
    <row r="590" spans="1:7" x14ac:dyDescent="0.25">
      <c r="A590" t="s">
        <v>15425</v>
      </c>
      <c r="B590" t="s">
        <v>5017</v>
      </c>
      <c r="C590">
        <v>5</v>
      </c>
      <c r="D590">
        <v>39.810000000000016</v>
      </c>
      <c r="E590">
        <v>0</v>
      </c>
      <c r="F590">
        <v>0.70444491710727553</v>
      </c>
      <c r="G590" t="s">
        <v>17</v>
      </c>
    </row>
    <row r="591" spans="1:7" x14ac:dyDescent="0.25">
      <c r="A591" t="s">
        <v>12958</v>
      </c>
      <c r="B591" t="s">
        <v>5017</v>
      </c>
      <c r="C591">
        <v>5</v>
      </c>
      <c r="D591">
        <v>40.136000000000017</v>
      </c>
      <c r="E591">
        <v>0</v>
      </c>
      <c r="F591">
        <v>0.68962415520660036</v>
      </c>
      <c r="G591" t="s">
        <v>17</v>
      </c>
    </row>
    <row r="592" spans="1:7" x14ac:dyDescent="0.25">
      <c r="A592" t="s">
        <v>11887</v>
      </c>
      <c r="B592" t="s">
        <v>5017</v>
      </c>
      <c r="C592">
        <v>5</v>
      </c>
      <c r="D592">
        <v>46.370000000000033</v>
      </c>
      <c r="E592">
        <v>0</v>
      </c>
      <c r="F592">
        <v>0.69052175608692667</v>
      </c>
      <c r="G592" t="s">
        <v>17</v>
      </c>
    </row>
    <row r="593" spans="1:7" x14ac:dyDescent="0.25">
      <c r="A593" t="s">
        <v>11863</v>
      </c>
      <c r="B593" t="s">
        <v>5017</v>
      </c>
      <c r="C593">
        <v>5</v>
      </c>
      <c r="D593">
        <v>47.580999999999968</v>
      </c>
      <c r="E593">
        <v>0</v>
      </c>
      <c r="F593">
        <v>0.72583564667144673</v>
      </c>
      <c r="G593" t="s">
        <v>17</v>
      </c>
    </row>
    <row r="594" spans="1:7" x14ac:dyDescent="0.25">
      <c r="A594" t="s">
        <v>14128</v>
      </c>
      <c r="B594" t="s">
        <v>5017</v>
      </c>
      <c r="C594">
        <v>5</v>
      </c>
      <c r="D594">
        <v>48.619999999999948</v>
      </c>
      <c r="E594">
        <v>0</v>
      </c>
      <c r="F594">
        <v>0.82832810570612847</v>
      </c>
      <c r="G594" t="s">
        <v>17</v>
      </c>
    </row>
    <row r="595" spans="1:7" x14ac:dyDescent="0.25">
      <c r="A595" t="s">
        <v>5958</v>
      </c>
      <c r="B595" t="s">
        <v>5017</v>
      </c>
      <c r="C595">
        <v>5</v>
      </c>
      <c r="D595">
        <v>48.749000000000009</v>
      </c>
      <c r="E595">
        <v>0</v>
      </c>
      <c r="F595">
        <v>0.78157219772711328</v>
      </c>
      <c r="G595" t="s">
        <v>17</v>
      </c>
    </row>
    <row r="596" spans="1:7" x14ac:dyDescent="0.25">
      <c r="A596" t="s">
        <v>11293</v>
      </c>
      <c r="B596" t="s">
        <v>5017</v>
      </c>
      <c r="C596">
        <v>5</v>
      </c>
      <c r="D596">
        <v>49.26999999999996</v>
      </c>
      <c r="E596">
        <v>0</v>
      </c>
      <c r="F596">
        <v>0.90427065231195036</v>
      </c>
      <c r="G596" t="s">
        <v>17</v>
      </c>
    </row>
    <row r="597" spans="1:7" x14ac:dyDescent="0.25">
      <c r="A597" t="s">
        <v>11908</v>
      </c>
      <c r="B597" t="s">
        <v>5017</v>
      </c>
      <c r="C597">
        <v>5</v>
      </c>
      <c r="D597">
        <v>49.840999999999973</v>
      </c>
      <c r="E597">
        <v>0</v>
      </c>
      <c r="F597">
        <v>0.7425782142618913</v>
      </c>
      <c r="G597" t="s">
        <v>17</v>
      </c>
    </row>
    <row r="598" spans="1:7" x14ac:dyDescent="0.25">
      <c r="A598" t="s">
        <v>13562</v>
      </c>
      <c r="B598" t="s">
        <v>5017</v>
      </c>
      <c r="C598">
        <v>5</v>
      </c>
      <c r="D598">
        <v>50.963000000000036</v>
      </c>
      <c r="E598">
        <v>0</v>
      </c>
      <c r="F598">
        <v>0.92176685073048281</v>
      </c>
      <c r="G598" t="s">
        <v>17</v>
      </c>
    </row>
    <row r="599" spans="1:7" x14ac:dyDescent="0.25">
      <c r="A599" t="s">
        <v>11968</v>
      </c>
      <c r="B599" t="s">
        <v>5017</v>
      </c>
      <c r="C599">
        <v>5</v>
      </c>
      <c r="D599">
        <v>53.701999999999977</v>
      </c>
      <c r="E599">
        <v>0</v>
      </c>
      <c r="F599">
        <v>0.87936319813774255</v>
      </c>
      <c r="G599" t="s">
        <v>17</v>
      </c>
    </row>
    <row r="600" spans="1:7" x14ac:dyDescent="0.25">
      <c r="A600" t="s">
        <v>6015</v>
      </c>
      <c r="B600" t="s">
        <v>5017</v>
      </c>
      <c r="C600">
        <v>5</v>
      </c>
      <c r="D600">
        <v>54.743999999999993</v>
      </c>
      <c r="E600">
        <v>0</v>
      </c>
      <c r="F600">
        <v>0.69408193225778636</v>
      </c>
      <c r="G600" t="s">
        <v>17</v>
      </c>
    </row>
    <row r="601" spans="1:7" x14ac:dyDescent="0.25">
      <c r="A601" t="s">
        <v>6726</v>
      </c>
      <c r="B601" t="s">
        <v>5017</v>
      </c>
      <c r="C601">
        <v>5</v>
      </c>
      <c r="D601">
        <v>55.091000000000008</v>
      </c>
      <c r="E601">
        <v>0</v>
      </c>
      <c r="F601">
        <v>0.66523776622461628</v>
      </c>
      <c r="G601" t="s">
        <v>17</v>
      </c>
    </row>
    <row r="602" spans="1:7" x14ac:dyDescent="0.25">
      <c r="A602" t="s">
        <v>16109</v>
      </c>
      <c r="B602" t="s">
        <v>5017</v>
      </c>
      <c r="C602">
        <v>5</v>
      </c>
      <c r="D602">
        <v>58.622999999999969</v>
      </c>
      <c r="E602">
        <v>0</v>
      </c>
      <c r="F602">
        <v>0.73451668142875182</v>
      </c>
      <c r="G602" t="s">
        <v>17</v>
      </c>
    </row>
    <row r="603" spans="1:7" x14ac:dyDescent="0.25">
      <c r="A603" t="s">
        <v>5946</v>
      </c>
      <c r="B603" t="s">
        <v>5017</v>
      </c>
      <c r="C603">
        <v>5</v>
      </c>
      <c r="D603">
        <v>59.34200000000007</v>
      </c>
      <c r="E603">
        <v>0</v>
      </c>
      <c r="F603">
        <v>0.77042533019503157</v>
      </c>
      <c r="G603" t="s">
        <v>17</v>
      </c>
    </row>
    <row r="604" spans="1:7" x14ac:dyDescent="0.25">
      <c r="A604" t="s">
        <v>11896</v>
      </c>
      <c r="B604" t="s">
        <v>5017</v>
      </c>
      <c r="C604">
        <v>5</v>
      </c>
      <c r="D604">
        <v>60.541000000000082</v>
      </c>
      <c r="E604">
        <v>0</v>
      </c>
      <c r="F604">
        <v>0.75499219448929711</v>
      </c>
      <c r="G604" t="s">
        <v>17</v>
      </c>
    </row>
    <row r="605" spans="1:7" x14ac:dyDescent="0.25">
      <c r="A605" t="s">
        <v>11947</v>
      </c>
      <c r="B605" t="s">
        <v>5017</v>
      </c>
      <c r="C605">
        <v>5</v>
      </c>
      <c r="D605">
        <v>60.559999999999981</v>
      </c>
      <c r="E605">
        <v>0</v>
      </c>
      <c r="F605">
        <v>0.83572289504699016</v>
      </c>
      <c r="G605" t="s">
        <v>17</v>
      </c>
    </row>
    <row r="606" spans="1:7" x14ac:dyDescent="0.25">
      <c r="A606" t="s">
        <v>16029</v>
      </c>
      <c r="B606" t="s">
        <v>5017</v>
      </c>
      <c r="C606">
        <v>5</v>
      </c>
      <c r="D606">
        <v>63.107000000000014</v>
      </c>
      <c r="E606">
        <v>0</v>
      </c>
      <c r="F606">
        <v>0.76137204836092143</v>
      </c>
      <c r="G606" t="s">
        <v>17</v>
      </c>
    </row>
    <row r="607" spans="1:7" x14ac:dyDescent="0.25">
      <c r="A607" t="s">
        <v>9551</v>
      </c>
      <c r="B607" t="s">
        <v>5017</v>
      </c>
      <c r="C607">
        <v>5</v>
      </c>
      <c r="D607">
        <v>66.043999999999997</v>
      </c>
      <c r="E607">
        <v>0</v>
      </c>
      <c r="F607">
        <v>0.83074675028908018</v>
      </c>
      <c r="G607" t="s">
        <v>17</v>
      </c>
    </row>
    <row r="608" spans="1:7" x14ac:dyDescent="0.25">
      <c r="A608" t="s">
        <v>9555</v>
      </c>
      <c r="B608" t="s">
        <v>5017</v>
      </c>
      <c r="C608">
        <v>5</v>
      </c>
      <c r="D608">
        <v>66.043999999999997</v>
      </c>
      <c r="E608">
        <v>0</v>
      </c>
      <c r="F608">
        <v>0.88641241085983291</v>
      </c>
      <c r="G608" t="s">
        <v>17</v>
      </c>
    </row>
    <row r="609" spans="1:7" x14ac:dyDescent="0.25">
      <c r="A609" t="s">
        <v>9558</v>
      </c>
      <c r="B609" t="s">
        <v>5017</v>
      </c>
      <c r="C609">
        <v>5</v>
      </c>
      <c r="D609">
        <v>66.043999999999997</v>
      </c>
      <c r="E609">
        <v>0</v>
      </c>
      <c r="F609">
        <v>0.88641241085983291</v>
      </c>
      <c r="G609" t="s">
        <v>17</v>
      </c>
    </row>
    <row r="610" spans="1:7" x14ac:dyDescent="0.25">
      <c r="A610" t="s">
        <v>9561</v>
      </c>
      <c r="B610" t="s">
        <v>5017</v>
      </c>
      <c r="C610">
        <v>5</v>
      </c>
      <c r="D610">
        <v>66.043999999999997</v>
      </c>
      <c r="E610">
        <v>0</v>
      </c>
      <c r="F610">
        <v>0.83074675028908018</v>
      </c>
      <c r="G610" t="s">
        <v>17</v>
      </c>
    </row>
    <row r="611" spans="1:7" x14ac:dyDescent="0.25">
      <c r="A611" t="s">
        <v>9564</v>
      </c>
      <c r="B611" t="s">
        <v>5017</v>
      </c>
      <c r="C611">
        <v>5</v>
      </c>
      <c r="D611">
        <v>66.043999999999997</v>
      </c>
      <c r="E611">
        <v>0</v>
      </c>
      <c r="F611">
        <v>0.86105951592822427</v>
      </c>
      <c r="G611" t="s">
        <v>17</v>
      </c>
    </row>
    <row r="612" spans="1:7" x14ac:dyDescent="0.25">
      <c r="A612" t="s">
        <v>9567</v>
      </c>
      <c r="B612" t="s">
        <v>5017</v>
      </c>
      <c r="C612">
        <v>5</v>
      </c>
      <c r="D612">
        <v>66.043999999999997</v>
      </c>
      <c r="E612">
        <v>0</v>
      </c>
      <c r="F612">
        <v>0.88641241085983291</v>
      </c>
      <c r="G612" t="s">
        <v>17</v>
      </c>
    </row>
    <row r="613" spans="1:7" x14ac:dyDescent="0.25">
      <c r="A613" t="s">
        <v>9601</v>
      </c>
      <c r="B613" t="s">
        <v>5017</v>
      </c>
      <c r="C613">
        <v>5</v>
      </c>
      <c r="D613">
        <v>66.043999999999997</v>
      </c>
      <c r="E613">
        <v>0</v>
      </c>
      <c r="F613">
        <v>0.83074675028908018</v>
      </c>
      <c r="G613" t="s">
        <v>17</v>
      </c>
    </row>
    <row r="614" spans="1:7" x14ac:dyDescent="0.25">
      <c r="A614" t="s">
        <v>9604</v>
      </c>
      <c r="B614" t="s">
        <v>5017</v>
      </c>
      <c r="C614">
        <v>5</v>
      </c>
      <c r="D614">
        <v>66.043999999999997</v>
      </c>
      <c r="E614">
        <v>0</v>
      </c>
      <c r="F614">
        <v>0.83074675028908018</v>
      </c>
      <c r="G614" t="s">
        <v>17</v>
      </c>
    </row>
    <row r="615" spans="1:7" x14ac:dyDescent="0.25">
      <c r="A615" t="s">
        <v>9607</v>
      </c>
      <c r="B615" t="s">
        <v>5017</v>
      </c>
      <c r="C615">
        <v>5</v>
      </c>
      <c r="D615">
        <v>66.043999999999997</v>
      </c>
      <c r="E615">
        <v>0</v>
      </c>
      <c r="F615">
        <v>0.83074675028908018</v>
      </c>
      <c r="G615" t="s">
        <v>17</v>
      </c>
    </row>
    <row r="616" spans="1:7" x14ac:dyDescent="0.25">
      <c r="A616" t="s">
        <v>5662</v>
      </c>
      <c r="B616" t="s">
        <v>5017</v>
      </c>
      <c r="C616">
        <v>11</v>
      </c>
      <c r="D616">
        <v>68.194000000000003</v>
      </c>
      <c r="E616">
        <v>0</v>
      </c>
      <c r="F616">
        <v>0.72890104428076352</v>
      </c>
      <c r="G616" t="s">
        <v>11</v>
      </c>
    </row>
    <row r="617" spans="1:7" x14ac:dyDescent="0.25">
      <c r="A617" t="s">
        <v>15506</v>
      </c>
      <c r="B617" t="s">
        <v>5017</v>
      </c>
      <c r="C617">
        <v>5</v>
      </c>
      <c r="D617">
        <v>68.973000000000027</v>
      </c>
      <c r="E617">
        <v>0</v>
      </c>
      <c r="F617">
        <v>0.81727661766559279</v>
      </c>
      <c r="G617" t="s">
        <v>17</v>
      </c>
    </row>
    <row r="618" spans="1:7" x14ac:dyDescent="0.25">
      <c r="A618" t="s">
        <v>8159</v>
      </c>
      <c r="B618" t="s">
        <v>5017</v>
      </c>
      <c r="C618">
        <v>5</v>
      </c>
      <c r="D618">
        <v>69.46599999999998</v>
      </c>
      <c r="E618">
        <v>0</v>
      </c>
      <c r="F618">
        <v>0.80093745640616398</v>
      </c>
      <c r="G618" t="s">
        <v>17</v>
      </c>
    </row>
    <row r="619" spans="1:7" x14ac:dyDescent="0.25">
      <c r="A619" t="s">
        <v>7684</v>
      </c>
      <c r="B619" t="s">
        <v>5017</v>
      </c>
      <c r="C619">
        <v>11</v>
      </c>
      <c r="D619">
        <v>72.050999999999988</v>
      </c>
      <c r="E619">
        <v>0</v>
      </c>
      <c r="F619">
        <v>0.68233431754750751</v>
      </c>
      <c r="G619" t="s">
        <v>11</v>
      </c>
    </row>
    <row r="620" spans="1:7" x14ac:dyDescent="0.25">
      <c r="A620" t="s">
        <v>9244</v>
      </c>
      <c r="B620" t="s">
        <v>5017</v>
      </c>
      <c r="C620">
        <v>11</v>
      </c>
      <c r="D620">
        <v>72.050999999999988</v>
      </c>
      <c r="E620">
        <v>0</v>
      </c>
      <c r="F620">
        <v>0.69103676852234563</v>
      </c>
      <c r="G620" t="s">
        <v>11</v>
      </c>
    </row>
    <row r="621" spans="1:7" x14ac:dyDescent="0.25">
      <c r="A621" t="s">
        <v>11881</v>
      </c>
      <c r="B621" t="s">
        <v>5017</v>
      </c>
      <c r="C621">
        <v>5</v>
      </c>
      <c r="D621">
        <v>74.284999999999883</v>
      </c>
      <c r="E621">
        <v>0</v>
      </c>
      <c r="F621">
        <v>0.74637866106693185</v>
      </c>
      <c r="G621" t="s">
        <v>17</v>
      </c>
    </row>
    <row r="622" spans="1:7" x14ac:dyDescent="0.25">
      <c r="A622" t="s">
        <v>8126</v>
      </c>
      <c r="B622" t="s">
        <v>5017</v>
      </c>
      <c r="C622">
        <v>5</v>
      </c>
      <c r="D622">
        <v>75.536000000000072</v>
      </c>
      <c r="E622">
        <v>0</v>
      </c>
      <c r="F622">
        <v>0.75687457266460045</v>
      </c>
      <c r="G622" t="s">
        <v>17</v>
      </c>
    </row>
    <row r="623" spans="1:7" x14ac:dyDescent="0.25">
      <c r="A623" t="s">
        <v>9713</v>
      </c>
      <c r="B623" t="s">
        <v>5017</v>
      </c>
      <c r="C623">
        <v>5</v>
      </c>
      <c r="D623">
        <v>75.536000000000072</v>
      </c>
      <c r="E623">
        <v>0</v>
      </c>
      <c r="F623">
        <v>0.80192349657727402</v>
      </c>
      <c r="G623" t="s">
        <v>17</v>
      </c>
    </row>
    <row r="624" spans="1:7" x14ac:dyDescent="0.25">
      <c r="A624" t="s">
        <v>9735</v>
      </c>
      <c r="B624" t="s">
        <v>5017</v>
      </c>
      <c r="C624">
        <v>5</v>
      </c>
      <c r="D624">
        <v>75.536000000000072</v>
      </c>
      <c r="E624">
        <v>0</v>
      </c>
      <c r="F624">
        <v>0.75687457266460045</v>
      </c>
      <c r="G624" t="s">
        <v>17</v>
      </c>
    </row>
    <row r="625" spans="1:7" x14ac:dyDescent="0.25">
      <c r="A625" t="s">
        <v>9741</v>
      </c>
      <c r="B625" t="s">
        <v>5017</v>
      </c>
      <c r="C625">
        <v>5</v>
      </c>
      <c r="D625">
        <v>75.536000000000072</v>
      </c>
      <c r="E625">
        <v>0</v>
      </c>
      <c r="F625">
        <v>0.75687457266460045</v>
      </c>
      <c r="G625" t="s">
        <v>17</v>
      </c>
    </row>
    <row r="626" spans="1:7" x14ac:dyDescent="0.25">
      <c r="A626" t="s">
        <v>5952</v>
      </c>
      <c r="B626" t="s">
        <v>5017</v>
      </c>
      <c r="C626">
        <v>5</v>
      </c>
      <c r="D626">
        <v>77.01100000000001</v>
      </c>
      <c r="E626">
        <v>0</v>
      </c>
      <c r="F626">
        <v>0.7205277769618168</v>
      </c>
      <c r="G626" t="s">
        <v>17</v>
      </c>
    </row>
    <row r="627" spans="1:7" x14ac:dyDescent="0.25">
      <c r="A627" t="s">
        <v>8090</v>
      </c>
      <c r="B627" t="s">
        <v>5017</v>
      </c>
      <c r="C627">
        <v>5</v>
      </c>
      <c r="D627">
        <v>77.711000000000055</v>
      </c>
      <c r="E627">
        <v>0</v>
      </c>
      <c r="F627">
        <v>0.72320338095805115</v>
      </c>
      <c r="G627" t="s">
        <v>17</v>
      </c>
    </row>
    <row r="628" spans="1:7" x14ac:dyDescent="0.25">
      <c r="A628" t="s">
        <v>11884</v>
      </c>
      <c r="B628" t="s">
        <v>5017</v>
      </c>
      <c r="C628">
        <v>5</v>
      </c>
      <c r="D628">
        <v>78.843000000000032</v>
      </c>
      <c r="E628">
        <v>0</v>
      </c>
      <c r="F628">
        <v>0.75774015146772589</v>
      </c>
      <c r="G628" t="s">
        <v>17</v>
      </c>
    </row>
    <row r="629" spans="1:7" x14ac:dyDescent="0.25">
      <c r="A629" t="s">
        <v>9722</v>
      </c>
      <c r="B629" t="s">
        <v>5017</v>
      </c>
      <c r="C629">
        <v>5</v>
      </c>
      <c r="D629">
        <v>83.923000000000101</v>
      </c>
      <c r="E629">
        <v>0</v>
      </c>
      <c r="F629">
        <v>0.7627126042039768</v>
      </c>
      <c r="G629" t="s">
        <v>17</v>
      </c>
    </row>
    <row r="630" spans="1:7" x14ac:dyDescent="0.25">
      <c r="A630" t="s">
        <v>9729</v>
      </c>
      <c r="B630" t="s">
        <v>5017</v>
      </c>
      <c r="C630">
        <v>5</v>
      </c>
      <c r="D630">
        <v>83.923000000000101</v>
      </c>
      <c r="E630">
        <v>0</v>
      </c>
      <c r="F630">
        <v>0.7627126042039768</v>
      </c>
      <c r="G630" t="s">
        <v>17</v>
      </c>
    </row>
    <row r="631" spans="1:7" x14ac:dyDescent="0.25">
      <c r="A631" t="s">
        <v>7598</v>
      </c>
      <c r="B631" t="s">
        <v>5017</v>
      </c>
      <c r="C631">
        <v>11</v>
      </c>
      <c r="D631">
        <v>85.818999999999974</v>
      </c>
      <c r="E631">
        <v>0</v>
      </c>
      <c r="F631">
        <v>0.75953243349065958</v>
      </c>
      <c r="G631" t="s">
        <v>11</v>
      </c>
    </row>
    <row r="632" spans="1:7" x14ac:dyDescent="0.25">
      <c r="A632" t="s">
        <v>7897</v>
      </c>
      <c r="B632" t="s">
        <v>5017</v>
      </c>
      <c r="C632">
        <v>11</v>
      </c>
      <c r="D632">
        <v>85.818999999999974</v>
      </c>
      <c r="E632">
        <v>0</v>
      </c>
      <c r="F632">
        <v>0.71680275901778445</v>
      </c>
      <c r="G632" t="s">
        <v>11</v>
      </c>
    </row>
    <row r="633" spans="1:7" x14ac:dyDescent="0.25">
      <c r="A633" t="s">
        <v>7903</v>
      </c>
      <c r="B633" t="s">
        <v>5017</v>
      </c>
      <c r="C633">
        <v>11</v>
      </c>
      <c r="D633">
        <v>85.818999999999974</v>
      </c>
      <c r="E633">
        <v>0</v>
      </c>
      <c r="F633">
        <v>0.75953243349065958</v>
      </c>
      <c r="G633" t="s">
        <v>11</v>
      </c>
    </row>
    <row r="634" spans="1:7" x14ac:dyDescent="0.25">
      <c r="A634" t="s">
        <v>7912</v>
      </c>
      <c r="B634" t="s">
        <v>5017</v>
      </c>
      <c r="C634">
        <v>11</v>
      </c>
      <c r="D634">
        <v>85.818999999999974</v>
      </c>
      <c r="E634">
        <v>0</v>
      </c>
      <c r="F634">
        <v>0.75953243349065958</v>
      </c>
      <c r="G634" t="s">
        <v>11</v>
      </c>
    </row>
    <row r="635" spans="1:7" x14ac:dyDescent="0.25">
      <c r="A635" t="s">
        <v>7915</v>
      </c>
      <c r="B635" t="s">
        <v>5017</v>
      </c>
      <c r="C635">
        <v>11</v>
      </c>
      <c r="D635">
        <v>85.818999999999974</v>
      </c>
      <c r="E635">
        <v>0</v>
      </c>
      <c r="F635">
        <v>0.75953243349065958</v>
      </c>
      <c r="G635" t="s">
        <v>11</v>
      </c>
    </row>
    <row r="636" spans="1:7" x14ac:dyDescent="0.25">
      <c r="A636" t="s">
        <v>7921</v>
      </c>
      <c r="B636" t="s">
        <v>5017</v>
      </c>
      <c r="C636">
        <v>11</v>
      </c>
      <c r="D636">
        <v>85.818999999999974</v>
      </c>
      <c r="E636">
        <v>0</v>
      </c>
      <c r="F636">
        <v>0.71680275901778445</v>
      </c>
      <c r="G636" t="s">
        <v>11</v>
      </c>
    </row>
    <row r="637" spans="1:7" x14ac:dyDescent="0.25">
      <c r="A637" t="s">
        <v>7924</v>
      </c>
      <c r="B637" t="s">
        <v>5017</v>
      </c>
      <c r="C637">
        <v>11</v>
      </c>
      <c r="D637">
        <v>85.818999999999974</v>
      </c>
      <c r="E637">
        <v>0</v>
      </c>
      <c r="F637">
        <v>0.75953243349065958</v>
      </c>
      <c r="G637" t="s">
        <v>11</v>
      </c>
    </row>
    <row r="638" spans="1:7" x14ac:dyDescent="0.25">
      <c r="A638" t="s">
        <v>7930</v>
      </c>
      <c r="B638" t="s">
        <v>5017</v>
      </c>
      <c r="C638">
        <v>11</v>
      </c>
      <c r="D638">
        <v>85.818999999999974</v>
      </c>
      <c r="E638">
        <v>0</v>
      </c>
      <c r="F638">
        <v>0.75953243349065958</v>
      </c>
      <c r="G638" t="s">
        <v>11</v>
      </c>
    </row>
    <row r="639" spans="1:7" x14ac:dyDescent="0.25">
      <c r="A639" t="s">
        <v>7933</v>
      </c>
      <c r="B639" t="s">
        <v>5017</v>
      </c>
      <c r="C639">
        <v>11</v>
      </c>
      <c r="D639">
        <v>85.818999999999974</v>
      </c>
      <c r="E639">
        <v>0</v>
      </c>
      <c r="F639">
        <v>0.75953243349065958</v>
      </c>
      <c r="G639" t="s">
        <v>11</v>
      </c>
    </row>
    <row r="640" spans="1:7" x14ac:dyDescent="0.25">
      <c r="A640" t="s">
        <v>7943</v>
      </c>
      <c r="B640" t="s">
        <v>5017</v>
      </c>
      <c r="C640">
        <v>11</v>
      </c>
      <c r="D640">
        <v>85.818999999999974</v>
      </c>
      <c r="E640">
        <v>0</v>
      </c>
      <c r="F640">
        <v>0.71680275901778445</v>
      </c>
      <c r="G640" t="s">
        <v>11</v>
      </c>
    </row>
    <row r="641" spans="1:7" x14ac:dyDescent="0.25">
      <c r="A641" t="s">
        <v>9146</v>
      </c>
      <c r="B641" t="s">
        <v>5017</v>
      </c>
      <c r="C641">
        <v>11</v>
      </c>
      <c r="D641">
        <v>94.172999999999945</v>
      </c>
      <c r="E641">
        <v>0</v>
      </c>
      <c r="F641">
        <v>0.70537879847381524</v>
      </c>
      <c r="G641" t="s">
        <v>11</v>
      </c>
    </row>
    <row r="642" spans="1:7" x14ac:dyDescent="0.25">
      <c r="A642" t="s">
        <v>9150</v>
      </c>
      <c r="B642" t="s">
        <v>5017</v>
      </c>
      <c r="C642">
        <v>11</v>
      </c>
      <c r="D642">
        <v>94.172999999999945</v>
      </c>
      <c r="E642">
        <v>0</v>
      </c>
      <c r="F642">
        <v>0.70537879847381524</v>
      </c>
      <c r="G642" t="s">
        <v>11</v>
      </c>
    </row>
    <row r="643" spans="1:7" x14ac:dyDescent="0.25">
      <c r="A643" t="s">
        <v>9153</v>
      </c>
      <c r="B643" t="s">
        <v>5017</v>
      </c>
      <c r="C643">
        <v>11</v>
      </c>
      <c r="D643">
        <v>94.172999999999945</v>
      </c>
      <c r="E643">
        <v>0</v>
      </c>
      <c r="F643">
        <v>0.70537879847381524</v>
      </c>
      <c r="G643" t="s">
        <v>11</v>
      </c>
    </row>
    <row r="644" spans="1:7" x14ac:dyDescent="0.25">
      <c r="A644" t="s">
        <v>9156</v>
      </c>
      <c r="B644" t="s">
        <v>5017</v>
      </c>
      <c r="C644">
        <v>11</v>
      </c>
      <c r="D644">
        <v>94.172999999999945</v>
      </c>
      <c r="E644">
        <v>0</v>
      </c>
      <c r="F644">
        <v>0.74590443737310386</v>
      </c>
      <c r="G644" t="s">
        <v>11</v>
      </c>
    </row>
    <row r="645" spans="1:7" x14ac:dyDescent="0.25">
      <c r="A645" t="s">
        <v>9140</v>
      </c>
      <c r="B645" t="s">
        <v>5017</v>
      </c>
      <c r="C645">
        <v>11</v>
      </c>
      <c r="D645">
        <v>94.975000000000051</v>
      </c>
      <c r="E645">
        <v>0</v>
      </c>
      <c r="F645">
        <v>0.70811553381089398</v>
      </c>
      <c r="G645" t="s">
        <v>11</v>
      </c>
    </row>
    <row r="646" spans="1:7" x14ac:dyDescent="0.25">
      <c r="A646" t="s">
        <v>9143</v>
      </c>
      <c r="B646" t="s">
        <v>5017</v>
      </c>
      <c r="C646">
        <v>11</v>
      </c>
      <c r="D646">
        <v>94.975000000000051</v>
      </c>
      <c r="E646">
        <v>0</v>
      </c>
      <c r="F646">
        <v>0.70811553381089398</v>
      </c>
      <c r="G646" t="s">
        <v>11</v>
      </c>
    </row>
    <row r="647" spans="1:7" x14ac:dyDescent="0.25">
      <c r="A647" t="s">
        <v>7894</v>
      </c>
      <c r="B647" t="s">
        <v>5017</v>
      </c>
      <c r="C647">
        <v>11</v>
      </c>
      <c r="D647">
        <v>97.302999999999926</v>
      </c>
      <c r="E647">
        <v>0</v>
      </c>
      <c r="F647">
        <v>0.80877936244996829</v>
      </c>
      <c r="G647" t="s">
        <v>11</v>
      </c>
    </row>
    <row r="648" spans="1:7" x14ac:dyDescent="0.25">
      <c r="A648" t="s">
        <v>7900</v>
      </c>
      <c r="B648" t="s">
        <v>5017</v>
      </c>
      <c r="C648">
        <v>11</v>
      </c>
      <c r="D648">
        <v>97.302999999999926</v>
      </c>
      <c r="E648">
        <v>0</v>
      </c>
      <c r="F648">
        <v>0.80877936244996829</v>
      </c>
      <c r="G648" t="s">
        <v>11</v>
      </c>
    </row>
    <row r="649" spans="1:7" x14ac:dyDescent="0.25">
      <c r="A649" t="s">
        <v>7918</v>
      </c>
      <c r="B649" t="s">
        <v>5017</v>
      </c>
      <c r="C649">
        <v>11</v>
      </c>
      <c r="D649">
        <v>97.302999999999926</v>
      </c>
      <c r="E649">
        <v>0</v>
      </c>
      <c r="F649">
        <v>0.80877936244996829</v>
      </c>
      <c r="G649" t="s">
        <v>11</v>
      </c>
    </row>
    <row r="650" spans="1:7" x14ac:dyDescent="0.25">
      <c r="A650" t="s">
        <v>7927</v>
      </c>
      <c r="B650" t="s">
        <v>5017</v>
      </c>
      <c r="C650">
        <v>11</v>
      </c>
      <c r="D650">
        <v>97.302999999999926</v>
      </c>
      <c r="E650">
        <v>0</v>
      </c>
      <c r="F650">
        <v>0.77997100289017307</v>
      </c>
      <c r="G650" t="s">
        <v>11</v>
      </c>
    </row>
    <row r="651" spans="1:7" x14ac:dyDescent="0.25">
      <c r="A651" t="s">
        <v>9137</v>
      </c>
      <c r="B651" t="s">
        <v>5017</v>
      </c>
      <c r="C651">
        <v>11</v>
      </c>
      <c r="D651">
        <v>97.617999999999995</v>
      </c>
      <c r="E651">
        <v>0</v>
      </c>
      <c r="F651">
        <v>0.71547429012490849</v>
      </c>
      <c r="G651" t="s">
        <v>11</v>
      </c>
    </row>
    <row r="652" spans="1:7" x14ac:dyDescent="0.25">
      <c r="A652" t="s">
        <v>9700</v>
      </c>
      <c r="B652" t="s">
        <v>5017</v>
      </c>
      <c r="C652">
        <v>5</v>
      </c>
      <c r="D652">
        <v>97.640000000000086</v>
      </c>
      <c r="E652">
        <v>0</v>
      </c>
      <c r="F652">
        <v>0.82448920012925508</v>
      </c>
      <c r="G652" t="s">
        <v>17</v>
      </c>
    </row>
    <row r="653" spans="1:7" x14ac:dyDescent="0.25">
      <c r="A653" t="s">
        <v>7780</v>
      </c>
      <c r="B653" t="s">
        <v>5017</v>
      </c>
      <c r="C653">
        <v>11</v>
      </c>
      <c r="D653">
        <v>97.667000000000058</v>
      </c>
      <c r="E653">
        <v>0</v>
      </c>
      <c r="F653">
        <v>0.82477542537695991</v>
      </c>
      <c r="G653" t="s">
        <v>11</v>
      </c>
    </row>
    <row r="654" spans="1:7" x14ac:dyDescent="0.25">
      <c r="A654" t="s">
        <v>7909</v>
      </c>
      <c r="B654" t="s">
        <v>5017</v>
      </c>
      <c r="C654">
        <v>11</v>
      </c>
      <c r="D654">
        <v>97.667000000000058</v>
      </c>
      <c r="E654">
        <v>0</v>
      </c>
      <c r="F654">
        <v>0.82477542537695991</v>
      </c>
      <c r="G654" t="s">
        <v>11</v>
      </c>
    </row>
    <row r="655" spans="1:7" x14ac:dyDescent="0.25">
      <c r="A655" t="s">
        <v>7906</v>
      </c>
      <c r="B655" t="s">
        <v>5017</v>
      </c>
      <c r="C655">
        <v>11</v>
      </c>
      <c r="D655">
        <v>97.964000000000084</v>
      </c>
      <c r="E655">
        <v>0</v>
      </c>
      <c r="F655">
        <v>0.81848599165968627</v>
      </c>
      <c r="G655" t="s">
        <v>11</v>
      </c>
    </row>
    <row r="656" spans="1:7" x14ac:dyDescent="0.25">
      <c r="A656" t="s">
        <v>9726</v>
      </c>
      <c r="B656" t="s">
        <v>5017</v>
      </c>
      <c r="C656">
        <v>5</v>
      </c>
      <c r="D656">
        <v>99.846999999999994</v>
      </c>
      <c r="E656">
        <v>0</v>
      </c>
      <c r="F656">
        <v>0.78180732196998382</v>
      </c>
      <c r="G656" t="s">
        <v>17</v>
      </c>
    </row>
    <row r="657" spans="1:7" x14ac:dyDescent="0.25">
      <c r="A657" t="s">
        <v>9710</v>
      </c>
      <c r="B657" t="s">
        <v>5017</v>
      </c>
      <c r="C657">
        <v>5</v>
      </c>
      <c r="D657">
        <v>100.015</v>
      </c>
      <c r="E657">
        <v>0</v>
      </c>
      <c r="F657">
        <v>0.76971786622457961</v>
      </c>
      <c r="G657" t="s">
        <v>17</v>
      </c>
    </row>
    <row r="658" spans="1:7" x14ac:dyDescent="0.25">
      <c r="A658" t="s">
        <v>9738</v>
      </c>
      <c r="B658" t="s">
        <v>5017</v>
      </c>
      <c r="C658">
        <v>5</v>
      </c>
      <c r="D658">
        <v>100.015</v>
      </c>
      <c r="E658">
        <v>0</v>
      </c>
      <c r="F658">
        <v>0.78158275496873153</v>
      </c>
      <c r="G658" t="s">
        <v>17</v>
      </c>
    </row>
    <row r="659" spans="1:7" x14ac:dyDescent="0.25">
      <c r="A659" t="s">
        <v>9690</v>
      </c>
      <c r="B659" t="s">
        <v>5017</v>
      </c>
      <c r="C659">
        <v>5</v>
      </c>
      <c r="D659">
        <v>100.7050000000001</v>
      </c>
      <c r="E659">
        <v>0</v>
      </c>
      <c r="F659">
        <v>0.87457918122215839</v>
      </c>
      <c r="G659" t="s">
        <v>17</v>
      </c>
    </row>
    <row r="660" spans="1:7" x14ac:dyDescent="0.25">
      <c r="A660" t="s">
        <v>9626</v>
      </c>
      <c r="B660" t="s">
        <v>5017</v>
      </c>
      <c r="C660">
        <v>5</v>
      </c>
      <c r="D660">
        <v>101.3640000000001</v>
      </c>
      <c r="E660">
        <v>0</v>
      </c>
      <c r="F660">
        <v>0.84724384200467173</v>
      </c>
      <c r="G660" t="s">
        <v>17</v>
      </c>
    </row>
    <row r="661" spans="1:7" x14ac:dyDescent="0.25">
      <c r="A661" t="s">
        <v>5955</v>
      </c>
      <c r="B661" t="s">
        <v>5017</v>
      </c>
      <c r="C661">
        <v>5</v>
      </c>
      <c r="D661">
        <v>101.66800000000001</v>
      </c>
      <c r="E661">
        <v>0</v>
      </c>
      <c r="F661">
        <v>0.82486630456360133</v>
      </c>
      <c r="G661" t="s">
        <v>17</v>
      </c>
    </row>
    <row r="662" spans="1:7" x14ac:dyDescent="0.25">
      <c r="A662" t="s">
        <v>9696</v>
      </c>
      <c r="B662" t="s">
        <v>5017</v>
      </c>
      <c r="C662">
        <v>5</v>
      </c>
      <c r="D662">
        <v>102.0089999999998</v>
      </c>
      <c r="E662">
        <v>0</v>
      </c>
      <c r="F662">
        <v>0.81928552509658548</v>
      </c>
      <c r="G662" t="s">
        <v>17</v>
      </c>
    </row>
    <row r="663" spans="1:7" x14ac:dyDescent="0.25">
      <c r="A663" t="s">
        <v>9642</v>
      </c>
      <c r="B663" t="s">
        <v>5017</v>
      </c>
      <c r="C663">
        <v>5</v>
      </c>
      <c r="D663">
        <v>105.54300000000011</v>
      </c>
      <c r="E663">
        <v>0</v>
      </c>
      <c r="F663">
        <v>0.82852708236432548</v>
      </c>
      <c r="G663" t="s">
        <v>17</v>
      </c>
    </row>
    <row r="664" spans="1:7" x14ac:dyDescent="0.25">
      <c r="A664" t="s">
        <v>9677</v>
      </c>
      <c r="B664" t="s">
        <v>5017</v>
      </c>
      <c r="C664">
        <v>5</v>
      </c>
      <c r="D664">
        <v>105.6390000000001</v>
      </c>
      <c r="E664">
        <v>0</v>
      </c>
      <c r="F664">
        <v>0.89551576782137332</v>
      </c>
      <c r="G664" t="s">
        <v>17</v>
      </c>
    </row>
    <row r="665" spans="1:7" x14ac:dyDescent="0.25">
      <c r="A665" t="s">
        <v>9664</v>
      </c>
      <c r="B665" t="s">
        <v>5017</v>
      </c>
      <c r="C665">
        <v>5</v>
      </c>
      <c r="D665">
        <v>106.2030000000001</v>
      </c>
      <c r="E665">
        <v>0</v>
      </c>
      <c r="F665">
        <v>0.86063413252963272</v>
      </c>
      <c r="G665" t="s">
        <v>17</v>
      </c>
    </row>
    <row r="666" spans="1:7" x14ac:dyDescent="0.25">
      <c r="A666" t="s">
        <v>9716</v>
      </c>
      <c r="B666" t="s">
        <v>5017</v>
      </c>
      <c r="C666">
        <v>5</v>
      </c>
      <c r="D666">
        <v>106.61200000000029</v>
      </c>
      <c r="E666">
        <v>0</v>
      </c>
      <c r="F666">
        <v>0.89084702251638714</v>
      </c>
      <c r="G666" t="s">
        <v>17</v>
      </c>
    </row>
    <row r="667" spans="1:7" x14ac:dyDescent="0.25">
      <c r="A667" t="s">
        <v>9744</v>
      </c>
      <c r="B667" t="s">
        <v>5017</v>
      </c>
      <c r="C667">
        <v>5</v>
      </c>
      <c r="D667">
        <v>106.61200000000029</v>
      </c>
      <c r="E667">
        <v>0</v>
      </c>
      <c r="F667">
        <v>0.84842274298183906</v>
      </c>
      <c r="G667" t="s">
        <v>17</v>
      </c>
    </row>
    <row r="668" spans="1:7" x14ac:dyDescent="0.25">
      <c r="A668" t="s">
        <v>9732</v>
      </c>
      <c r="B668" t="s">
        <v>5017</v>
      </c>
      <c r="C668">
        <v>5</v>
      </c>
      <c r="D668">
        <v>107.81400000000031</v>
      </c>
      <c r="E668">
        <v>0</v>
      </c>
      <c r="F668">
        <v>0.84847583134413473</v>
      </c>
      <c r="G668" t="s">
        <v>17</v>
      </c>
    </row>
    <row r="669" spans="1:7" x14ac:dyDescent="0.25">
      <c r="A669" t="s">
        <v>9623</v>
      </c>
      <c r="B669" t="s">
        <v>5017</v>
      </c>
      <c r="C669">
        <v>5</v>
      </c>
      <c r="D669">
        <v>109.0239999999998</v>
      </c>
      <c r="E669">
        <v>0</v>
      </c>
      <c r="F669">
        <v>0.85350235995434764</v>
      </c>
      <c r="G669" t="s">
        <v>17</v>
      </c>
    </row>
    <row r="670" spans="1:7" x14ac:dyDescent="0.25">
      <c r="A670" t="s">
        <v>9693</v>
      </c>
      <c r="B670" t="s">
        <v>5017</v>
      </c>
      <c r="C670">
        <v>5</v>
      </c>
      <c r="D670">
        <v>109.5829999999999</v>
      </c>
      <c r="E670">
        <v>0</v>
      </c>
      <c r="F670">
        <v>0.88097738348809518</v>
      </c>
      <c r="G670" t="s">
        <v>17</v>
      </c>
    </row>
    <row r="671" spans="1:7" x14ac:dyDescent="0.25">
      <c r="A671" t="s">
        <v>9680</v>
      </c>
      <c r="B671" t="s">
        <v>5017</v>
      </c>
      <c r="C671">
        <v>5</v>
      </c>
      <c r="D671">
        <v>111.15899999999981</v>
      </c>
      <c r="E671">
        <v>0</v>
      </c>
      <c r="F671">
        <v>0.89940138994819208</v>
      </c>
      <c r="G671" t="s">
        <v>17</v>
      </c>
    </row>
    <row r="672" spans="1:7" x14ac:dyDescent="0.25">
      <c r="A672" t="s">
        <v>9639</v>
      </c>
      <c r="B672" t="s">
        <v>5017</v>
      </c>
      <c r="C672">
        <v>5</v>
      </c>
      <c r="D672">
        <v>112.1249999999998</v>
      </c>
      <c r="E672">
        <v>0</v>
      </c>
      <c r="F672">
        <v>0.84222862931494524</v>
      </c>
      <c r="G672" t="s">
        <v>17</v>
      </c>
    </row>
    <row r="673" spans="1:7" x14ac:dyDescent="0.25">
      <c r="A673" t="s">
        <v>9667</v>
      </c>
      <c r="B673" t="s">
        <v>5017</v>
      </c>
      <c r="C673">
        <v>5</v>
      </c>
      <c r="D673">
        <v>112.4779999999998</v>
      </c>
      <c r="E673">
        <v>0</v>
      </c>
      <c r="F673">
        <v>0.86961305885251283</v>
      </c>
      <c r="G673" t="s">
        <v>17</v>
      </c>
    </row>
    <row r="674" spans="1:7" x14ac:dyDescent="0.25">
      <c r="A674" t="s">
        <v>9707</v>
      </c>
      <c r="B674" t="s">
        <v>5017</v>
      </c>
      <c r="C674">
        <v>5</v>
      </c>
      <c r="D674">
        <v>122.15299999999969</v>
      </c>
      <c r="E674">
        <v>0</v>
      </c>
      <c r="F674">
        <v>0.83814316181534287</v>
      </c>
      <c r="G674" t="s">
        <v>17</v>
      </c>
    </row>
    <row r="675" spans="1:7" x14ac:dyDescent="0.25">
      <c r="A675" t="s">
        <v>9619</v>
      </c>
      <c r="B675" t="s">
        <v>5017</v>
      </c>
      <c r="C675">
        <v>5</v>
      </c>
      <c r="D675">
        <v>127.2129999999997</v>
      </c>
      <c r="E675">
        <v>0</v>
      </c>
      <c r="F675">
        <v>0.85561316985262315</v>
      </c>
      <c r="G675" t="s">
        <v>17</v>
      </c>
    </row>
    <row r="676" spans="1:7" x14ac:dyDescent="0.25">
      <c r="A676" t="s">
        <v>9651</v>
      </c>
      <c r="B676" t="s">
        <v>5017</v>
      </c>
      <c r="C676">
        <v>5</v>
      </c>
      <c r="D676">
        <v>127.6110000000001</v>
      </c>
      <c r="E676">
        <v>0</v>
      </c>
      <c r="F676">
        <v>0.94175054271149516</v>
      </c>
      <c r="G676" t="s">
        <v>17</v>
      </c>
    </row>
    <row r="677" spans="1:7" x14ac:dyDescent="0.25">
      <c r="A677" t="s">
        <v>9657</v>
      </c>
      <c r="B677" t="s">
        <v>5017</v>
      </c>
      <c r="C677">
        <v>5</v>
      </c>
      <c r="D677">
        <v>127.67099999999959</v>
      </c>
      <c r="E677">
        <v>0</v>
      </c>
      <c r="F677">
        <v>0.87072932343506326</v>
      </c>
      <c r="G677" t="s">
        <v>17</v>
      </c>
    </row>
    <row r="678" spans="1:7" x14ac:dyDescent="0.25">
      <c r="A678" t="s">
        <v>9654</v>
      </c>
      <c r="B678" t="s">
        <v>5017</v>
      </c>
      <c r="C678">
        <v>5</v>
      </c>
      <c r="D678">
        <v>127.8430000000001</v>
      </c>
      <c r="E678">
        <v>0</v>
      </c>
      <c r="F678">
        <v>0.93309129829896309</v>
      </c>
      <c r="G678" t="s">
        <v>17</v>
      </c>
    </row>
    <row r="679" spans="1:7" x14ac:dyDescent="0.25">
      <c r="A679" t="s">
        <v>9632</v>
      </c>
      <c r="B679" t="s">
        <v>5017</v>
      </c>
      <c r="C679">
        <v>5</v>
      </c>
      <c r="D679">
        <v>128.07599999999971</v>
      </c>
      <c r="E679">
        <v>0</v>
      </c>
      <c r="F679">
        <v>0.8797435692953619</v>
      </c>
      <c r="G679" t="s">
        <v>17</v>
      </c>
    </row>
    <row r="680" spans="1:7" x14ac:dyDescent="0.25">
      <c r="A680" t="s">
        <v>9670</v>
      </c>
      <c r="B680" t="s">
        <v>5017</v>
      </c>
      <c r="C680">
        <v>5</v>
      </c>
      <c r="D680">
        <v>128.7829999999997</v>
      </c>
      <c r="E680">
        <v>0</v>
      </c>
      <c r="F680">
        <v>0.90141022557405437</v>
      </c>
      <c r="G680" t="s">
        <v>17</v>
      </c>
    </row>
    <row r="681" spans="1:7" x14ac:dyDescent="0.25">
      <c r="A681" t="s">
        <v>9683</v>
      </c>
      <c r="B681" t="s">
        <v>5017</v>
      </c>
      <c r="C681">
        <v>5</v>
      </c>
      <c r="D681">
        <v>128.8299999999997</v>
      </c>
      <c r="E681">
        <v>0</v>
      </c>
      <c r="F681">
        <v>0.88693296496968554</v>
      </c>
      <c r="G681" t="s">
        <v>17</v>
      </c>
    </row>
    <row r="682" spans="1:7" x14ac:dyDescent="0.25">
      <c r="A682" t="s">
        <v>9703</v>
      </c>
      <c r="B682" t="s">
        <v>5017</v>
      </c>
      <c r="C682">
        <v>5</v>
      </c>
      <c r="D682">
        <v>130.2379999999998</v>
      </c>
      <c r="E682">
        <v>0</v>
      </c>
      <c r="F682">
        <v>0.86599554407145163</v>
      </c>
      <c r="G682" t="s">
        <v>17</v>
      </c>
    </row>
    <row r="683" spans="1:7" x14ac:dyDescent="0.25">
      <c r="A683" t="s">
        <v>9636</v>
      </c>
      <c r="B683" t="s">
        <v>5017</v>
      </c>
      <c r="C683">
        <v>5</v>
      </c>
      <c r="D683">
        <v>130.9489999999999</v>
      </c>
      <c r="E683">
        <v>0</v>
      </c>
      <c r="F683">
        <v>0.89028512375775948</v>
      </c>
      <c r="G683" t="s">
        <v>17</v>
      </c>
    </row>
    <row r="684" spans="1:7" x14ac:dyDescent="0.25">
      <c r="A684" t="s">
        <v>9629</v>
      </c>
      <c r="B684" t="s">
        <v>5017</v>
      </c>
      <c r="C684">
        <v>5</v>
      </c>
      <c r="D684">
        <v>132.01399999999981</v>
      </c>
      <c r="E684">
        <v>0</v>
      </c>
      <c r="F684">
        <v>0.9178580601881593</v>
      </c>
      <c r="G684" t="s">
        <v>17</v>
      </c>
    </row>
    <row r="685" spans="1:7" x14ac:dyDescent="0.25">
      <c r="A685" t="s">
        <v>9661</v>
      </c>
      <c r="B685" t="s">
        <v>5017</v>
      </c>
      <c r="C685">
        <v>5</v>
      </c>
      <c r="D685">
        <v>132.27799999999991</v>
      </c>
      <c r="E685">
        <v>0</v>
      </c>
      <c r="F685">
        <v>0.88057346369048417</v>
      </c>
      <c r="G685" t="s">
        <v>17</v>
      </c>
    </row>
    <row r="686" spans="1:7" x14ac:dyDescent="0.25">
      <c r="A686" t="s">
        <v>9687</v>
      </c>
      <c r="B686" t="s">
        <v>5017</v>
      </c>
      <c r="C686">
        <v>5</v>
      </c>
      <c r="D686">
        <v>133.33599999999981</v>
      </c>
      <c r="E686">
        <v>0</v>
      </c>
      <c r="F686">
        <v>0.90181137232280595</v>
      </c>
      <c r="G686" t="s">
        <v>17</v>
      </c>
    </row>
    <row r="687" spans="1:7" x14ac:dyDescent="0.25">
      <c r="A687" t="s">
        <v>9674</v>
      </c>
      <c r="B687" t="s">
        <v>5017</v>
      </c>
      <c r="C687">
        <v>5</v>
      </c>
      <c r="D687">
        <v>135.0289999999998</v>
      </c>
      <c r="E687">
        <v>0</v>
      </c>
      <c r="F687">
        <v>0.91735599219311148</v>
      </c>
      <c r="G687" t="s">
        <v>17</v>
      </c>
    </row>
    <row r="688" spans="1:7" x14ac:dyDescent="0.25">
      <c r="A688" t="s">
        <v>9645</v>
      </c>
      <c r="B688" t="s">
        <v>5017</v>
      </c>
      <c r="C688">
        <v>5</v>
      </c>
      <c r="D688">
        <v>136.85199999999989</v>
      </c>
      <c r="E688">
        <v>0</v>
      </c>
      <c r="F688">
        <v>0.9176230609361119</v>
      </c>
      <c r="G688" t="s">
        <v>17</v>
      </c>
    </row>
    <row r="689" spans="1:7" x14ac:dyDescent="0.25">
      <c r="A689" t="s">
        <v>134</v>
      </c>
      <c r="B689" t="s">
        <v>5017</v>
      </c>
      <c r="C689">
        <v>5</v>
      </c>
      <c r="D689">
        <v>139.3399999999998</v>
      </c>
      <c r="E689">
        <v>0</v>
      </c>
      <c r="F689">
        <v>0.91803339271123907</v>
      </c>
      <c r="G689" t="s">
        <v>17</v>
      </c>
    </row>
    <row r="690" spans="1:7" x14ac:dyDescent="0.25">
      <c r="A690" t="s">
        <v>133</v>
      </c>
      <c r="B690" t="s">
        <v>5017</v>
      </c>
      <c r="C690">
        <v>5</v>
      </c>
      <c r="D690">
        <v>141.0199999999997</v>
      </c>
      <c r="E690">
        <v>0</v>
      </c>
      <c r="F690">
        <v>0.91462029344044604</v>
      </c>
      <c r="G690" t="s">
        <v>17</v>
      </c>
    </row>
    <row r="691" spans="1:7" x14ac:dyDescent="0.25">
      <c r="A691" t="s">
        <v>132</v>
      </c>
      <c r="B691" t="s">
        <v>5017</v>
      </c>
      <c r="C691">
        <v>5</v>
      </c>
      <c r="D691">
        <v>141.107</v>
      </c>
      <c r="E691">
        <v>0</v>
      </c>
      <c r="F691">
        <v>0.92127233377402018</v>
      </c>
      <c r="G691" t="s">
        <v>17</v>
      </c>
    </row>
    <row r="692" spans="1:7" x14ac:dyDescent="0.25">
      <c r="A692" t="s">
        <v>131</v>
      </c>
      <c r="B692" t="s">
        <v>5017</v>
      </c>
      <c r="C692">
        <v>5</v>
      </c>
      <c r="D692">
        <v>143.6639999999997</v>
      </c>
      <c r="E692">
        <v>0</v>
      </c>
      <c r="F692">
        <v>0.88596424476093016</v>
      </c>
      <c r="G692" t="s">
        <v>17</v>
      </c>
    </row>
    <row r="693" spans="1:7" x14ac:dyDescent="0.25">
      <c r="A693" t="s">
        <v>130</v>
      </c>
      <c r="B693" t="s">
        <v>5017</v>
      </c>
      <c r="C693">
        <v>5</v>
      </c>
      <c r="D693">
        <v>145.80299999999991</v>
      </c>
      <c r="E693">
        <v>0</v>
      </c>
      <c r="F693">
        <v>0.89132601233779996</v>
      </c>
      <c r="G693" t="s">
        <v>17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All_Top_5</vt:lpstr>
      <vt:lpstr>connectivity</vt:lpstr>
      <vt:lpstr>intercluster</vt:lpstr>
      <vt:lpstr>intracluster</vt:lpstr>
      <vt:lpstr>raw</vt:lpstr>
      <vt:lpstr>T4_metrics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Macarena Alejandra Madrid Becerra</cp:lastModifiedBy>
  <dcterms:created xsi:type="dcterms:W3CDTF">2025-09-16T03:23:10Z</dcterms:created>
  <dcterms:modified xsi:type="dcterms:W3CDTF">2025-09-16T04:08:15Z</dcterms:modified>
</cp:coreProperties>
</file>